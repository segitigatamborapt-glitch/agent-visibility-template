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si Proyek" sheetId="1" state="visible" r:id="rId3"/>
    <sheet name="Rekap" sheetId="2" state="visible" r:id="rId4"/>
    <sheet name="RAB" sheetId="3" state="visible" r:id="rId5"/>
    <sheet name="Analisa Harga Satuan" sheetId="4" state="visible" r:id="rId6"/>
    <sheet name="Harga Bahan dan Tenaga" sheetId="5" state="visible" r:id="rId7"/>
    <sheet name="Schedule" sheetId="6" state="visible" r:id="rId8"/>
  </sheets>
  <definedNames>
    <definedName function="false" hidden="false" localSheetId="2" name="_xlnm.Print_Titles" vbProcedure="false">RAB!$8:$9</definedName>
    <definedName function="false" hidden="true" localSheetId="2" name="_xlnm._FilterDatabase" vbProcedure="false">RAB!$A$8:$H$2120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<sst xmlns="http://schemas.openxmlformats.org/spreadsheetml/2006/main" count="11180" uniqueCount="2299">
  <si>
    <t xml:space="preserve">INFORMASI PROYEK</t>
  </si>
  <si>
    <t xml:space="preserve">Rencana Anggaran Biaya (RAB) - Pembangunan Balai Pelatihan Vokasi dan Produktivitas Morowali Utara</t>
  </si>
  <si>
    <t xml:space="preserve">A. DATA PROYEK</t>
  </si>
  <si>
    <t xml:space="preserve">Satuan Kerja</t>
  </si>
  <si>
    <t xml:space="preserve">:</t>
  </si>
  <si>
    <t xml:space="preserve">Direktorat Jenderal Pembinaan Pelatihan Vokasi dan Prosuktivitas</t>
  </si>
  <si>
    <t xml:space="preserve">Pekerjaan</t>
  </si>
  <si>
    <t xml:space="preserve">Pembangunan Balai Pelatihan Vokasi dan Produktivitas Morowali Utara</t>
  </si>
  <si>
    <t xml:space="preserve">Lokasi</t>
  </si>
  <si>
    <t xml:space="preserve">Jl. Trans Sulawesi, Tompira, Petasia, Kabupaten Morowali Utara, Sulawesi Tengah</t>
  </si>
  <si>
    <t xml:space="preserve">Pagu Konstruksi (Rp)</t>
  </si>
  <si>
    <t xml:space="preserve">Tahun Anggaran</t>
  </si>
  <si>
    <t xml:space="preserve">Pelaksana (PT/CV)</t>
  </si>
  <si>
    <t xml:space="preserve">................................ (isi)</t>
  </si>
  <si>
    <t xml:space="preserve">Konsultan Pengawas / MK</t>
  </si>
  <si>
    <t xml:space="preserve">Jenis Kontrak</t>
  </si>
  <si>
    <t xml:space="preserve">Harga satuan / lump sum - sesuai dokumen kontrak (isi)</t>
  </si>
  <si>
    <t xml:space="preserve">Waktu Pelaksanaan (hari kalender)</t>
  </si>
  <si>
    <t xml:space="preserve">Asumsi: BoQ memuat sewa drone 10 bulan (item 8). Sesuaikan dgn dokumen kontrak.</t>
  </si>
  <si>
    <t xml:space="preserve">Jumlah Minggu Pelaksanaan</t>
  </si>
  <si>
    <t xml:space="preserve">Tanggal Mulai (SPMK) - asumsi</t>
  </si>
  <si>
    <t xml:space="preserve">Isi sesuai tanggal SPMK. Jadwal pada lembar Schedule mengikuti sel ini.</t>
  </si>
  <si>
    <t xml:space="preserve">Tanggal Selesai (rencana)</t>
  </si>
  <si>
    <t xml:space="preserve">Masa Pemeliharaan</t>
  </si>
  <si>
    <t xml:space="preserve">180 hari kalender (asumsi - sesuaikan kontrak)</t>
  </si>
  <si>
    <t xml:space="preserve">B. PARAMETER BIAYA</t>
  </si>
  <si>
    <t xml:space="preserve">Overhead &amp; Profit (%)</t>
  </si>
  <si>
    <t xml:space="preserve">Diterapkan pada seluruh analisa harga satuan (maks. 15% menurut pola AHSP Permen PUPR 8/2023).</t>
  </si>
  <si>
    <t xml:space="preserve">PPN (%)</t>
  </si>
  <si>
    <t xml:space="preserve">Tarif efektif konstruksi 11% (DPP 11/12 x 12%) - sesuaikan ketentuan perpajakan yang berlaku.</t>
  </si>
  <si>
    <t xml:space="preserve">C. RINGKASAN HASIL</t>
  </si>
  <si>
    <t xml:space="preserve">Real cost biaya konstruksi (Rp)</t>
  </si>
  <si>
    <t xml:space="preserve">Total biaya konstruksi incl. PPN, dibulatkan (Rp)</t>
  </si>
  <si>
    <t xml:space="preserve">Pagu konstruksi (Rp)</t>
  </si>
  <si>
    <t xml:space="preserve">Selisih pagu - total biaya (Rp)</t>
  </si>
  <si>
    <t xml:space="preserve">Rasio total biaya terhadap pagu</t>
  </si>
  <si>
    <t xml:space="preserve">Jumlah item pekerjaan pada RAB</t>
  </si>
  <si>
    <t xml:space="preserve">  - harga dari analisa koefisien (AHSP)</t>
  </si>
  <si>
    <t xml:space="preserve">  - harga survei pasar (estimasi)</t>
  </si>
  <si>
    <t xml:space="preserve">  - lump sum estimasi, perlu verifikasi gambar/vendor</t>
  </si>
  <si>
    <t xml:space="preserve">D. SUSUNAN LEMBAR KERJA</t>
  </si>
  <si>
    <t xml:space="preserve">Informasi Proyek</t>
  </si>
  <si>
    <t xml:space="preserve">Data proyek, parameter O&amp;P/PPN, ringkasan hasil, catatan</t>
  </si>
  <si>
    <t xml:space="preserve">Rekap</t>
  </si>
  <si>
    <t xml:space="preserve">Rekapitulasi biaya per bangunan/kelompok pekerjaan, PPN, perbandingan dgn pagu</t>
  </si>
  <si>
    <t xml:space="preserve">RAB</t>
  </si>
  <si>
    <t xml:space="preserve">Bill of Quantity lengkap: volume (dari BoQ), harga satuan (dari AHSP), jumlah harga</t>
  </si>
  <si>
    <t xml:space="preserve">Analisa Harga Satuan</t>
  </si>
  <si>
    <t xml:space="preserve">Bagian A: analisa koefisien; Bagian B: harga paket/peralatan/survei</t>
  </si>
  <si>
    <t xml:space="preserve">Harga Bahan dan Tenaga</t>
  </si>
  <si>
    <t xml:space="preserve">Harga dasar upah, bahan, dan peralatan (input biru)</t>
  </si>
  <si>
    <t xml:space="preserve">Schedule</t>
  </si>
  <si>
    <t xml:space="preserve">Jadwal mingguan (Gantt), bobot, dan Kurva S</t>
  </si>
  <si>
    <t xml:space="preserve">E. CATATAN &amp; ASUMSI PENTING</t>
  </si>
  <si>
    <t xml:space="preserve">1. VOLUME diambil apa adanya dari dokumen BoQ (RAB_1.pdf &amp; RAB_2.pdf, 22 halaman). Gambar kerja belum diterima - volume belum diverifikasi terhadap gambar.</t>
  </si>
  <si>
    <t xml:space="preserve">2. HARGA SATUAN DASAR (upah, bahan, alat) adalah ESTIMASI. Dokumen HSD/AHSP resmi Kabupaten Morowali Utara TA 2026 tidak ditemukan pada sumber publik. Ganti sel biru pada lembar "Harga Bahan dan Tenaga" dan "Analisa Harga Satuan" Bagian B dengan harga resmi - seluruh lembar terhitung otomatis.</t>
  </si>
  <si>
    <t xml:space="preserve">3. Koefisien analisa mengacu pola SNI 7394:2008 dan Permen PUPR No. 8 Tahun 2023 (disederhanakan). Verifikasi dengan buku AHSP resmi sebelum dipakai untuk penawaran/kontrak.</t>
  </si>
  <si>
    <t xml:space="preserve">4. Item bertanda "Lump sum estimasi" (curtain wall, fasade, pintu/jendela, panel, genset, trafo, lift, tangki FRP, IPAL, dsb.) tidak memiliki dimensi pada BoQ; harga merupakan perkiraan dan WAJIB diverifikasi dengan gambar, spesifikasi, dan penawaran vendor.</t>
  </si>
  <si>
    <t xml:space="preserve">5. Satu baris bernilai Rp 1.500.000 (Test and Commisioning, panel listrik kantor) sudah terisi pada BoQ asli; nilai tsb dipakai untuk seluruh item "Test and Commisioning" Ls.</t>
  </si>
  <si>
    <t xml:space="preserve">6. Waktu pelaksanaan 300 hari kalender (43 minggu) adalah asumsi dari item sewa drone 10 bulan; tanggal mulai asumsi 2 Nov 2026. Ubah pada sel biru.</t>
  </si>
  <si>
    <t xml:space="preserve">7. Schedule memakai distribusi progres seragam per kegiatan dgn urutan logis (pondasi - struktur - arsitektur - MEP - finishing - testing). Atur ulang minggu mulai/durasi pada lembar Schedule (sel biru).</t>
  </si>
  <si>
    <t xml:space="preserve">8. Real cost = Pendahuluan + Gedung A-F + FASUM (sesuai format rekap BoQ). PPN ditambahkan di bawah real cost.</t>
  </si>
  <si>
    <t xml:space="preserve">Legenda warna: teks BIRU = input/asumsi yang boleh diubah; HITAM = rumus; HIJAU = tautan ke lembar lain; sel KUNING = parameter kunci.</t>
  </si>
  <si>
    <t xml:space="preserve">REKAPITULASI BILL OF QUANTITY</t>
  </si>
  <si>
    <t xml:space="preserve">SATUAN KERJA</t>
  </si>
  <si>
    <t xml:space="preserve">PEKERJAAN</t>
  </si>
  <si>
    <t xml:space="preserve">LOKASI</t>
  </si>
  <si>
    <t xml:space="preserve">TAHUN ANGGARAN</t>
  </si>
  <si>
    <t xml:space="preserve">PAGU KONSTRUKSI (Rp)</t>
  </si>
  <si>
    <t xml:space="preserve">No</t>
  </si>
  <si>
    <t xml:space="preserve">URAIAN PEKERJAAN</t>
  </si>
  <si>
    <t xml:space="preserve">JUMLAH HARGA (Rp)</t>
  </si>
  <si>
    <t xml:space="preserve">BOBOT (%)</t>
  </si>
  <si>
    <t xml:space="preserve">KONSTRUKSI GEDUNG</t>
  </si>
  <si>
    <t xml:space="preserve">PENDAHULUAN</t>
  </si>
  <si>
    <t xml:space="preserve">I</t>
  </si>
  <si>
    <t xml:space="preserve">PEKERJAAN PERSIAPAN</t>
  </si>
  <si>
    <t xml:space="preserve">JUMLAH PENDAHULUAN</t>
  </si>
  <si>
    <t xml:space="preserve">A</t>
  </si>
  <si>
    <t xml:space="preserve">GEDUNG KANTOR</t>
  </si>
  <si>
    <t xml:space="preserve">II</t>
  </si>
  <si>
    <t xml:space="preserve">PEKERJAAN TANAH (KANTOR)</t>
  </si>
  <si>
    <t xml:space="preserve">III</t>
  </si>
  <si>
    <t xml:space="preserve">PEKERJAAN STRUKTURAL (KANTOR)</t>
  </si>
  <si>
    <t xml:space="preserve">IV</t>
  </si>
  <si>
    <t xml:space="preserve">PEKERJAAN ARSITEKTURAL (KANTOR)</t>
  </si>
  <si>
    <t xml:space="preserve">V</t>
  </si>
  <si>
    <t xml:space="preserve">PEKERJAAN MEKANIKAL (KANTOR)</t>
  </si>
  <si>
    <t xml:space="preserve">VI</t>
  </si>
  <si>
    <t xml:space="preserve">PEKERJAAN PLUMBING (KANTOR)</t>
  </si>
  <si>
    <t xml:space="preserve">VII</t>
  </si>
  <si>
    <t xml:space="preserve">PEKERJAAN ELEKTRIKAL (KANTOR)</t>
  </si>
  <si>
    <t xml:space="preserve">JUMLAH GEDUNG KANTOR</t>
  </si>
  <si>
    <t xml:space="preserve">B</t>
  </si>
  <si>
    <t xml:space="preserve">WORKSHOP BERAT (LAS)</t>
  </si>
  <si>
    <t xml:space="preserve">PEKERJAAN TANAH (WORKSHOP LAS)</t>
  </si>
  <si>
    <t xml:space="preserve">PEKERJAAN STRUKTURAL (WORKSHOP LAS)</t>
  </si>
  <si>
    <t xml:space="preserve">PEKERJAAN ARSITEKTURAL (WORKSHOP LAS)</t>
  </si>
  <si>
    <t xml:space="preserve">PEKERJAAN MEKANIKAL (WORKSHOP LAS)</t>
  </si>
  <si>
    <t xml:space="preserve">PEKERJAAN PLUMBING (WORKSHOP LAS)</t>
  </si>
  <si>
    <t xml:space="preserve">PEKERJAAN ELEKTRIKAL (WORKSHOP LAS)</t>
  </si>
  <si>
    <t xml:space="preserve">JUMLAH WORKSHOP BERAT (LAS)</t>
  </si>
  <si>
    <t xml:space="preserve">C</t>
  </si>
  <si>
    <t xml:space="preserve">WORKSHOP BERAT (MEKANIK)</t>
  </si>
  <si>
    <t xml:space="preserve">PEKERJAAN TANAH (WORKSHOP MEKANIK)</t>
  </si>
  <si>
    <t xml:space="preserve">PEKERJAAN STRUKTURAL (WORKSHOP MEKANIK)</t>
  </si>
  <si>
    <t xml:space="preserve">PEKERJAAN ARSITEKTURAL (WORKSHOP MEKANIK)</t>
  </si>
  <si>
    <t xml:space="preserve">PEKERJAAN MEKANIKAL (WORKSHOP MEKANIK)</t>
  </si>
  <si>
    <t xml:space="preserve">PEKERJAAN PLUMBING (WORKSHOP MEKANIK)</t>
  </si>
  <si>
    <t xml:space="preserve">PEKERJAAN ELEKTRIKAL (WORKSHOP MEKANIK)</t>
  </si>
  <si>
    <t xml:space="preserve">JUMLAH WORKSHOP BERAT (MEKANIK)</t>
  </si>
  <si>
    <t xml:space="preserve">D</t>
  </si>
  <si>
    <t xml:space="preserve">WORKSHOP RINGAN (TEKNIK INFORMATIKA DAN KOMPUTER / TIK)</t>
  </si>
  <si>
    <t xml:space="preserve">PEKERJAAN TANAH (WORKSHOP RINGAN TEKNIK INFORMATIKA DAN KOMPUTER (TIK))</t>
  </si>
  <si>
    <t xml:space="preserve">PEKERJAAN STRUKTURAL (WORKSHOP RINGAN TEKNIK INFORMATIKA DAN KOMPUTER (TIK))</t>
  </si>
  <si>
    <t xml:space="preserve">PEKERJAAN ARSITEKTURAL (WORKSHOP RINGAN TEKNIK INFORMATIKA DAN KOMPUTER (TIK))</t>
  </si>
  <si>
    <t xml:space="preserve">PEKERJAAN MEKANIKAL PLUMBING (WORKSHOP TEKNIK INFORMATIKA DAN KOMPUTER (TIK))</t>
  </si>
  <si>
    <t xml:space="preserve">PEKERJAAN ELEKTRIKAL (WORKSHOP TEKNIK INFORMATIKA DAN KOMPUTER (TIK))</t>
  </si>
  <si>
    <t xml:space="preserve">JUMLAH WORKSHOP RINGAN (TEKNIK INFORMATIKA DAN KOMPUTER / TIK)</t>
  </si>
  <si>
    <t xml:space="preserve">E</t>
  </si>
  <si>
    <t xml:space="preserve">GARDU PLN DAN POWER HOUSE</t>
  </si>
  <si>
    <t xml:space="preserve">PEKERJAAN TANAH (PLN)</t>
  </si>
  <si>
    <t xml:space="preserve">PEKERJAAN STRUKTURAL (PLN)</t>
  </si>
  <si>
    <t xml:space="preserve">PEKERJAAN ARSITEKTURAL (PLN)</t>
  </si>
  <si>
    <t xml:space="preserve">PEKERJAAN MEKANIKAL (PLN)</t>
  </si>
  <si>
    <t xml:space="preserve">PEKERJAAN ELEKTRIKAL (PLN)</t>
  </si>
  <si>
    <t xml:space="preserve">JUMLAH GARDU PLN DAN POWER HOUSE</t>
  </si>
  <si>
    <t xml:space="preserve">F</t>
  </si>
  <si>
    <t xml:space="preserve">PUMP HOUSE</t>
  </si>
  <si>
    <t xml:space="preserve">PEKERJAAN TANAH (PUMP HOUSE)</t>
  </si>
  <si>
    <t xml:space="preserve">PEKERJAAN STRUKTURAL (PUMP HOUSE)</t>
  </si>
  <si>
    <t xml:space="preserve">PEKERJAAN ARSITEKTURAL (PUMP HOUSE)</t>
  </si>
  <si>
    <t xml:space="preserve">PEKERJAAN MEKANIKAL (PUMP HOUSE)</t>
  </si>
  <si>
    <t xml:space="preserve">PEKERJAAN PLUMBING (PUMP HOUSE)</t>
  </si>
  <si>
    <t xml:space="preserve">PEKERJAAN ELEKTRIKAL (PUMP HOUSE)</t>
  </si>
  <si>
    <t xml:space="preserve">JUMLAH PUMP HOUSE</t>
  </si>
  <si>
    <t xml:space="preserve">TOTAL PEKERJAAN KONSTRUKSI GEDUNG</t>
  </si>
  <si>
    <t xml:space="preserve">G</t>
  </si>
  <si>
    <t xml:space="preserve">PEKERJAAN FASILITAS UMUM (FASUM)</t>
  </si>
  <si>
    <t xml:space="preserve">1</t>
  </si>
  <si>
    <t xml:space="preserve">PEKERJAAN PEMATANGAN LAHAN KAWASAN</t>
  </si>
  <si>
    <t xml:space="preserve">2</t>
  </si>
  <si>
    <t xml:space="preserve">PEKERJAAN TURAP LEVELING LAHAN KAWASAN</t>
  </si>
  <si>
    <t xml:space="preserve">3</t>
  </si>
  <si>
    <t xml:space="preserve">PEKERJAAN GALIAN JALUR KABEL DAN JALAN KAWASAN</t>
  </si>
  <si>
    <t xml:space="preserve">4</t>
  </si>
  <si>
    <t xml:space="preserve">PEKERJAAN MEP KAWASAN (Elektrikal, Hydrant, Air Bersih &amp; Water Tank)</t>
  </si>
  <si>
    <t xml:space="preserve">5</t>
  </si>
  <si>
    <t xml:space="preserve">PEKERJAAN IPAL</t>
  </si>
  <si>
    <t xml:space="preserve">6</t>
  </si>
  <si>
    <t xml:space="preserve">PEKERJAAN TPS LB3</t>
  </si>
  <si>
    <t xml:space="preserve">7</t>
  </si>
  <si>
    <t xml:space="preserve">PEKERJAAN TPS 3R</t>
  </si>
  <si>
    <t xml:space="preserve">JUMLAH PEKERJAAN FASILITAS UMUM (FASUM)</t>
  </si>
  <si>
    <t xml:space="preserve">REAL COST BIAYA KONSTRUKSI</t>
  </si>
  <si>
    <t xml:space="preserve">TOTAL BIAYA KONSTRUKSI (incl. PPN)</t>
  </si>
  <si>
    <t xml:space="preserve">TOTAL BIAYA KONSTRUKSI - DIBULATKAN (ke ribuan)</t>
  </si>
  <si>
    <t xml:space="preserve">PAGU KONSTRUKSI</t>
  </si>
  <si>
    <t xml:space="preserve">SELISIH PAGU - TOTAL BIAYA (positif = di bawah pagu)</t>
  </si>
  <si>
    <t xml:space="preserve">RASIO TOTAL BIAYA TERHADAP PAGU</t>
  </si>
  <si>
    <t xml:space="preserve">Catatan: harga satuan masih ESTIMASI (lihat lembar Informasi Proyek). Lembar ini otomatis terhitung dari lembar RAB.</t>
  </si>
  <si>
    <t xml:space="preserve">............., ........................ 2026</t>
  </si>
  <si>
    <t xml:space="preserve">PT/CV. ................................</t>
  </si>
  <si>
    <t xml:space="preserve">................................................</t>
  </si>
  <si>
    <t xml:space="preserve">Direktur</t>
  </si>
  <si>
    <t xml:space="preserve">BILL OF QUANTITY / RENCANA ANGGARAN BIAYA (RAB)</t>
  </si>
  <si>
    <t xml:space="preserve">SATUAN</t>
  </si>
  <si>
    <t xml:space="preserve">VOLUME</t>
  </si>
  <si>
    <t xml:space="preserve">HARGA SATUAN (Rp)</t>
  </si>
  <si>
    <t xml:space="preserve">KODE AHSP</t>
  </si>
  <si>
    <t xml:space="preserve">DASAR HARGA</t>
  </si>
  <si>
    <t xml:space="preserve">a</t>
  </si>
  <si>
    <t xml:space="preserve">d</t>
  </si>
  <si>
    <t xml:space="preserve">e</t>
  </si>
  <si>
    <t xml:space="preserve">f</t>
  </si>
  <si>
    <t xml:space="preserve">g</t>
  </si>
  <si>
    <t xml:space="preserve">h = f x g</t>
  </si>
  <si>
    <t xml:space="preserve">PENDAHULUAN - DIVISI 1: PERSIAPAN</t>
  </si>
  <si>
    <t xml:space="preserve">Pek. Pembuatan Papan Proyek (1 m2)</t>
  </si>
  <si>
    <t xml:space="preserve">Ls</t>
  </si>
  <si>
    <t xml:space="preserve">B.001</t>
  </si>
  <si>
    <t xml:space="preserve">Survei pasar (estimasi)</t>
  </si>
  <si>
    <t xml:space="preserve">Pek. Pembuatan Barak Pekerja Minimal 36 m2</t>
  </si>
  <si>
    <t xml:space="preserve">Set</t>
  </si>
  <si>
    <t xml:space="preserve">B.002</t>
  </si>
  <si>
    <t xml:space="preserve">Pek. Direksi Keet luas 16 m2</t>
  </si>
  <si>
    <t xml:space="preserve">B.003</t>
  </si>
  <si>
    <t xml:space="preserve">Pek. Pengukuran Dan Pemasangan Bowplank</t>
  </si>
  <si>
    <t xml:space="preserve">B.004</t>
  </si>
  <si>
    <t xml:space="preserve">Lump sum estimasi - verifikasi gambar</t>
  </si>
  <si>
    <t xml:space="preserve">Biaya PDA Test 3 Titik</t>
  </si>
  <si>
    <t xml:space="preserve">titik</t>
  </si>
  <si>
    <t xml:space="preserve">B.005</t>
  </si>
  <si>
    <t xml:space="preserve">Biaya Mobilisasi dan Demobilisasi Alat Pancang include Personil</t>
  </si>
  <si>
    <t xml:space="preserve">B.006</t>
  </si>
  <si>
    <t xml:space="preserve">7 Pek. Kontrol Daya Dukung Pondasi</t>
  </si>
  <si>
    <t xml:space="preserve">-</t>
  </si>
  <si>
    <t xml:space="preserve">Boring Test</t>
  </si>
  <si>
    <t xml:space="preserve">B.007</t>
  </si>
  <si>
    <t xml:space="preserve">Sondir</t>
  </si>
  <si>
    <t xml:space="preserve">B.008</t>
  </si>
  <si>
    <t xml:space="preserve">8 Pek. Pengendalian Progres Pekerjaan (Via Multimedia)</t>
  </si>
  <si>
    <t xml:space="preserve">Sewa Drone</t>
  </si>
  <si>
    <t xml:space="preserve">Bulan</t>
  </si>
  <si>
    <t xml:space="preserve">B.009</t>
  </si>
  <si>
    <t xml:space="preserve">Pengadaan CCTV Outdoor Wifi</t>
  </si>
  <si>
    <t xml:space="preserve">Bh</t>
  </si>
  <si>
    <t xml:space="preserve">B.010</t>
  </si>
  <si>
    <t xml:space="preserve">9</t>
  </si>
  <si>
    <t xml:space="preserve">Biaya Pemantauan dan Pengujian Lingkungan sebanyak 2x (Progres 30% dan 80%)</t>
  </si>
  <si>
    <t xml:space="preserve">B.011</t>
  </si>
  <si>
    <t xml:space="preserve">a) Pemantauan Tingkat Getaran</t>
  </si>
  <si>
    <t xml:space="preserve">b) Pemantauan Tingkat Kebisingan</t>
  </si>
  <si>
    <t xml:space="preserve">c) Pemantauan Kualitas Air Permukaan</t>
  </si>
  <si>
    <t xml:space="preserve">d) Pemantauan Kualitas Udara</t>
  </si>
  <si>
    <t xml:space="preserve">e) Operasional dan Sewa Alat</t>
  </si>
  <si>
    <t xml:space="preserve">f) Honorarium Tenaga Lapangan</t>
  </si>
  <si>
    <t xml:space="preserve">10</t>
  </si>
  <si>
    <t xml:space="preserve">Biaya Pembongkaran Bangunan Eksisting</t>
  </si>
  <si>
    <t xml:space="preserve">m2</t>
  </si>
  <si>
    <t xml:space="preserve">B.012</t>
  </si>
  <si>
    <t xml:space="preserve">11</t>
  </si>
  <si>
    <t xml:space="preserve">Biaya Pengukuran Topografi</t>
  </si>
  <si>
    <t xml:space="preserve">B.013</t>
  </si>
  <si>
    <t xml:space="preserve">12 Komponen Biaya Keselamatan Konstruksi</t>
  </si>
  <si>
    <t xml:space="preserve">1.Penyiapan dokumen RKK, RKPPL,RMLLP,RMPK:</t>
  </si>
  <si>
    <t xml:space="preserve">a)</t>
  </si>
  <si>
    <t xml:space="preserve">Pembuatan dokumen RKK, RKPPL, RMLLP, RMPK</t>
  </si>
  <si>
    <t xml:space="preserve">B.014</t>
  </si>
  <si>
    <t xml:space="preserve">b)</t>
  </si>
  <si>
    <t xml:space="preserve">Pembuatan prosedur dan instruksi kerja</t>
  </si>
  <si>
    <t xml:space="preserve">B.015</t>
  </si>
  <si>
    <t xml:space="preserve">c)</t>
  </si>
  <si>
    <t xml:space="preserve">Penyusunan pelaporan penerapan SMKK</t>
  </si>
  <si>
    <t xml:space="preserve">B.016</t>
  </si>
  <si>
    <t xml:space="preserve">2. Sosialisasi, promosi dan pelatihan:</t>
  </si>
  <si>
    <t xml:space="preserve">Induksi Keselamatan Konstruksi (Safety Induction)</t>
  </si>
  <si>
    <t xml:space="preserve">OB</t>
  </si>
  <si>
    <t xml:space="preserve">B.017</t>
  </si>
  <si>
    <t xml:space="preserve">Pengarahan Keselamatan Konstruksi (Safety Briefing)</t>
  </si>
  <si>
    <t xml:space="preserve">B.018</t>
  </si>
  <si>
    <t xml:space="preserve">d)</t>
  </si>
  <si>
    <t xml:space="preserve">Patroli keselamatan konstruksi</t>
  </si>
  <si>
    <t xml:space="preserve">durasi</t>
  </si>
  <si>
    <t xml:space="preserve">B.019</t>
  </si>
  <si>
    <t xml:space="preserve">g)</t>
  </si>
  <si>
    <t xml:space="preserve">Simulasi Keselamatan Konstruksi</t>
  </si>
  <si>
    <t xml:space="preserve">B.020</t>
  </si>
  <si>
    <t xml:space="preserve">h)</t>
  </si>
  <si>
    <t xml:space="preserve">Spanduk (Banner)</t>
  </si>
  <si>
    <t xml:space="preserve">lb</t>
  </si>
  <si>
    <t xml:space="preserve">B.021</t>
  </si>
  <si>
    <t xml:space="preserve">i)</t>
  </si>
  <si>
    <t xml:space="preserve">Poster/leaflet</t>
  </si>
  <si>
    <t xml:space="preserve">B.022</t>
  </si>
  <si>
    <t xml:space="preserve">j)</t>
  </si>
  <si>
    <t xml:space="preserve">Papan Informasi Keselamatan konstruksi</t>
  </si>
  <si>
    <t xml:space="preserve">bh</t>
  </si>
  <si>
    <t xml:space="preserve">B.023</t>
  </si>
  <si>
    <t xml:space="preserve">3. Alat Pelindung Kerja dan Alat Pelindung Diri:</t>
  </si>
  <si>
    <t xml:space="preserve">a) APK, antara lain :</t>
  </si>
  <si>
    <t xml:space="preserve">Pagar pengaman area proyek</t>
  </si>
  <si>
    <t xml:space="preserve">m</t>
  </si>
  <si>
    <t xml:space="preserve">B.024</t>
  </si>
  <si>
    <t xml:space="preserve">b) APD, antara lain:</t>
  </si>
  <si>
    <t xml:space="preserve">Topi pelindung (Safety Helmet)</t>
  </si>
  <si>
    <t xml:space="preserve">B.025</t>
  </si>
  <si>
    <t xml:space="preserve">Pelindung mata (Goggles, Spectacles)</t>
  </si>
  <si>
    <t xml:space="preserve">B.026</t>
  </si>
  <si>
    <t xml:space="preserve">Pelindung pernafasan dan mulut (masker, masker respirator)</t>
  </si>
  <si>
    <t xml:space="preserve">B.027</t>
  </si>
  <si>
    <t xml:space="preserve">Sarung tangan (Safety Gloves)</t>
  </si>
  <si>
    <t xml:space="preserve">psg</t>
  </si>
  <si>
    <t xml:space="preserve">B.028</t>
  </si>
  <si>
    <t xml:space="preserve">Sepatu keselamatan (Safety Shoes, rubber safety shoes and toe cap)</t>
  </si>
  <si>
    <t xml:space="preserve">B.029</t>
  </si>
  <si>
    <t xml:space="preserve">Rompi keselamatan (Safety Vest) / Rompi Jaring</t>
  </si>
  <si>
    <t xml:space="preserve">B.030</t>
  </si>
  <si>
    <t xml:space="preserve">6. Fasilitas sarana, prasarana, dan alat kesehatan:</t>
  </si>
  <si>
    <t xml:space="preserve">Peralatan P3K</t>
  </si>
  <si>
    <t xml:space="preserve">B.031</t>
  </si>
  <si>
    <t xml:space="preserve">7. Rambu dan Perlengkapan lalu lintas yang diperlukan atau manajemen lalu lintas:</t>
  </si>
  <si>
    <t xml:space="preserve">Rambu petunjuk</t>
  </si>
  <si>
    <t xml:space="preserve">B.032</t>
  </si>
  <si>
    <t xml:space="preserve">Rambu larangan</t>
  </si>
  <si>
    <t xml:space="preserve">Rambu peringatan</t>
  </si>
  <si>
    <t xml:space="preserve">Rambu kewajiban</t>
  </si>
  <si>
    <t xml:space="preserve">e)</t>
  </si>
  <si>
    <t xml:space="preserve">Rambu informasi</t>
  </si>
  <si>
    <t xml:space="preserve">f)</t>
  </si>
  <si>
    <t xml:space="preserve">Rambu pekerjaan sementara</t>
  </si>
  <si>
    <t xml:space="preserve">B.033</t>
  </si>
  <si>
    <t xml:space="preserve">Jalur Evakuasi (Petunjuk Escape Route)</t>
  </si>
  <si>
    <t xml:space="preserve">B.034</t>
  </si>
  <si>
    <t xml:space="preserve">9. Kegiatan dan peralatan terkait Pengendalian Risiko Keselamatan Konstruksi:</t>
  </si>
  <si>
    <t xml:space="preserve">Alat Pemadam Api Ringan (APAR) 3kg</t>
  </si>
  <si>
    <t xml:space="preserve">B.035</t>
  </si>
  <si>
    <t xml:space="preserve">Bendera K3</t>
  </si>
  <si>
    <t xml:space="preserve">B.036</t>
  </si>
  <si>
    <t xml:space="preserve">JUMLAH PEKERJAAN PERSIAPAN</t>
  </si>
  <si>
    <t xml:space="preserve">JUMLAH PENDAHULUAN (DIVISI 1 - PERSIAPAN)</t>
  </si>
  <si>
    <t xml:space="preserve">Pekerjaan Tanah Area Pile Cap, Sloof, dan Rollag Bata</t>
  </si>
  <si>
    <t xml:space="preserve">Pek. Galian Tanah</t>
  </si>
  <si>
    <t xml:space="preserve">M3</t>
  </si>
  <si>
    <t xml:space="preserve">A.01</t>
  </si>
  <si>
    <t xml:space="preserve">Analisa AHSP (koefisien)</t>
  </si>
  <si>
    <t xml:space="preserve">Pek. Buangan Bekas Galian</t>
  </si>
  <si>
    <t xml:space="preserve">A.02</t>
  </si>
  <si>
    <t xml:space="preserve">Pek. Urugan Kembali Bekas Galian</t>
  </si>
  <si>
    <t xml:space="preserve">A.03</t>
  </si>
  <si>
    <t xml:space="preserve">Pek. Urugan Pasir</t>
  </si>
  <si>
    <t xml:space="preserve">A.04</t>
  </si>
  <si>
    <t xml:space="preserve">Pekerjaan Peninggian Lantai</t>
  </si>
  <si>
    <t xml:space="preserve">Pek. Timbunan</t>
  </si>
  <si>
    <t xml:space="preserve">A.05</t>
  </si>
  <si>
    <t xml:space="preserve">Pek. Pemadatan Tanah</t>
  </si>
  <si>
    <t xml:space="preserve">A.06</t>
  </si>
  <si>
    <t xml:space="preserve">Pek. Tanah Subur</t>
  </si>
  <si>
    <t xml:space="preserve">A.07</t>
  </si>
  <si>
    <t xml:space="preserve">JUMLAH PEKERJAAN TANAH (KANTOR)</t>
  </si>
  <si>
    <t xml:space="preserve">III.3.1</t>
  </si>
  <si>
    <t xml:space="preserve">PEKERJAAN STRUKTUR BAWAH</t>
  </si>
  <si>
    <t xml:space="preserve">Pekerjaan Pile Cap (PC1)</t>
  </si>
  <si>
    <t xml:space="preserve">Pek. Lantai Kerja beton f'c = 7,4 Mpa K-100</t>
  </si>
  <si>
    <t xml:space="preserve">A.15</t>
  </si>
  <si>
    <t xml:space="preserve">Pek. Beton f'c = 30 MPa</t>
  </si>
  <si>
    <t xml:space="preserve">A.18</t>
  </si>
  <si>
    <t xml:space="preserve">Pek. Pembesian</t>
  </si>
  <si>
    <t xml:space="preserve">Kg</t>
  </si>
  <si>
    <t xml:space="preserve">A.19</t>
  </si>
  <si>
    <t xml:space="preserve">Pek. Bekisting</t>
  </si>
  <si>
    <t xml:space="preserve">M2</t>
  </si>
  <si>
    <t xml:space="preserve">A.20</t>
  </si>
  <si>
    <t xml:space="preserve">Pekerjaan Kolom Pedestal 50X50 (PD1)</t>
  </si>
  <si>
    <t xml:space="preserve">Pekerjaan Kolom Pedestal 50X70 (PD2)</t>
  </si>
  <si>
    <t xml:space="preserve">Pekerjaan Tie Beam 40x60 (Entrance) (TB2)</t>
  </si>
  <si>
    <t xml:space="preserve">Pekerjaan Tie Beam 25x50 (TB1)</t>
  </si>
  <si>
    <t xml:space="preserve">Pekerjaan Pondasi Rolag Batu Kali</t>
  </si>
  <si>
    <t xml:space="preserve">Pek. Pondasi Batu Kali Camp. 1 Pc : 5 PP</t>
  </si>
  <si>
    <t xml:space="preserve">A.13</t>
  </si>
  <si>
    <t xml:space="preserve">Pekerjaan Pondasi Tiang (dalam 10 m)</t>
  </si>
  <si>
    <t xml:space="preserve">Pengadaan tiang pancang Dia.40 spun pile runcing (panjang 10 m)</t>
  </si>
  <si>
    <t xml:space="preserve">btg</t>
  </si>
  <si>
    <t xml:space="preserve">B.037</t>
  </si>
  <si>
    <t xml:space="preserve">Biaya pemancangan (Crawler Crane + Driver Hammer)</t>
  </si>
  <si>
    <t xml:space="preserve">B.038</t>
  </si>
  <si>
    <t xml:space="preserve">Biaya Pemotongan Kepala Tiang Pancang</t>
  </si>
  <si>
    <t xml:space="preserve">B.039</t>
  </si>
  <si>
    <t xml:space="preserve">Pek. Urugan Pasir Isian Lubang Tiang Pancang</t>
  </si>
  <si>
    <t xml:space="preserve">Pek. Pembesian Angkur Lubang Pancang</t>
  </si>
  <si>
    <t xml:space="preserve">Pek. Beton f'c = 25 Mpa (isian beton 1 meter)</t>
  </si>
  <si>
    <t xml:space="preserve">A.17</t>
  </si>
  <si>
    <t xml:space="preserve">III.3.2</t>
  </si>
  <si>
    <t xml:space="preserve">PEKERJAAN STRUKTUR LANTAI 1</t>
  </si>
  <si>
    <t xml:space="preserve">Pekerjaan Cor Rabat Lantai (T=12cm)</t>
  </si>
  <si>
    <t xml:space="preserve">Pek. Beton f'c = 25 MPa</t>
  </si>
  <si>
    <t xml:space="preserve">Pekerjaan Kolom 50X50 (K1)</t>
  </si>
  <si>
    <t xml:space="preserve">Pekerjaan Kolom 50X70 (K2)</t>
  </si>
  <si>
    <t xml:space="preserve">Pekerjaan Struktur Tangga Utama</t>
  </si>
  <si>
    <t xml:space="preserve">Pekerjaan Balok Bordes Struktur Tangga (20x35)</t>
  </si>
  <si>
    <t xml:space="preserve">Pekerjaan Meja Beton</t>
  </si>
  <si>
    <t xml:space="preserve">Pek. Beton K 175</t>
  </si>
  <si>
    <t xml:space="preserve">A.16</t>
  </si>
  <si>
    <t xml:space="preserve">Pekerjaan Sunscreen Beton</t>
  </si>
  <si>
    <t xml:space="preserve">H</t>
  </si>
  <si>
    <t xml:space="preserve">Pekerjaan Kolom Praktis, Balok Praktis, dan Balok Latei (Arsitek)</t>
  </si>
  <si>
    <t xml:space="preserve">Pek. Kolom 11 x 11 (Termasuk Bekisting Dan Pembesian)</t>
  </si>
  <si>
    <t xml:space="preserve">M'</t>
  </si>
  <si>
    <t xml:space="preserve">A.22</t>
  </si>
  <si>
    <t xml:space="preserve">Pek. Balok dan Latei 10 x 15 (Termasuk Bekisting Dan Pembesian)</t>
  </si>
  <si>
    <t xml:space="preserve">A.23</t>
  </si>
  <si>
    <t xml:space="preserve">III.3.3</t>
  </si>
  <si>
    <t xml:space="preserve">PEKERJAAN STRUKTUR LANTAI 2</t>
  </si>
  <si>
    <t xml:space="preserve">Pekerjaan Plat Lantai (T=13cm)</t>
  </si>
  <si>
    <t xml:space="preserve">Pekerjaan Balok 25x50 (BL.1)</t>
  </si>
  <si>
    <t xml:space="preserve">Pekerjaan Balok 25x40 (BL.2)</t>
  </si>
  <si>
    <t xml:space="preserve">Pekerjaan Balok 20x30 (BL.3)</t>
  </si>
  <si>
    <t xml:space="preserve">Pekerjaan Balok 15x60 (BL.4)</t>
  </si>
  <si>
    <t xml:space="preserve">Pekerjaan Balok 30x50 (entrance) (BL.5)</t>
  </si>
  <si>
    <t xml:space="preserve">Pekerjaan Balok 30x70 (entrance) (BL.6)</t>
  </si>
  <si>
    <t xml:space="preserve">J</t>
  </si>
  <si>
    <t xml:space="preserve">K</t>
  </si>
  <si>
    <t xml:space="preserve">III.3.4</t>
  </si>
  <si>
    <t xml:space="preserve">PEKERJAAN STRUKTUR TOP FLOOR</t>
  </si>
  <si>
    <t xml:space="preserve">Pekerjaan Plat Top Floor (T = 12cm)</t>
  </si>
  <si>
    <t xml:space="preserve">Pekerjaan Plat Top Floor (T = 10cm)</t>
  </si>
  <si>
    <t xml:space="preserve">Pekerjaan Balok 25x50 (RB.1)</t>
  </si>
  <si>
    <t xml:space="preserve">Pekerjaan Balok 25x40 (RB.2)</t>
  </si>
  <si>
    <t xml:space="preserve">Pekerjaan Balok 20x30 (RB.3)</t>
  </si>
  <si>
    <t xml:space="preserve">Pekerjaan Lisplank Beton 15x65 (RB.4)</t>
  </si>
  <si>
    <t xml:space="preserve">Pekerjaan Lisplank Beton 15x40 (RB.5)</t>
  </si>
  <si>
    <t xml:space="preserve">JUMLAH PEKERJAAN STRUKTURAL (KANTOR)</t>
  </si>
  <si>
    <t xml:space="preserve">IV.4.1</t>
  </si>
  <si>
    <t xml:space="preserve">PEKERJAAN FINISHING DINDING</t>
  </si>
  <si>
    <t xml:space="preserve">LANTAI 1</t>
  </si>
  <si>
    <t xml:space="preserve">Pek. Pasangan Dinding Bata Ringan AAC T=10cm</t>
  </si>
  <si>
    <t xml:space="preserve">A.26</t>
  </si>
  <si>
    <t xml:space="preserve">Pek. Angkur Dinding</t>
  </si>
  <si>
    <t xml:space="preserve">Pek. Plesteran Bata Ringan</t>
  </si>
  <si>
    <t xml:space="preserve">A.27</t>
  </si>
  <si>
    <t xml:space="preserve">Pek. Plesteran Trasram Bata Ringan</t>
  </si>
  <si>
    <t xml:space="preserve">A.28</t>
  </si>
  <si>
    <t xml:space="preserve">Pek. Acian</t>
  </si>
  <si>
    <t xml:space="preserve">A.30</t>
  </si>
  <si>
    <t xml:space="preserve">Pek. Dinding Granite Tile Ukuran 50 X 50 cm Area KM/WC</t>
  </si>
  <si>
    <t xml:space="preserve">A.32</t>
  </si>
  <si>
    <t xml:space="preserve">LANTAI 2</t>
  </si>
  <si>
    <t xml:space="preserve">LANTAI TOP FLOOR</t>
  </si>
  <si>
    <t xml:space="preserve">IV.4.2</t>
  </si>
  <si>
    <t xml:space="preserve">PEKERJAAN FASADE</t>
  </si>
  <si>
    <t xml:space="preserve">Pek. Aluminium Composite Panel Grey Colour PVDF + Rangka Besi Hollow</t>
  </si>
  <si>
    <t xml:space="preserve">B.040</t>
  </si>
  <si>
    <t xml:space="preserve">Pek. Aluminium Composite Panel Dark Grey Colour PVDF + Rangka Besi Hollow</t>
  </si>
  <si>
    <t xml:space="preserve">Pek. Kisi - Kisi Woodplank Type Fasade 1 (FD1)</t>
  </si>
  <si>
    <t xml:space="preserve">B.041</t>
  </si>
  <si>
    <t xml:space="preserve">Pek. Secondary Skin Material Plat Cutting Type Fasade 2 + Rangka Hollow (FD2)</t>
  </si>
  <si>
    <t xml:space="preserve">B.042</t>
  </si>
  <si>
    <t xml:space="preserve">Pek. Secondary Skin Material Plat Cutting Type Fasade 3 + Rangka Hollow (FD3)</t>
  </si>
  <si>
    <t xml:space="preserve">B.043</t>
  </si>
  <si>
    <t xml:space="preserve">Pek. Curtain Wall (CW1) Kaca Stopsol Tempered Uk. 6mm</t>
  </si>
  <si>
    <t xml:space="preserve">B.044</t>
  </si>
  <si>
    <t xml:space="preserve">Pek. Curtain Wall (CW2) Kaca Stopsol Tempered Uk. 6mm</t>
  </si>
  <si>
    <t xml:space="preserve">B.045</t>
  </si>
  <si>
    <t xml:space="preserve">8</t>
  </si>
  <si>
    <t xml:space="preserve">Pek. Curtain Wall (CW3) Kaca Stopsol Uk. 5mm</t>
  </si>
  <si>
    <t xml:space="preserve">B.046</t>
  </si>
  <si>
    <t xml:space="preserve">Pek. Pergola Entrance (Include ACP Grey Colour PVDF + Acrylic 5mm)</t>
  </si>
  <si>
    <t xml:space="preserve">B.047</t>
  </si>
  <si>
    <t xml:space="preserve">Pek. Logo Gedung Dan Papan Nama + Lampu LED</t>
  </si>
  <si>
    <t xml:space="preserve">B.048</t>
  </si>
  <si>
    <t xml:space="preserve">Pek. Railing Stainless Tangga Utama+ Acrylic 5 mm</t>
  </si>
  <si>
    <t xml:space="preserve">m'</t>
  </si>
  <si>
    <t xml:space="preserve">B.049</t>
  </si>
  <si>
    <t xml:space="preserve">IV.4.3</t>
  </si>
  <si>
    <t xml:space="preserve">PEKERJAAN INTERIOR GEDUNG</t>
  </si>
  <si>
    <t xml:space="preserve">IV.4.4</t>
  </si>
  <si>
    <t xml:space="preserve">PEKERJAAN FINISHING LANTAI</t>
  </si>
  <si>
    <t xml:space="preserve">Pek. Step Nozing Area Tangga</t>
  </si>
  <si>
    <t xml:space="preserve">A.37</t>
  </si>
  <si>
    <t xml:space="preserve">Pek. Tegel Granite Tile Type Polished Ukuran 60 X 60 cm Area Ruang Utama, Tangga Utama</t>
  </si>
  <si>
    <t xml:space="preserve">A.33</t>
  </si>
  <si>
    <t xml:space="preserve">Pek. Tegel Granite Tile Type Unpolished Ukuran 60 X 60 cm Area Teras</t>
  </si>
  <si>
    <t xml:space="preserve">A.34</t>
  </si>
  <si>
    <t xml:space="preserve">Pek. Tegel Granite Tile Type Unpolished Ukuran 50 X 50 cm Area KM/WC</t>
  </si>
  <si>
    <t xml:space="preserve">A.35</t>
  </si>
  <si>
    <t xml:space="preserve">Pek. Plint Granite Tile 10x60</t>
  </si>
  <si>
    <t xml:space="preserve">A.36</t>
  </si>
  <si>
    <t xml:space="preserve">Pek. Tegel Granite Tile Type Polished Ukuran 60 X 60 cm Area Ruang Utama, List Lantai, Meja Beton</t>
  </si>
  <si>
    <t xml:space="preserve">IV.4.5</t>
  </si>
  <si>
    <t xml:space="preserve">PEKERJAAN PAVING BLOCK</t>
  </si>
  <si>
    <t xml:space="preserve">Pek. Paving Blok 8cm K-300 (Include Pasir Urug)</t>
  </si>
  <si>
    <t xml:space="preserve">A.38</t>
  </si>
  <si>
    <t xml:space="preserve">IV.4.6</t>
  </si>
  <si>
    <t xml:space="preserve">PEKERJAAN PINTU, JENDELA DAN VENTILASI</t>
  </si>
  <si>
    <t xml:space="preserve">Pek. Pintu Utama (PJ-01) Tempered Glass 12mm + Aksesoris</t>
  </si>
  <si>
    <t xml:space="preserve">B.050</t>
  </si>
  <si>
    <t xml:space="preserve">Pek. Pintu Utama (PJ-02) Tempered Glass 12mm + Aksesoris</t>
  </si>
  <si>
    <t xml:space="preserve">B.051</t>
  </si>
  <si>
    <t xml:space="preserve">Pek. Pintu (PJ-03) + Aksesoris</t>
  </si>
  <si>
    <t xml:space="preserve">B.052</t>
  </si>
  <si>
    <t xml:space="preserve">Pek. Pintu (P-01) + Aksesoris</t>
  </si>
  <si>
    <t xml:space="preserve">B.053</t>
  </si>
  <si>
    <t xml:space="preserve">Pek. Pintu (P-02) + Aksesoris</t>
  </si>
  <si>
    <t xml:space="preserve">B.054</t>
  </si>
  <si>
    <t xml:space="preserve">Pek. Pintu (P-03) + Aksesoris</t>
  </si>
  <si>
    <t xml:space="preserve">B.055</t>
  </si>
  <si>
    <t xml:space="preserve">Pek. Pintu (P-04) + Aksesoris</t>
  </si>
  <si>
    <t xml:space="preserve">B.056</t>
  </si>
  <si>
    <t xml:space="preserve">Pek. Pintu Shaft (PS) + Aksesoris</t>
  </si>
  <si>
    <t xml:space="preserve">B.057</t>
  </si>
  <si>
    <t xml:space="preserve">Pek. Jendela (J-01) + Aksesoris</t>
  </si>
  <si>
    <t xml:space="preserve">B.058</t>
  </si>
  <si>
    <t xml:space="preserve">Pek. Ventilasi (V-01) + Aksesoris</t>
  </si>
  <si>
    <t xml:space="preserve">B.059</t>
  </si>
  <si>
    <t xml:space="preserve">Pek. Ventilasi (V-02) + Aksesoris</t>
  </si>
  <si>
    <t xml:space="preserve">B.060</t>
  </si>
  <si>
    <t xml:space="preserve">Pek. Pintu (P-05) + Aksesoris</t>
  </si>
  <si>
    <t xml:space="preserve">B.061</t>
  </si>
  <si>
    <t xml:space="preserve">IV.4.7</t>
  </si>
  <si>
    <t xml:space="preserve">PEKERJAAN ATAP DAN LANGIT-LANGIT</t>
  </si>
  <si>
    <t xml:space="preserve">PEKERJAAN LANGIT-LANGIT</t>
  </si>
  <si>
    <t xml:space="preserve">Pek. Rangka Plafond Metal Hollow 4 x 4 (Modul 60 x 60)</t>
  </si>
  <si>
    <t xml:space="preserve">A.39</t>
  </si>
  <si>
    <t xml:space="preserve">Pek. Langit-Langit Gypsum</t>
  </si>
  <si>
    <t xml:space="preserve">A.40</t>
  </si>
  <si>
    <t xml:space="preserve">Pek. Langit-Langit GRC</t>
  </si>
  <si>
    <t xml:space="preserve">A.41</t>
  </si>
  <si>
    <t xml:space="preserve">TOP FLOOR</t>
  </si>
  <si>
    <t xml:space="preserve">PEKERJAAN ATAP</t>
  </si>
  <si>
    <t xml:space="preserve">Pek. Screed Dak, 1SP:5PP</t>
  </si>
  <si>
    <t xml:space="preserve">A.42</t>
  </si>
  <si>
    <t xml:space="preserve">Pek. Waterproofing Membrane Bakar</t>
  </si>
  <si>
    <t xml:space="preserve">A.43</t>
  </si>
  <si>
    <t xml:space="preserve">Pek. Atap Bitumen</t>
  </si>
  <si>
    <t xml:space="preserve">B.062</t>
  </si>
  <si>
    <t xml:space="preserve">Pek. Nok Atap Bitumen</t>
  </si>
  <si>
    <t xml:space="preserve">B.063</t>
  </si>
  <si>
    <t xml:space="preserve">Pek. Lisplank 20x3</t>
  </si>
  <si>
    <t xml:space="preserve">B.064</t>
  </si>
  <si>
    <t xml:space="preserve">IV.4.8</t>
  </si>
  <si>
    <t xml:space="preserve">PEKERJAAN PENGECATAN</t>
  </si>
  <si>
    <t xml:space="preserve">Pek. Cat Dinding Interior</t>
  </si>
  <si>
    <t xml:space="preserve">A.44</t>
  </si>
  <si>
    <t xml:space="preserve">Pek. Cat Dinding Eksterior</t>
  </si>
  <si>
    <t xml:space="preserve">A.45</t>
  </si>
  <si>
    <t xml:space="preserve">Pek. Cat Langit-Langit</t>
  </si>
  <si>
    <t xml:space="preserve">A.46</t>
  </si>
  <si>
    <t xml:space="preserve">IV.4.9</t>
  </si>
  <si>
    <t xml:space="preserve">PEKERJAAN SALURAN DAN RABAT KELILING BANGUNAN</t>
  </si>
  <si>
    <t xml:space="preserve">Pek. Pasangan Rolag 1/2 Bata, Camp. 1 Pc : 5 Ps</t>
  </si>
  <si>
    <t xml:space="preserve">A.24</t>
  </si>
  <si>
    <t xml:space="preserve">Pek. Plesteran Dinding, Campuran 1 Pc : 5 Ps, tebal 15 mm</t>
  </si>
  <si>
    <t xml:space="preserve">Pek. Acian Dinding</t>
  </si>
  <si>
    <t xml:space="preserve">Pek. Bak Kontrol</t>
  </si>
  <si>
    <t xml:space="preserve">B.065</t>
  </si>
  <si>
    <t xml:space="preserve">A.49</t>
  </si>
  <si>
    <t xml:space="preserve">Pek. Lantai Saluran beton f'c = 7,4 Mpa K-100 (T=10cm)</t>
  </si>
  <si>
    <t xml:space="preserve">JUMLAH PEKERJAAN ARSITEKTURAL (KANTOR)</t>
  </si>
  <si>
    <t xml:space="preserve">PEMASANGAN FIRE EXTINGUISER</t>
  </si>
  <si>
    <t xml:space="preserve">Fire Extinguiser Type ABC Powder 3 KG, Lantai 1</t>
  </si>
  <si>
    <t xml:space="preserve">Unit</t>
  </si>
  <si>
    <t xml:space="preserve">B.066</t>
  </si>
  <si>
    <t xml:space="preserve">Fire Extinguiser Type ABC Powder 3 KG, Lantai 2</t>
  </si>
  <si>
    <t xml:space="preserve">I.2</t>
  </si>
  <si>
    <t xml:space="preserve">PEKERJAAN TATA UDARA</t>
  </si>
  <si>
    <t xml:space="preserve">Pekerjaan Unit Tata Udara Lantai 1</t>
  </si>
  <si>
    <t xml:space="preserve">Indoor AC Tipe Wall Mounted; 7.500 BTU/h</t>
  </si>
  <si>
    <t xml:space="preserve">B.067</t>
  </si>
  <si>
    <t xml:space="preserve">Indoor AC Tipe Wall Mounted; 12.300 BTU/h</t>
  </si>
  <si>
    <t xml:space="preserve">B.068</t>
  </si>
  <si>
    <t xml:space="preserve">Indoor AC Tipe Wall Mounted; 19.100 BTU/h</t>
  </si>
  <si>
    <t xml:space="preserve">B.069</t>
  </si>
  <si>
    <t xml:space="preserve">Indoor AC Tipe 4- way ceiling cassette; 15.400 BTU/h</t>
  </si>
  <si>
    <t xml:space="preserve">B.070</t>
  </si>
  <si>
    <t xml:space="preserve">Indoor AC Tipe 4- way ceiling cassette; 19.100 BTU/h</t>
  </si>
  <si>
    <t xml:space="preserve">B.071</t>
  </si>
  <si>
    <t xml:space="preserve">Indoor AC Tipe 4- way ceiling cassette; 24.200 BTU/h</t>
  </si>
  <si>
    <t xml:space="preserve">B.072</t>
  </si>
  <si>
    <t xml:space="preserve">Pekerjaan Unit Tata Udara Lantai 2</t>
  </si>
  <si>
    <t xml:space="preserve">Indoor AC Tipe Wall Mounted; 15.400 BTU/h</t>
  </si>
  <si>
    <t xml:space="preserve">B.073</t>
  </si>
  <si>
    <t xml:space="preserve">Indoor AC Tipe 4- way ceiling cassette; 28.000 BTU/h</t>
  </si>
  <si>
    <t xml:space="preserve">B.074</t>
  </si>
  <si>
    <t xml:space="preserve">Indoor AC Tipe 4- way ceiling cassette; 30.700 BTU/h</t>
  </si>
  <si>
    <t xml:space="preserve">B.075</t>
  </si>
  <si>
    <t xml:space="preserve">SINGLE RAC</t>
  </si>
  <si>
    <t xml:space="preserve">Wall Mounted Inverter; 17.000 BTU/h</t>
  </si>
  <si>
    <t xml:space="preserve">B.076</t>
  </si>
  <si>
    <t xml:space="preserve">Pekerjaan Unit Outdoor Tata Udara</t>
  </si>
  <si>
    <t xml:space="preserve">Outdoor High COP; 191.080 BTU/h</t>
  </si>
  <si>
    <t xml:space="preserve">B.077</t>
  </si>
  <si>
    <t xml:space="preserve">Outdoor High COP; 210.188 BTU/h</t>
  </si>
  <si>
    <t xml:space="preserve">B.078</t>
  </si>
  <si>
    <t xml:space="preserve">Pekerjaan Acessoris VRF</t>
  </si>
  <si>
    <t xml:space="preserve">Pekerjaan Pemasangan Acessoris VRF</t>
  </si>
  <si>
    <t xml:space="preserve">Y-Branch</t>
  </si>
  <si>
    <t xml:space="preserve">B.079</t>
  </si>
  <si>
    <t xml:space="preserve">Standard II Wired Remocon</t>
  </si>
  <si>
    <t xml:space="preserve">B.080</t>
  </si>
  <si>
    <t xml:space="preserve">Wireless Remocon</t>
  </si>
  <si>
    <t xml:space="preserve">B.081</t>
  </si>
  <si>
    <t xml:space="preserve">Central Controller; AC Smart</t>
  </si>
  <si>
    <t xml:space="preserve">B.082</t>
  </si>
  <si>
    <t xml:space="preserve">Instalasi Air Conditioner System VRF</t>
  </si>
  <si>
    <t xml:space="preserve">Instalasi Outdoor</t>
  </si>
  <si>
    <t xml:space="preserve">Pekerjaan Instalasi module outdoor Module</t>
  </si>
  <si>
    <t xml:space="preserve">B.083</t>
  </si>
  <si>
    <t xml:space="preserve">Pekerjaan dudukan outdoor Tipe 1 (concrete uk. 120 x 250 x 2000 - K175 besi 3Ø6mm)</t>
  </si>
  <si>
    <t xml:space="preserve">Module</t>
  </si>
  <si>
    <t xml:space="preserve">B.084</t>
  </si>
  <si>
    <t xml:space="preserve">Pekerjaan tray kabel &amp; pipa (slot angle, nut &amp; bolt)</t>
  </si>
  <si>
    <t xml:space="preserve">B.085</t>
  </si>
  <si>
    <t xml:space="preserve">Instalasi Indoor</t>
  </si>
  <si>
    <t xml:space="preserve">Instalasi Unit Wall Mounted termasuk bracket &amp; support</t>
  </si>
  <si>
    <t xml:space="preserve">B.086</t>
  </si>
  <si>
    <t xml:space="preserve">Instalasi Unit Ceiling Cassette termasuk hanger &amp; support</t>
  </si>
  <si>
    <t xml:space="preserve">B.087</t>
  </si>
  <si>
    <t xml:space="preserve">Instalasi Centralized Controller</t>
  </si>
  <si>
    <t xml:space="preserve">Pekerjaan Instalasi Centralized Controller</t>
  </si>
  <si>
    <t xml:space="preserve">B.088</t>
  </si>
  <si>
    <t xml:space="preserve">PEKERJAAN INSTALASI UNIT SCAC/RAC</t>
  </si>
  <si>
    <t xml:space="preserve">Pekerjaan Instalasi Set Unit Wall Mounted termasuk bracket outdoor &amp; support indoor</t>
  </si>
  <si>
    <t xml:space="preserve">B.089</t>
  </si>
  <si>
    <t xml:space="preserve">Pekerjaan Instalasi Pipa Refrigerant</t>
  </si>
  <si>
    <t xml:space="preserve">Pekerjaan Supply &amp; Instalasi Pipa Pair Refrigerant</t>
  </si>
  <si>
    <t xml:space="preserve">Pekerjaan Supply &amp; Instalasi Pipa pair refrigerant Uk. 1/4" - 1/2"</t>
  </si>
  <si>
    <t xml:space="preserve">B.090</t>
  </si>
  <si>
    <t xml:space="preserve">Pekerjaan Supply &amp; Instalasi Pipa Refrigerant ASTM B280</t>
  </si>
  <si>
    <t xml:space="preserve">Pekerjaan Supply &amp; Instalasi Pipa Refrigerant ASTM B280, termasuk insulasi tipe closed cell EPDM tebal 3/4" dan duct tape</t>
  </si>
  <si>
    <t xml:space="preserve">Pekerjaan Supply &amp; Instalasi Pipa Refrigerant ASTM B280 uk. 1/4"</t>
  </si>
  <si>
    <t xml:space="preserve">B.091</t>
  </si>
  <si>
    <t xml:space="preserve">Pekerjaan Supply &amp; Instalasi Pipa Refrigerant ASTM B280 uk. 3/8"</t>
  </si>
  <si>
    <t xml:space="preserve">B.092</t>
  </si>
  <si>
    <t xml:space="preserve">Pekerjaan Supply &amp; Instalasi Pipa Refrigerant ASTM B280 uk. 1/2"</t>
  </si>
  <si>
    <t xml:space="preserve">B.093</t>
  </si>
  <si>
    <t xml:space="preserve">Pekerjaan Supply &amp; Instalasi Pipa Refrigerant ASTM B280 uk. 5/8"</t>
  </si>
  <si>
    <t xml:space="preserve">B.094</t>
  </si>
  <si>
    <t xml:space="preserve">Pekerjaan Supply &amp; Instalasi Pipa Refrigerant ASTM B280 uk. 3/4"</t>
  </si>
  <si>
    <t xml:space="preserve">B.095</t>
  </si>
  <si>
    <t xml:space="preserve">Pekerjaan Supply &amp; Instalasi Pipa Refrigerant ASTM B280 uk. 7/8"</t>
  </si>
  <si>
    <t xml:space="preserve">B.096</t>
  </si>
  <si>
    <t xml:space="preserve">Pekerjaan Supply &amp; Instalasi Pipa Refrigerant ASTM B280 uk. 1-1/8"</t>
  </si>
  <si>
    <t xml:space="preserve">B.097</t>
  </si>
  <si>
    <t xml:space="preserve">Instalasi Branch</t>
  </si>
  <si>
    <t xml:space="preserve">B.098</t>
  </si>
  <si>
    <t xml:space="preserve">Pekerjaan Pipa Drain AC</t>
  </si>
  <si>
    <t xml:space="preserve">Pipa drain (PVC tipe AW) ex. Rucika/Setara, termasuk insulasi closed cell EPDM tebal 3/8"</t>
  </si>
  <si>
    <t xml:space="preserve">Pekerjaan Supply &amp; Instalasi pipa pvc uk. 1/2" (drain indoor unit wall mounted</t>
  </si>
  <si>
    <t xml:space="preserve">B.099</t>
  </si>
  <si>
    <t xml:space="preserve">Pekerjaan Supply &amp; Instalasi pipa pvc uk. 1" (drain indoor unit ceiling mounted)</t>
  </si>
  <si>
    <t xml:space="preserve">B.100</t>
  </si>
  <si>
    <t xml:space="preserve">Pekerjaan Supply &amp; Instalasi pipa pvc uk. 2" (Main Drain line)</t>
  </si>
  <si>
    <t xml:space="preserve">B.101</t>
  </si>
  <si>
    <t xml:space="preserve">Pekerjaan Instalasi Hanger &amp; Support Pipa</t>
  </si>
  <si>
    <t xml:space="preserve">Pekerjaan Supply &amp; Instalasi Hanger &amp; Support Pipa Refrigerant</t>
  </si>
  <si>
    <t xml:space="preserve">Pekerjaan Supply &amp; Instalasi Hanger &amp; Support Pipa Refrigerant Tipe I (long drat 6 mm, dynaset, besi siku, u bolt, pipa pvc)</t>
  </si>
  <si>
    <t xml:space="preserve">B.102</t>
  </si>
  <si>
    <t xml:space="preserve">Pekerjaan Supply &amp; Instalasi Hanger &amp; Support Pipa Refrigerant Tipe VI uk. 3 inch (clamp omega, dynabolt)</t>
  </si>
  <si>
    <t xml:space="preserve">B.103</t>
  </si>
  <si>
    <t xml:space="preserve">Pekerjaan Supply &amp; Instalasi Hanger &amp; Support Pipa Drain</t>
  </si>
  <si>
    <t xml:space="preserve">Pekerjaan Supply &amp; Instalasi Hanger &amp; Support Pipa Drain Tipe I (long drat 6 mm, dynaset, besi siku, u bolt, pipa pvc)</t>
  </si>
  <si>
    <t xml:space="preserve">B.104</t>
  </si>
  <si>
    <t xml:space="preserve">Pekerjaan Supply &amp; Instalasi Hanger &amp; Support Pipa Drain Tipe II uk. 1 inch (clamp omega, dynabolt)</t>
  </si>
  <si>
    <t xml:space="preserve">B.105</t>
  </si>
  <si>
    <t xml:space="preserve">Pekerjaan Supply &amp; Instalasi Hanger &amp; Support Pipa Drain Tipe V uk. 3 inch (clamp omega, dynabolt)</t>
  </si>
  <si>
    <t xml:space="preserve">B.106</t>
  </si>
  <si>
    <t xml:space="preserve">Pekerjaan Instalasi Listrik AC VRF</t>
  </si>
  <si>
    <t xml:space="preserve">Pekerjaan Supply &amp; Instalasi Kabel Power dan Grounding Outdoor</t>
  </si>
  <si>
    <t xml:space="preserve">Pekerjaan Supply &amp; Instalasi Kabel NYY 4 X 35 mm2 + BC 1 x 10 mm2</t>
  </si>
  <si>
    <t xml:space="preserve">B.107</t>
  </si>
  <si>
    <t xml:space="preserve">Pekerjaan Supply &amp; Instalasi Kabel NYY 4 X 25 mm2 + BC 1 x 10 mm2</t>
  </si>
  <si>
    <t xml:space="preserve">B.108</t>
  </si>
  <si>
    <t xml:space="preserve">Pekerjaan Supply &amp; Instalasi Kabel NYY 4 X 16 mm2 + BC 1 x 10 mm2</t>
  </si>
  <si>
    <t xml:space="preserve">B.109</t>
  </si>
  <si>
    <t xml:space="preserve">Instalasi Kabel Power dan Komunikasi Indoor (termasuk pipa conduit)</t>
  </si>
  <si>
    <t xml:space="preserve">Pekerjaan Supply &amp; Instalasi Kabel NYM 3 x 2.5 mm2 termasuk pipa conduit</t>
  </si>
  <si>
    <t xml:space="preserve">B.110</t>
  </si>
  <si>
    <t xml:space="preserve">Pekerjaan Supply &amp; Instalasi Kabel AWG 18 pair termasuk pipa conduit</t>
  </si>
  <si>
    <t xml:space="preserve">B.111</t>
  </si>
  <si>
    <t xml:space="preserve">TESTING &amp; COMMISSIONING</t>
  </si>
  <si>
    <t xml:space="preserve">Testing &amp; Commisioning</t>
  </si>
  <si>
    <t xml:space="preserve">Added Refrigerant Liquid (Freon R32)</t>
  </si>
  <si>
    <t xml:space="preserve">/100gr</t>
  </si>
  <si>
    <t xml:space="preserve">B.112</t>
  </si>
  <si>
    <t xml:space="preserve">Added Refrigerant Liquid (Freon R410A)</t>
  </si>
  <si>
    <t xml:space="preserve">B.113</t>
  </si>
  <si>
    <t xml:space="preserve">Testing (tes kebocoran dan tekanan koneksi pipa refrigerant, tes vakum, tes megger, tes tegangan listrik, tes phasa)</t>
  </si>
  <si>
    <t xml:space="preserve">B.114</t>
  </si>
  <si>
    <t xml:space="preserve">Commissioning</t>
  </si>
  <si>
    <t xml:space="preserve">B.115</t>
  </si>
  <si>
    <t xml:space="preserve">Testing Pipa drain (tes kebocoran dan tekanan koneksi pipa drain)</t>
  </si>
  <si>
    <t xml:space="preserve">B.116</t>
  </si>
  <si>
    <t xml:space="preserve">PEKERJAAN INSTALASI ELEVATOR (LIFT)</t>
  </si>
  <si>
    <t xml:space="preserve">PEKERJAAN PEMASANGAN LIFT</t>
  </si>
  <si>
    <t xml:space="preserve">Pengadaan dan Pemasangan Lift Kap. 400 KG</t>
  </si>
  <si>
    <t xml:space="preserve">B.117</t>
  </si>
  <si>
    <t xml:space="preserve">- Lift Type Machine Roomless</t>
  </si>
  <si>
    <t xml:space="preserve">- Passenger Lift</t>
  </si>
  <si>
    <t xml:space="preserve">- Kapasitas 400 KG</t>
  </si>
  <si>
    <t xml:space="preserve">- 2 Stops</t>
  </si>
  <si>
    <t xml:space="preserve">- Speed 1 m/s</t>
  </si>
  <si>
    <t xml:space="preserve">- Termasuk Aksesoris Cover Enterance/WideJamb dan Interior lift</t>
  </si>
  <si>
    <t xml:space="preserve">- Test and Commissioning</t>
  </si>
  <si>
    <t xml:space="preserve">Instalasi jaringan Listrik Lift; NYY 3 x 6 mm2</t>
  </si>
  <si>
    <t xml:space="preserve">B.118</t>
  </si>
  <si>
    <t xml:space="preserve">JUMLAH PEKERJAAN MEKANIKAL (KANTOR)</t>
  </si>
  <si>
    <t xml:space="preserve">Sanitair Lt. 1</t>
  </si>
  <si>
    <t xml:space="preserve">Kloset Duduk; Water Closer flow rate 4,5/3 L Dual Flush + Aksesoris</t>
  </si>
  <si>
    <t xml:space="preserve">B.119</t>
  </si>
  <si>
    <t xml:space="preserve">Kloset Duduk Difabel; Water Closer flow rate 4,5/3 L Dual Flush + Aksesoris</t>
  </si>
  <si>
    <t xml:space="preserve">B.120</t>
  </si>
  <si>
    <t xml:space="preserve">Jet Washer Toilet</t>
  </si>
  <si>
    <t xml:space="preserve">B.121</t>
  </si>
  <si>
    <t xml:space="preserve">Floor Drain</t>
  </si>
  <si>
    <t xml:space="preserve">B.122</t>
  </si>
  <si>
    <t xml:space="preserve">Kran Air</t>
  </si>
  <si>
    <t xml:space="preserve">B.123</t>
  </si>
  <si>
    <t xml:space="preserve">Kitchen Sink</t>
  </si>
  <si>
    <t xml:space="preserve">B.124</t>
  </si>
  <si>
    <t xml:space="preserve">Kran Kitchen Sink; flow rate 7 L/m</t>
  </si>
  <si>
    <t xml:space="preserve">B.125</t>
  </si>
  <si>
    <t xml:space="preserve">Wastafel Full Set Kran Wastafel flow rate 4 L/m</t>
  </si>
  <si>
    <t xml:space="preserve">B.126</t>
  </si>
  <si>
    <t xml:space="preserve">Wastafel Difabel</t>
  </si>
  <si>
    <t xml:space="preserve">B.127</t>
  </si>
  <si>
    <t xml:space="preserve">Kran Wastafel Difabel; flow rate 7 L/m</t>
  </si>
  <si>
    <t xml:space="preserve">B.128</t>
  </si>
  <si>
    <t xml:space="preserve">Hand Drail Difabel</t>
  </si>
  <si>
    <t xml:space="preserve">B.129</t>
  </si>
  <si>
    <t xml:space="preserve">12</t>
  </si>
  <si>
    <t xml:space="preserve">Hand Bar Difabel</t>
  </si>
  <si>
    <t xml:space="preserve">B.130</t>
  </si>
  <si>
    <t xml:space="preserve">13</t>
  </si>
  <si>
    <t xml:space="preserve">Cermin</t>
  </si>
  <si>
    <t xml:space="preserve">B.131</t>
  </si>
  <si>
    <t xml:space="preserve">Sanitair Lt. 2</t>
  </si>
  <si>
    <t xml:space="preserve">Hand Shower Set With Sink Tap</t>
  </si>
  <si>
    <t xml:space="preserve">B.132</t>
  </si>
  <si>
    <t xml:space="preserve">PEKERJAAN SUMBER AIR BERSIH DAN PERPOMPAAN</t>
  </si>
  <si>
    <t xml:space="preserve">Pek. Sumber Air Bersih</t>
  </si>
  <si>
    <t xml:space="preserve">Pek. Mesin Pompa Distribusi</t>
  </si>
  <si>
    <t xml:space="preserve">Pompa Booster Semi Jet Pump; Semi Jet Pump</t>
  </si>
  <si>
    <t xml:space="preserve">B.133</t>
  </si>
  <si>
    <t xml:space="preserve">Kap. 83 Lpm, Head 61</t>
  </si>
  <si>
    <t xml:space="preserve">Include dengan WLC</t>
  </si>
  <si>
    <t xml:space="preserve">B.134</t>
  </si>
  <si>
    <t xml:space="preserve">Header Pipa GIP 4" + Coating</t>
  </si>
  <si>
    <t xml:space="preserve">B.135</t>
  </si>
  <si>
    <t xml:space="preserve">Gate Valve dia 65 mm 10K</t>
  </si>
  <si>
    <t xml:space="preserve">B.136</t>
  </si>
  <si>
    <t xml:space="preserve">Check Valve dia 65 mm 10K</t>
  </si>
  <si>
    <t xml:space="preserve">B.137</t>
  </si>
  <si>
    <t xml:space="preserve">Gate Valve Bronze dia 25 mm</t>
  </si>
  <si>
    <t xml:space="preserve">B.138</t>
  </si>
  <si>
    <t xml:space="preserve">Pressure Switch</t>
  </si>
  <si>
    <t xml:space="preserve">B.139</t>
  </si>
  <si>
    <t xml:space="preserve">Pressure Gauge</t>
  </si>
  <si>
    <t xml:space="preserve">B.140</t>
  </si>
  <si>
    <t xml:space="preserve">Strainer dia 65 mm 10K</t>
  </si>
  <si>
    <t xml:space="preserve">B.141</t>
  </si>
  <si>
    <t xml:space="preserve">Flexible Joint dia 65 mm 10K</t>
  </si>
  <si>
    <t xml:space="preserve">B.142</t>
  </si>
  <si>
    <t xml:space="preserve">Water Level Control</t>
  </si>
  <si>
    <t xml:space="preserve">B.143</t>
  </si>
  <si>
    <t xml:space="preserve">Instalasi Daya Pompa Distribusi NYY 3x4 mm2</t>
  </si>
  <si>
    <t xml:space="preserve">B.144</t>
  </si>
  <si>
    <t xml:space="preserve">Pek. Pemasangan Water Tank</t>
  </si>
  <si>
    <t xml:space="preserve">Tandon Air Stainless Steel, Kap 2200 Liter</t>
  </si>
  <si>
    <t xml:space="preserve">B.145</t>
  </si>
  <si>
    <t xml:space="preserve">Test and Commisioning</t>
  </si>
  <si>
    <t xml:space="preserve">B.146</t>
  </si>
  <si>
    <t xml:space="preserve">I.3</t>
  </si>
  <si>
    <t xml:space="preserve">PEKERJAAN INSTALASI AIR BERSIH</t>
  </si>
  <si>
    <t xml:space="preserve">Instalasi Pipa Gedung Lantai 1</t>
  </si>
  <si>
    <t xml:space="preserve">Pipa PPR PN 10 Ø 50 mm + Aksesoris (Dari Pompa + Pipa Riser)</t>
  </si>
  <si>
    <t xml:space="preserve">B.147</t>
  </si>
  <si>
    <t xml:space="preserve">Pipa PPR PN 10 Ø 32 mm + Aksesoris</t>
  </si>
  <si>
    <t xml:space="preserve">B.148</t>
  </si>
  <si>
    <t xml:space="preserve">Pipa PPR PN 10 Ø 25 mm + Aksesoris</t>
  </si>
  <si>
    <t xml:space="preserve">B.149</t>
  </si>
  <si>
    <t xml:space="preserve">Pipa PPR PN 10 Ø 20 mm + Aksesoris</t>
  </si>
  <si>
    <t xml:space="preserve">B.150</t>
  </si>
  <si>
    <t xml:space="preserve">Gate Valve PPR - Ø 2''</t>
  </si>
  <si>
    <t xml:space="preserve">B.151</t>
  </si>
  <si>
    <t xml:space="preserve">Instalasi Pipa Gedung Lantai 2</t>
  </si>
  <si>
    <t xml:space="preserve">I.4</t>
  </si>
  <si>
    <t xml:space="preserve">PEKERJAAN INSTALASI AIR BEKAS (GREY WATER)</t>
  </si>
  <si>
    <t xml:space="preserve">Instalasi Pipa Air Bekas Lantai 1</t>
  </si>
  <si>
    <t xml:space="preserve">Pipa PVC Type AW Diameter 4" + Aksesoris</t>
  </si>
  <si>
    <t xml:space="preserve">B.152</t>
  </si>
  <si>
    <t xml:space="preserve">Pipa PVC Type AW Diameter 3" + Aksesoris</t>
  </si>
  <si>
    <t xml:space="preserve">B.153</t>
  </si>
  <si>
    <t xml:space="preserve">Pipa PVC Type AW Diameter 1 1/4" + Aksesoris</t>
  </si>
  <si>
    <t xml:space="preserve">B.154</t>
  </si>
  <si>
    <t xml:space="preserve">Clean Out Stainles Dia. 4"</t>
  </si>
  <si>
    <t xml:space="preserve">B.155</t>
  </si>
  <si>
    <t xml:space="preserve">Clean Out PVC Dia. 4"</t>
  </si>
  <si>
    <t xml:space="preserve">B.156</t>
  </si>
  <si>
    <t xml:space="preserve">Sumur Resapan</t>
  </si>
  <si>
    <t xml:space="preserve">B.157</t>
  </si>
  <si>
    <t xml:space="preserve">Instalasi Pipa Air Bekas Lantai 2</t>
  </si>
  <si>
    <t xml:space="preserve">Pipa PVC Type AW Diameter 4"</t>
  </si>
  <si>
    <t xml:space="preserve">Clean Out PVC 4"</t>
  </si>
  <si>
    <t xml:space="preserve">I.5</t>
  </si>
  <si>
    <t xml:space="preserve">PEKERJAAN INSTALASI AIR KOTOR</t>
  </si>
  <si>
    <t xml:space="preserve">Instalasi Pipa Air Kotor Lantai 1</t>
  </si>
  <si>
    <t xml:space="preserve">Pipa PVC Type AW Diameter 6"; Pipa Utama dan Pipa Riser + Aksesoris</t>
  </si>
  <si>
    <t xml:space="preserve">B.158</t>
  </si>
  <si>
    <t xml:space="preserve">Clean Out Stanless 4"</t>
  </si>
  <si>
    <t xml:space="preserve">Clean Out stanles 6"</t>
  </si>
  <si>
    <t xml:space="preserve">B.159</t>
  </si>
  <si>
    <t xml:space="preserve">Clean Out PVC 6"</t>
  </si>
  <si>
    <t xml:space="preserve">B.160</t>
  </si>
  <si>
    <t xml:space="preserve">Septicktank Bioseptic (10 M3)</t>
  </si>
  <si>
    <t xml:space="preserve">B.161</t>
  </si>
  <si>
    <t xml:space="preserve">Septicktank Bioseptic (1 M3)</t>
  </si>
  <si>
    <t xml:space="preserve">B.162</t>
  </si>
  <si>
    <t xml:space="preserve">Instalasi Pipa Air Kotor Lantai 2</t>
  </si>
  <si>
    <t xml:space="preserve">Clean Out Stanless Dia. 4"</t>
  </si>
  <si>
    <t xml:space="preserve">PEKERJAAN INSTALASI AIR HUJAN</t>
  </si>
  <si>
    <t xml:space="preserve">Instalasi Air Hujan Roof Top / Dak</t>
  </si>
  <si>
    <t xml:space="preserve">Roof Drain</t>
  </si>
  <si>
    <t xml:space="preserve">B.163</t>
  </si>
  <si>
    <t xml:space="preserve">Grouting Lubang Roof Drain</t>
  </si>
  <si>
    <t xml:space="preserve">Titik</t>
  </si>
  <si>
    <t xml:space="preserve">B.164</t>
  </si>
  <si>
    <t xml:space="preserve">JUMLAH PEKERJAAN PLUMBING (KANTOR)</t>
  </si>
  <si>
    <t xml:space="preserve">I.1</t>
  </si>
  <si>
    <t xml:space="preserve">PEKERJAAN PANEL, KABEL FEEDER &amp; KABEL TRAY</t>
  </si>
  <si>
    <t xml:space="preserve">Pek. Panel Listrik</t>
  </si>
  <si>
    <t xml:space="preserve">Panel MDP</t>
  </si>
  <si>
    <t xml:space="preserve">B.165</t>
  </si>
  <si>
    <t xml:space="preserve">Panel SDP-1</t>
  </si>
  <si>
    <t xml:space="preserve">B.166</t>
  </si>
  <si>
    <t xml:space="preserve">Panel SDP-2</t>
  </si>
  <si>
    <t xml:space="preserve">Panel LP/PP-1</t>
  </si>
  <si>
    <t xml:space="preserve">B.167</t>
  </si>
  <si>
    <t xml:space="preserve">Panel LP/PP-2</t>
  </si>
  <si>
    <t xml:space="preserve">B.168</t>
  </si>
  <si>
    <t xml:space="preserve">Panel AC-1</t>
  </si>
  <si>
    <t xml:space="preserve">B.169</t>
  </si>
  <si>
    <t xml:space="preserve">Panel AC-2</t>
  </si>
  <si>
    <t xml:space="preserve">Pek. Kabel Feeder</t>
  </si>
  <si>
    <t xml:space="preserve">Dari Panel MDP ke Panel SDP 1, NYY 4 x 35 mm2</t>
  </si>
  <si>
    <t xml:space="preserve">B.170</t>
  </si>
  <si>
    <t xml:space="preserve">Dari Panel MDP ke Panel SDP 2, NYY 4 x 35 mm2</t>
  </si>
  <si>
    <t xml:space="preserve">Dari Panel SDP 1 Ke panel LP/PP-1, NYY 4 x 10 mm2</t>
  </si>
  <si>
    <t xml:space="preserve">B.171</t>
  </si>
  <si>
    <t xml:space="preserve">Dari Panel SDP 2 Ke panel LP/PP-2, NYY 4 x 10 mm2</t>
  </si>
  <si>
    <t xml:space="preserve">Dari Panel SDP 1 ke Panel AC-1, NYY 4 x 16 mm2</t>
  </si>
  <si>
    <t xml:space="preserve">B.172</t>
  </si>
  <si>
    <t xml:space="preserve">Dari Panel SDP 2 ke Panel AC-2, NYY 4 x 16 mm2</t>
  </si>
  <si>
    <t xml:space="preserve">Pek. Kabel Tray</t>
  </si>
  <si>
    <t xml:space="preserve">Pekerjaan Lantai 1</t>
  </si>
  <si>
    <t xml:space="preserve">Ukuran 40 cm (Arus Kuat), termasuk sambungan &amp; penunjangya</t>
  </si>
  <si>
    <t xml:space="preserve">B.173</t>
  </si>
  <si>
    <t xml:space="preserve">Ukuran 40 cm (Arus Lemah), termasuk sambungan &amp; penunjangya</t>
  </si>
  <si>
    <t xml:space="preserve">B.174</t>
  </si>
  <si>
    <t xml:space="preserve">Pekerjaan Lantai 2</t>
  </si>
  <si>
    <t xml:space="preserve">II.2</t>
  </si>
  <si>
    <t xml:space="preserve">PEKERJAAN INSTALASI STOP KONTAK DAN ARMATUR PENERANGAN</t>
  </si>
  <si>
    <t xml:space="preserve">Pekerjaan Instalasi &amp; Armatur Lantai 1</t>
  </si>
  <si>
    <t xml:space="preserve">Lampu Downlight LED 7 W; Downlight LED 7 Watt</t>
  </si>
  <si>
    <t xml:space="preserve">B.175</t>
  </si>
  <si>
    <t xml:space="preserve">Lampu Downlight LED 13 W; Downlight LED 13 Watt</t>
  </si>
  <si>
    <t xml:space="preserve">B.176</t>
  </si>
  <si>
    <t xml:space="preserve">Lampu Panel 40 W; Lampu Panel LED 40 Watt</t>
  </si>
  <si>
    <t xml:space="preserve">B.177</t>
  </si>
  <si>
    <t xml:space="preserve">LED STRIP; Kuning</t>
  </si>
  <si>
    <t xml:space="preserve">B.178</t>
  </si>
  <si>
    <t xml:space="preserve">Saklar Tunggal</t>
  </si>
  <si>
    <t xml:space="preserve">B.179</t>
  </si>
  <si>
    <t xml:space="preserve">Saklar Ganda</t>
  </si>
  <si>
    <t xml:space="preserve">B.180</t>
  </si>
  <si>
    <t xml:space="preserve">Stop Kontak</t>
  </si>
  <si>
    <t xml:space="preserve">B.181</t>
  </si>
  <si>
    <t xml:space="preserve">Exhaust Fan 8"</t>
  </si>
  <si>
    <t xml:space="preserve">B.182</t>
  </si>
  <si>
    <t xml:space="preserve">Instalasi penerangan, NYM 3 x 2,5 mm2 + Pipa Conduit</t>
  </si>
  <si>
    <t xml:space="preserve">B.183</t>
  </si>
  <si>
    <t xml:space="preserve">Instalasi stop kontak, NYM 3 x 2,5 mm2 + Pipa Conduit</t>
  </si>
  <si>
    <t xml:space="preserve">B.184</t>
  </si>
  <si>
    <t xml:space="preserve">Instalasi Exhaust Fan, NYM 3 x 2,5 mm2 + Pipa Conduit</t>
  </si>
  <si>
    <t xml:space="preserve">B.185</t>
  </si>
  <si>
    <t xml:space="preserve">Pekerjaan Instalasi &amp; Armatur Lantai 2</t>
  </si>
  <si>
    <t xml:space="preserve">II.1</t>
  </si>
  <si>
    <t xml:space="preserve">PEKERJAAN ELEKTRONIKA</t>
  </si>
  <si>
    <t xml:space="preserve">I.6</t>
  </si>
  <si>
    <t xml:space="preserve">PEKERJAAN INSTALASI CCTV</t>
  </si>
  <si>
    <t xml:space="preserve">Pek. Peralatan Utama</t>
  </si>
  <si>
    <t xml:space="preserve">Pemasangan DVR 16 Channel + Hardisk 4 TB</t>
  </si>
  <si>
    <t xml:space="preserve">B.186</t>
  </si>
  <si>
    <t xml:space="preserve">Pemasangan Monitor TV LED 32" + Bracket Full Motion</t>
  </si>
  <si>
    <t xml:space="preserve">B.187</t>
  </si>
  <si>
    <t xml:space="preserve">Pemasangan UPS 1300 VA</t>
  </si>
  <si>
    <t xml:space="preserve">B.188</t>
  </si>
  <si>
    <t xml:space="preserve">Power Distribution Unit</t>
  </si>
  <si>
    <t xml:space="preserve">B.189</t>
  </si>
  <si>
    <t xml:space="preserve">Pekerjaan CCTV Lantai 1</t>
  </si>
  <si>
    <t xml:space="preserve">Pemasangan CCTV Dome</t>
  </si>
  <si>
    <t xml:space="preserve">B.190</t>
  </si>
  <si>
    <t xml:space="preserve">Pemasangan CCTV Fix</t>
  </si>
  <si>
    <t xml:space="preserve">B.191</t>
  </si>
  <si>
    <t xml:space="preserve">Instalasi kabel CCTV, Kabel RG59+Power dalam Pipa Conduit PVC 20mm</t>
  </si>
  <si>
    <t xml:space="preserve">B.192</t>
  </si>
  <si>
    <t xml:space="preserve">Pekerjaan CCTV Lantai 2</t>
  </si>
  <si>
    <t xml:space="preserve">PEKERJAAN INSTALASI TATA SUARA</t>
  </si>
  <si>
    <t xml:space="preserve">Rak Equipment</t>
  </si>
  <si>
    <t xml:space="preserve">B.193</t>
  </si>
  <si>
    <t xml:space="preserve">Mic Paging</t>
  </si>
  <si>
    <t xml:space="preserve">B.194</t>
  </si>
  <si>
    <t xml:space="preserve">Volume Control</t>
  </si>
  <si>
    <t xml:space="preserve">B.195</t>
  </si>
  <si>
    <t xml:space="preserve">Ceiling Speaker 6 Watt</t>
  </si>
  <si>
    <t xml:space="preserve">B.196</t>
  </si>
  <si>
    <t xml:space="preserve">Power Amplifier 1x480 Watt</t>
  </si>
  <si>
    <t xml:space="preserve">B.197</t>
  </si>
  <si>
    <t xml:space="preserve">Instalasi Titik Speaker, NYMHY 2 x 1,5 mm2 dalam conduit</t>
  </si>
  <si>
    <t xml:space="preserve">B.198</t>
  </si>
  <si>
    <t xml:space="preserve">Mixer Frame With Usb Input</t>
  </si>
  <si>
    <t xml:space="preserve">B.199</t>
  </si>
  <si>
    <t xml:space="preserve">Coloum Speaker</t>
  </si>
  <si>
    <t xml:space="preserve">B.200</t>
  </si>
  <si>
    <t xml:space="preserve">Power Amplifier 1x120 Watt</t>
  </si>
  <si>
    <t xml:space="preserve">B.201</t>
  </si>
  <si>
    <t xml:space="preserve">II.3</t>
  </si>
  <si>
    <t xml:space="preserve">PEKERJAAN INSTALASI FIRE ALARM</t>
  </si>
  <si>
    <t xml:space="preserve">MCFA 10 Zone Konvensional + Battery</t>
  </si>
  <si>
    <t xml:space="preserve">B.202</t>
  </si>
  <si>
    <t xml:space="preserve">Annunciator Panel</t>
  </si>
  <si>
    <t xml:space="preserve">B.203</t>
  </si>
  <si>
    <t xml:space="preserve">Instalasi Daya Alat Dari Panel Arus Lemah Ke Unit, NYM 3 x 2,5 mm2 + Pipa Conduit</t>
  </si>
  <si>
    <t xml:space="preserve">B.204</t>
  </si>
  <si>
    <t xml:space="preserve">Pekerjaan Instalasi Fire Alarm Lantai 1</t>
  </si>
  <si>
    <t xml:space="preserve">TB-FA</t>
  </si>
  <si>
    <t xml:space="preserve">B.205</t>
  </si>
  <si>
    <t xml:space="preserve">Kabel Power Dari MCFA Ke TBFA-1</t>
  </si>
  <si>
    <t xml:space="preserve">B.206</t>
  </si>
  <si>
    <t xml:space="preserve">ROR Heat Detector</t>
  </si>
  <si>
    <t xml:space="preserve">B.207</t>
  </si>
  <si>
    <t xml:space="preserve">Smoke Detector</t>
  </si>
  <si>
    <t xml:space="preserve">B.208</t>
  </si>
  <si>
    <t xml:space="preserve">Manual Break Glass</t>
  </si>
  <si>
    <t xml:space="preserve">B.209</t>
  </si>
  <si>
    <t xml:space="preserve">Bell Alarm</t>
  </si>
  <si>
    <t xml:space="preserve">B.210</t>
  </si>
  <si>
    <t xml:space="preserve">Lampu Indikator</t>
  </si>
  <si>
    <t xml:space="preserve">B.211</t>
  </si>
  <si>
    <t xml:space="preserve">Instalasi Detector Fire Alarm, Kabel NYA 2(1x 1,5) mm didalam Pipa Conduit PVC 20mm</t>
  </si>
  <si>
    <t xml:space="preserve">B.212</t>
  </si>
  <si>
    <t xml:space="preserve">Instalasi Bell &amp; Indikator Fire Alarm, Kabel NYA 2(1x 1,5) mm didalam Pipa Conduit PVC 20mm</t>
  </si>
  <si>
    <t xml:space="preserve">Instalasi Manual Break Fire Alarm, Kabel NYA 2(1x 1,5) mm didalam Pipa Conduit PVC 20mm</t>
  </si>
  <si>
    <t xml:space="preserve">Pekerjaan Instalasi Fire Alarm Lantai 2</t>
  </si>
  <si>
    <t xml:space="preserve">TB-FA-2</t>
  </si>
  <si>
    <t xml:space="preserve">Kabel Power Dari MCFA Ke TBFA-2</t>
  </si>
  <si>
    <t xml:space="preserve">Instalasi Fire Alarm, Kabel NYA 2(1x 1,5) mm didalam Pipa Conduit PVC 20mm</t>
  </si>
  <si>
    <t xml:space="preserve">II.5</t>
  </si>
  <si>
    <t xml:space="preserve">PEKERJAAN INSTALASI JARINGAN DATA/LAN</t>
  </si>
  <si>
    <t xml:space="preserve">Biaya Penyambungan Baru Jaringan Internet</t>
  </si>
  <si>
    <t xml:space="preserve">B.213</t>
  </si>
  <si>
    <t xml:space="preserve">Switch hub 24 Port</t>
  </si>
  <si>
    <t xml:space="preserve">B.214</t>
  </si>
  <si>
    <t xml:space="preserve">Rack Server 6U</t>
  </si>
  <si>
    <t xml:space="preserve">B.215</t>
  </si>
  <si>
    <t xml:space="preserve">Pekerjaan Instalasi Jaringan Data/LAN Lantai 1</t>
  </si>
  <si>
    <t xml:space="preserve">Acces Point; Tenda i24 Access Point Wireless</t>
  </si>
  <si>
    <t xml:space="preserve">B.216</t>
  </si>
  <si>
    <t xml:space="preserve">Outlet Data</t>
  </si>
  <si>
    <t xml:space="preserve">B.217</t>
  </si>
  <si>
    <t xml:space="preserve">Instalasi Titik Access Point, Kabel UTP Cat.6 di dalam pipa conduit PVC 20 mm</t>
  </si>
  <si>
    <t xml:space="preserve">B.218</t>
  </si>
  <si>
    <t xml:space="preserve">Instalasi Titik Outlet Data, Kabel UTP Cat.6 di dalam pipa conduit PVC 20 mm</t>
  </si>
  <si>
    <t xml:space="preserve">Pekerjaan Instalasi Jaringan Data/LAN Lantai 2</t>
  </si>
  <si>
    <t xml:space="preserve">I.7</t>
  </si>
  <si>
    <t xml:space="preserve">PEKERJAAN SISTEM PENTANAHAN (GROUNDING)</t>
  </si>
  <si>
    <t xml:space="preserve">Pekerjaan Penangkal Petir</t>
  </si>
  <si>
    <t xml:space="preserve">Pemasangan 1 Set Air Terminal Elektrostatis Radius 100 meter + Connector (Air Terminal LPI Guardian ESE 30)</t>
  </si>
  <si>
    <t xml:space="preserve">B.219</t>
  </si>
  <si>
    <t xml:space="preserve">Tiang Pipa Galvanized 2''</t>
  </si>
  <si>
    <t xml:space="preserve">B.220</t>
  </si>
  <si>
    <t xml:space="preserve">Down Conductor, Kabel BC 70mm + Pipa Conduit</t>
  </si>
  <si>
    <t xml:space="preserve">B.221</t>
  </si>
  <si>
    <t xml:space="preserve">Bor untuk Grounding, termasuk pipa galvanize 1'' dan Kabel BC 95mm (mencapai tahanan 2 ohm)</t>
  </si>
  <si>
    <t xml:space="preserve">Lot</t>
  </si>
  <si>
    <t xml:space="preserve">B.222</t>
  </si>
  <si>
    <t xml:space="preserve">Bak Kontrol</t>
  </si>
  <si>
    <t xml:space="preserve">B.223</t>
  </si>
  <si>
    <t xml:space="preserve">Pekerjaan Grounding Arus Kuat</t>
  </si>
  <si>
    <t xml:space="preserve">Kabel BC 70 mm ke Panel MDP</t>
  </si>
  <si>
    <t xml:space="preserve">B.224</t>
  </si>
  <si>
    <t xml:space="preserve">Kabel BC 70 mm ( Vertikal )</t>
  </si>
  <si>
    <t xml:space="preserve">Kabel BC 50 mm dari Kabel Grounding Vertikal ke SDP 1, SDP 2</t>
  </si>
  <si>
    <t xml:space="preserve">B.225</t>
  </si>
  <si>
    <t xml:space="preserve">Pekerjaan Grounding Arus Lemah</t>
  </si>
  <si>
    <t xml:space="preserve">Kabel BC 4 mm + Aksesoris</t>
  </si>
  <si>
    <t xml:space="preserve">B.226</t>
  </si>
  <si>
    <t xml:space="preserve">Pek. Grounding System Max. 1 Ohm</t>
  </si>
  <si>
    <t xml:space="preserve">B.227</t>
  </si>
  <si>
    <t xml:space="preserve">JUMLAH PEKERJAAN ELEKTRIKAL (KANTOR)</t>
  </si>
  <si>
    <t xml:space="preserve">Pekerjaan Tanah Area Poer Plat dan Tie Beam</t>
  </si>
  <si>
    <t xml:space="preserve">Pek. Urugan Pasir Poer Plat dan Tie Beam</t>
  </si>
  <si>
    <t xml:space="preserve">JUMLAH PEKERJAAN TANAH (WORKSHOP LAS)</t>
  </si>
  <si>
    <t xml:space="preserve">III.1</t>
  </si>
  <si>
    <t xml:space="preserve">Pekerjaan Pondasi Tiang (dalam 6 m)</t>
  </si>
  <si>
    <t xml:space="preserve">Pengadaan tiang pancang Dia.40 spun pile runcing (panjang 6 m)</t>
  </si>
  <si>
    <t xml:space="preserve">B.228</t>
  </si>
  <si>
    <t xml:space="preserve">Pekerjaan Pile Cap PC1</t>
  </si>
  <si>
    <t xml:space="preserve">Pekerjaan Pile Cap PC2</t>
  </si>
  <si>
    <t xml:space="preserve">Pekerjaan Kolom Pedestal 40X60 (K1)</t>
  </si>
  <si>
    <t xml:space="preserve">Pekerjaan Kolom Pedestal 40X40 (K2)</t>
  </si>
  <si>
    <t xml:space="preserve">Pekerjaan Tie Beam 30x50</t>
  </si>
  <si>
    <t xml:space="preserve">Pekerjaan Sloof 15x20</t>
  </si>
  <si>
    <t xml:space="preserve">III.2</t>
  </si>
  <si>
    <t xml:space="preserve">Termasuk Pekerjaan Pengecatan Zincromate (Anti Karat), Pengelasan, dan Perakitan</t>
  </si>
  <si>
    <t xml:space="preserve">Pekerjaan Struktur Baja Lantai 1</t>
  </si>
  <si>
    <t xml:space="preserve">Pek. Base Plate Kolom BJ 37 Uk. 450X275X10</t>
  </si>
  <si>
    <t xml:space="preserve">kg</t>
  </si>
  <si>
    <t xml:space="preserve">A.47</t>
  </si>
  <si>
    <t xml:space="preserve">Pek. Base Plate Kolom BJ 37 Uk. 300X200X10</t>
  </si>
  <si>
    <t xml:space="preserve">Pek. Angkur Ø19</t>
  </si>
  <si>
    <t xml:space="preserve">B.229</t>
  </si>
  <si>
    <t xml:space="preserve">Pek. Angkur Ø16</t>
  </si>
  <si>
    <t xml:space="preserve">B.230</t>
  </si>
  <si>
    <t xml:space="preserve">Pek. Grouting</t>
  </si>
  <si>
    <t xml:space="preserve">B.231</t>
  </si>
  <si>
    <t xml:space="preserve">Pek. Kolom Baja WF 350 x 175 x 7 x 11 mm El. 0m</t>
  </si>
  <si>
    <t xml:space="preserve">Pek. Kolom Baja WF 200 x 100 x 5,5 x 8 mm El. 0m</t>
  </si>
  <si>
    <t xml:space="preserve">Pek. Balok Baja WF 200 x 100 x 5,5 x 8 mm El. 4,8m</t>
  </si>
  <si>
    <t xml:space="preserve">Pek. Balok Baja WF 200 x 100 x 5,5 x 8 mm El. 6m</t>
  </si>
  <si>
    <t xml:space="preserve">Pek. Balok Baja WF 150 x 75 x 5 x 7 mm El. 3,68m</t>
  </si>
  <si>
    <t xml:space="preserve">Pek. Joint Plate Tebal 12mm</t>
  </si>
  <si>
    <t xml:space="preserve">Pek. Joint Plate Tebal 10mm</t>
  </si>
  <si>
    <t xml:space="preserve">Pek. Baut HTB M16</t>
  </si>
  <si>
    <t xml:space="preserve">B.232</t>
  </si>
  <si>
    <t xml:space="preserve">14</t>
  </si>
  <si>
    <t xml:space="preserve">Pek. Erection Baja include Pengelasan + Pengecatan zinc chromate</t>
  </si>
  <si>
    <t xml:space="preserve">A.48</t>
  </si>
  <si>
    <t xml:space="preserve">Pekerjaan Plat Lantai (T=12cm)</t>
  </si>
  <si>
    <t xml:space="preserve">Pek. Lantai Kerja beton f'c = 7,5 Mpa K-100 (T=5cm)</t>
  </si>
  <si>
    <t xml:space="preserve">Pekerjaan Plat Dak Talang (T=10cm)</t>
  </si>
  <si>
    <t xml:space="preserve">Pek. Wiremesh M8 2 Lapis</t>
  </si>
  <si>
    <t xml:space="preserve">A.21</t>
  </si>
  <si>
    <t xml:space="preserve">Pekerjaan Kolom 15x30 (K3)</t>
  </si>
  <si>
    <t xml:space="preserve">Pekerjaan Kolom 25x25 (K4)</t>
  </si>
  <si>
    <t xml:space="preserve">Pekerjaan Balok 25x25 (B1)</t>
  </si>
  <si>
    <t xml:space="preserve">Pekerjaan Balok 15x20 (B2)</t>
  </si>
  <si>
    <t xml:space="preserve">III.3</t>
  </si>
  <si>
    <t xml:space="preserve">PEKERJAAN STRUKTUR ATAP</t>
  </si>
  <si>
    <t xml:space="preserve">Pek. Rangka Atap Baja WF 250 x 125 x 6 x 9 mm</t>
  </si>
  <si>
    <t xml:space="preserve">Pek. Gording CNP 150 x 50 x 20 x 2,3mm</t>
  </si>
  <si>
    <t xml:space="preserve">Pek. Top Plate Tebal 10mm</t>
  </si>
  <si>
    <t xml:space="preserve">Pek. Besi Siku 75x75x6</t>
  </si>
  <si>
    <t xml:space="preserve">Pek. Voute</t>
  </si>
  <si>
    <t xml:space="preserve">Pek. Bracing Rangka Atap Besi Ø 12 mm</t>
  </si>
  <si>
    <t xml:space="preserve">Pek. Trekstang Ø 10 mm</t>
  </si>
  <si>
    <t xml:space="preserve">Pek. Jarum keras M-12</t>
  </si>
  <si>
    <t xml:space="preserve">B.233</t>
  </si>
  <si>
    <t xml:space="preserve">JUMLAH PEKERJAAN STRUKTURAL (WORKSHOP LAS)</t>
  </si>
  <si>
    <t xml:space="preserve">IV.1</t>
  </si>
  <si>
    <t xml:space="preserve">Pek. Plesteran Dinding Bata Ringan</t>
  </si>
  <si>
    <t xml:space="preserve">Pek. Plesteran Beton</t>
  </si>
  <si>
    <t xml:space="preserve">Pek. Acian Dinding dan Beton</t>
  </si>
  <si>
    <t xml:space="preserve">Pek. Dinding Granite Tile Ukuran 30 X 60 cm Area KM/WC</t>
  </si>
  <si>
    <t xml:space="preserve">A.31</t>
  </si>
  <si>
    <t xml:space="preserve">IV.2</t>
  </si>
  <si>
    <t xml:space="preserve">Pek. Aluminium Composite Panel China Grey Colour PVDF + Rangka Besi Hollow</t>
  </si>
  <si>
    <t xml:space="preserve">Pek. Aluminium Composite Panel Sparkling White Colour PVDF + Rangka Besi Hollow</t>
  </si>
  <si>
    <t xml:space="preserve">Pek. Aluminium Composite Panel Grey Ral Colour PVDF + Rangka Besi Hollow</t>
  </si>
  <si>
    <t xml:space="preserve">Pek. Aluminium Composite Panel Iron Grey Colour PVDF + Rangka Besi Hollow</t>
  </si>
  <si>
    <t xml:space="preserve">Pek. Kisi - Kisi Atap</t>
  </si>
  <si>
    <t xml:space="preserve">B.234</t>
  </si>
  <si>
    <t xml:space="preserve">Pek. Wall Panel Eksterior</t>
  </si>
  <si>
    <t xml:space="preserve">B.235</t>
  </si>
  <si>
    <t xml:space="preserve">Pek. Papan Nama Gedung + Lampu LED</t>
  </si>
  <si>
    <t xml:space="preserve">B.236</t>
  </si>
  <si>
    <t xml:space="preserve">IV.3</t>
  </si>
  <si>
    <t xml:space="preserve">Pek. Floor Hardener Area Workshop dan Rabat Entrance</t>
  </si>
  <si>
    <t xml:space="preserve">B.237</t>
  </si>
  <si>
    <t xml:space="preserve">Pek. Epoxy Flooring 2000 Micron Area Workshop</t>
  </si>
  <si>
    <t xml:space="preserve">B.238</t>
  </si>
  <si>
    <t xml:space="preserve">Pek. Tegel Granite Tile Type Polished Ukuran 60 X 60 cm Area Ruang Kelas</t>
  </si>
  <si>
    <t xml:space="preserve">Pek. Tegel Granite Tile Type Unpolished Ukuran 60 X 60 cm Kamar Mandi</t>
  </si>
  <si>
    <t xml:space="preserve">IV.4</t>
  </si>
  <si>
    <t xml:space="preserve">Pek. Pengecoran (Pengunci Paving)</t>
  </si>
  <si>
    <t xml:space="preserve">IV.5</t>
  </si>
  <si>
    <t xml:space="preserve">Pek. Pintu Utama (P-01) + Aksesoris</t>
  </si>
  <si>
    <t xml:space="preserve">B.239</t>
  </si>
  <si>
    <t xml:space="preserve">Pek. Pintu Ruang Kelas (P-02) + Aksesoris</t>
  </si>
  <si>
    <t xml:space="preserve">B.240</t>
  </si>
  <si>
    <t xml:space="preserve">Pek. Pintu Kamar Mandi (P-03) + Aksesoris</t>
  </si>
  <si>
    <t xml:space="preserve">B.241</t>
  </si>
  <si>
    <t xml:space="preserve">Pek. Pintu Kamar Mandi Difabel (P-04) + Aksesoris</t>
  </si>
  <si>
    <t xml:space="preserve">B.242</t>
  </si>
  <si>
    <t xml:space="preserve">Pek. Jendela (J-02) + Aksesoris</t>
  </si>
  <si>
    <t xml:space="preserve">B.243</t>
  </si>
  <si>
    <t xml:space="preserve">Pek. Jendela (J-03) + Aksesoris</t>
  </si>
  <si>
    <t xml:space="preserve">B.244</t>
  </si>
  <si>
    <t xml:space="preserve">Pek. Jendela (J-04) + Aksesoris</t>
  </si>
  <si>
    <t xml:space="preserve">B.245</t>
  </si>
  <si>
    <t xml:space="preserve">Pek. Jalusi Tralis (JT-01) + Aksesoris</t>
  </si>
  <si>
    <t xml:space="preserve">B.246</t>
  </si>
  <si>
    <t xml:space="preserve">Pek. Jalusi Tralis (JT-02) + Aksesoris</t>
  </si>
  <si>
    <t xml:space="preserve">Pek. Railing Ramp Akses Difabel</t>
  </si>
  <si>
    <t xml:space="preserve">B.247</t>
  </si>
  <si>
    <t xml:space="preserve">IV.6</t>
  </si>
  <si>
    <t xml:space="preserve">Pek. Manhole</t>
  </si>
  <si>
    <t xml:space="preserve">B.248</t>
  </si>
  <si>
    <t xml:space="preserve">Pek. Atap Spandek (Area Baja WF)</t>
  </si>
  <si>
    <t xml:space="preserve">B.249</t>
  </si>
  <si>
    <t xml:space="preserve">Pek. Aluminium Foil + Thermal Foam Insulation 10mm</t>
  </si>
  <si>
    <t xml:space="preserve">B.250</t>
  </si>
  <si>
    <t xml:space="preserve">Pek. Nok Atap Spandek</t>
  </si>
  <si>
    <t xml:space="preserve">B.251</t>
  </si>
  <si>
    <t xml:space="preserve">Pek. Atap Spandek + Rangka Kuda-Kuda Baja Ringan</t>
  </si>
  <si>
    <t xml:space="preserve">B.252</t>
  </si>
  <si>
    <t xml:space="preserve">IV.7</t>
  </si>
  <si>
    <t xml:space="preserve">IV.8</t>
  </si>
  <si>
    <t xml:space="preserve">Pek. Pasangan Rolag 1/2 Bata, Camp. 1 Pc : 5 Ps (Area Tangga)</t>
  </si>
  <si>
    <t xml:space="preserve">Pek. Pasangan Rolag 1/2 Bata, Camp. 1 Pc : 5 Ps (Area Saluran)</t>
  </si>
  <si>
    <t xml:space="preserve">Pek. Rabat Beton Keliling Gedung f'c = 7,5 Mpa K-100 (T=7cm)</t>
  </si>
  <si>
    <t xml:space="preserve">Pek. Lantai Saluran beton f'c = 7,5 Mpa K-100 (T=5cm)</t>
  </si>
  <si>
    <t xml:space="preserve">JUMLAH PEKERJAAN ARSITEKTURAL (WORKSHOP LAS)</t>
  </si>
  <si>
    <t xml:space="preserve">Pekerjaan Pengadaan dan Pemasangan Unit AC Termasuk Instalasi Kabel Power Indoor, Kabel Kontrol, Pipa Refrigerant, Drain AC, Perangkat</t>
  </si>
  <si>
    <t xml:space="preserve">perlengkapan lainnya, Material Bantu dan Test Commisioning.</t>
  </si>
  <si>
    <t xml:space="preserve">Unit AC, kapasitas : 18.000 Btu/h; Type Wall Mounted Inverter</t>
  </si>
  <si>
    <t xml:space="preserve">B.253</t>
  </si>
  <si>
    <t xml:space="preserve">Instalasi Pipa Refrigerant 1/2"x1/4'' berisolasi + Kabel NYY 3 x 4 mm2 dan aksesoris</t>
  </si>
  <si>
    <t xml:space="preserve">B.254</t>
  </si>
  <si>
    <t xml:space="preserve">Instalasi Pipa Drain AC, Pipa PVC AW Ø 1" Berisolasi + Aksesoris</t>
  </si>
  <si>
    <t xml:space="preserve">B.255</t>
  </si>
  <si>
    <t xml:space="preserve">Instalasi Indoor AC, NYM 3 x 4 mm2 + Pipa Conduit</t>
  </si>
  <si>
    <t xml:space="preserve">B.256</t>
  </si>
  <si>
    <t xml:space="preserve">JUMLAH PEKERJAAN MEKANIKAL (WORKSHOP LAS)</t>
  </si>
  <si>
    <t xml:space="preserve">VI.1</t>
  </si>
  <si>
    <t xml:space="preserve">PEKERJAAN SANITAIR</t>
  </si>
  <si>
    <t xml:space="preserve">Wastafel Toilet</t>
  </si>
  <si>
    <t xml:space="preserve">B.257</t>
  </si>
  <si>
    <t xml:space="preserve">Kran Air Wastafel flow rate 4 L/m</t>
  </si>
  <si>
    <t xml:space="preserve">B.258</t>
  </si>
  <si>
    <t xml:space="preserve">VI.2</t>
  </si>
  <si>
    <t xml:space="preserve">Pompa Booster</t>
  </si>
  <si>
    <t xml:space="preserve">B.259</t>
  </si>
  <si>
    <t xml:space="preserve">Kap. 60 Lpm</t>
  </si>
  <si>
    <t xml:space="preserve">Gate Valve PPR dia 32 mm</t>
  </si>
  <si>
    <t xml:space="preserve">B.260</t>
  </si>
  <si>
    <t xml:space="preserve">Check Valve dia 32 mm</t>
  </si>
  <si>
    <t xml:space="preserve">B.261</t>
  </si>
  <si>
    <t xml:space="preserve">VI.3</t>
  </si>
  <si>
    <t xml:space="preserve">Instalasi Pipa Air Bersih</t>
  </si>
  <si>
    <t xml:space="preserve">Pipa PPR PN 10 Ø 50 mm + Aksesoris</t>
  </si>
  <si>
    <t xml:space="preserve">VI.4</t>
  </si>
  <si>
    <t xml:space="preserve">Instalasi Pipa Air Bekas</t>
  </si>
  <si>
    <t xml:space="preserve">Pipa PVC Type AW Diameter 4"; Pipa Utama + Aksesoris</t>
  </si>
  <si>
    <t xml:space="preserve">VI.5</t>
  </si>
  <si>
    <t xml:space="preserve">Instalasi Pipa Air Kotor</t>
  </si>
  <si>
    <t xml:space="preserve">Pipa PVC Type AW Diameter 6" + Aksesoris</t>
  </si>
  <si>
    <t xml:space="preserve">Septicktank Bioseptic (2 M3)</t>
  </si>
  <si>
    <t xml:space="preserve">B.262</t>
  </si>
  <si>
    <t xml:space="preserve">Pekerjaan Sumur Resapan + Aksesoris</t>
  </si>
  <si>
    <t xml:space="preserve">VI.6</t>
  </si>
  <si>
    <t xml:space="preserve">Pipa PVC Type AW Diameter 4" + Aksesoris (Menuju Saluran Kawasan)</t>
  </si>
  <si>
    <t xml:space="preserve">Pek. Talang Air Hujan Uk. 30x25 (Plat Aluminium 0,3mm, Hollow 5x5 dan Siku 4x4) + Aksesoris</t>
  </si>
  <si>
    <t xml:space="preserve">B.263</t>
  </si>
  <si>
    <t xml:space="preserve">JUMLAH PEKERJAAN PLUMBING (WORKSHOP LAS)</t>
  </si>
  <si>
    <t xml:space="preserve">VII.1</t>
  </si>
  <si>
    <t xml:space="preserve">PEKERJAAN PANEL LISTRIK &amp; RAK KABEL</t>
  </si>
  <si>
    <t xml:space="preserve">Pek. Rak Kabel</t>
  </si>
  <si>
    <t xml:space="preserve">Ukuran 40 cm, termasuk sambungan &amp; penunjangya</t>
  </si>
  <si>
    <t xml:space="preserve">VII.2</t>
  </si>
  <si>
    <t xml:space="preserve">Pekerjaan Instalasi &amp; Armatur Lantai</t>
  </si>
  <si>
    <t xml:space="preserve">Lampu High Bay LED 100 Watt</t>
  </si>
  <si>
    <t xml:space="preserve">B.264</t>
  </si>
  <si>
    <t xml:space="preserve">Stop Kontak 3 Phase</t>
  </si>
  <si>
    <t xml:space="preserve">B.265</t>
  </si>
  <si>
    <t xml:space="preserve">VII.3</t>
  </si>
  <si>
    <t xml:space="preserve">MCFA 5 Zone Konvensional + Battery</t>
  </si>
  <si>
    <t xml:space="preserve">B.266</t>
  </si>
  <si>
    <t xml:space="preserve">Pekerjaan Instalasi Fire Alarm</t>
  </si>
  <si>
    <t xml:space="preserve">Stil Penangkal Petir</t>
  </si>
  <si>
    <t xml:space="preserve">B.267</t>
  </si>
  <si>
    <t xml:space="preserve">Kabel BC 50 mm + Accesoris</t>
  </si>
  <si>
    <t xml:space="preserve">Pek. Grounding System Max. 5 Ohm</t>
  </si>
  <si>
    <t xml:space="preserve">B.268</t>
  </si>
  <si>
    <t xml:space="preserve">Copper Rod. Clamp Rod, BAR CU</t>
  </si>
  <si>
    <t xml:space="preserve">Bor untuk Grounding, termasuk pipa galvanize 1'' dan Kabel BC 10mm (mencapai tahanan 2 ohm)</t>
  </si>
  <si>
    <t xml:space="preserve">B.269</t>
  </si>
  <si>
    <t xml:space="preserve">Kabel BC 50 mm dari Kabel Grounding Vertikal</t>
  </si>
  <si>
    <t xml:space="preserve">JUMLAH PEKERJAAN ELEKTRIKAL (WORKSHOP LAS)</t>
  </si>
  <si>
    <t xml:space="preserve">JUMLAH PEKERJAAN TANAH (WORKSHOP MEKANIK)</t>
  </si>
  <si>
    <t xml:space="preserve">Pekerjaan Pondasi Tiang (dalam 15 m)</t>
  </si>
  <si>
    <t xml:space="preserve">Biaya Penyambungan tiang</t>
  </si>
  <si>
    <t xml:space="preserve">B.270</t>
  </si>
  <si>
    <t xml:space="preserve">Pekerjaan Poerplat PP1</t>
  </si>
  <si>
    <t xml:space="preserve">Pekerjaan Poerplat PP2</t>
  </si>
  <si>
    <t xml:space="preserve">Pekerjaan Kolom Pedestal 40X60 (KP1)</t>
  </si>
  <si>
    <t xml:space="preserve">Pekerjaan Kolom Pedestal 40X40 (KP2)</t>
  </si>
  <si>
    <t xml:space="preserve">Pekerjaan Plat Lantai Dak (T=10cm)</t>
  </si>
  <si>
    <t xml:space="preserve">Pekerjaan Balok 25x25</t>
  </si>
  <si>
    <t xml:space="preserve">Pekerjaan Balok 15x20</t>
  </si>
  <si>
    <t xml:space="preserve">JUMLAH PEKERJAAN STRUKTURAL (WORKSHOP MEKANIK)</t>
  </si>
  <si>
    <t xml:space="preserve">Pek. Aluminium Composite Panel Light Grey White Colour PVDF + Rangka Besi Hollow</t>
  </si>
  <si>
    <t xml:space="preserve">Pek. Aluminium Composite Panel White Colour PVDF + Rangka Besi Hollow</t>
  </si>
  <si>
    <t xml:space="preserve">Pek. Aluminium Foil + Thermal Foam Insulation 8mm</t>
  </si>
  <si>
    <t xml:space="preserve">B.271</t>
  </si>
  <si>
    <t xml:space="preserve">JUMLAH PEKERJAAN ARSITEKTURAL (WORKSHOP MEKANIK)</t>
  </si>
  <si>
    <t xml:space="preserve">JUMLAH PEKERJAAN MEKANIKAL (WORKSHOP MEKANIK)</t>
  </si>
  <si>
    <t xml:space="preserve">Pompa Booster Sumur Dangkal Grundfos JP 4 - 47 PT</t>
  </si>
  <si>
    <t xml:space="preserve">B.272</t>
  </si>
  <si>
    <t xml:space="preserve">JUMLAH PEKERJAAN PLUMBING (WORKSHOP MEKANIK)</t>
  </si>
  <si>
    <t xml:space="preserve">JUMLAH PEKERJAAN ELEKTRIKAL (WORKSHOP MEKANIK)</t>
  </si>
  <si>
    <t xml:space="preserve">WORKSHOP RINGAN (TIK)</t>
  </si>
  <si>
    <t xml:space="preserve">Pekerjaan Tanah Area Poer Plat, Pondasi Batu Kali dan Saluran Keliling</t>
  </si>
  <si>
    <t xml:space="preserve">JUMLAH PEKERJAAN TANAH (WORKSHOP RINGAN TEKNIK INFORMATIKA DAN KOMPUTER (TIK))</t>
  </si>
  <si>
    <t xml:space="preserve">III.A</t>
  </si>
  <si>
    <t xml:space="preserve">Pekerjaan Pilecap 200X100</t>
  </si>
  <si>
    <t xml:space="preserve">Pekerjaan Tie Beam (TB) 25x50</t>
  </si>
  <si>
    <t xml:space="preserve">Pekerjaan Kolom Pedestal (K1) 40x40</t>
  </si>
  <si>
    <t xml:space="preserve">Pekerjaan Pondasi Batu Kali</t>
  </si>
  <si>
    <t xml:space="preserve">Pekerjaan Sloof (SL) 20x30</t>
  </si>
  <si>
    <t xml:space="preserve">III.B</t>
  </si>
  <si>
    <t xml:space="preserve">PEKERJAAN STRUKTUR ATAS</t>
  </si>
  <si>
    <t xml:space="preserve">Pekerjaan Cor Rabat Keliling Bangunan (T=7cm)</t>
  </si>
  <si>
    <t xml:space="preserve">Pek. Rabat Keliling Bangunan beton f'c = 7,4 Mpa K-100 (T=7cm)</t>
  </si>
  <si>
    <t xml:space="preserve">Pekerjaan Cor Ramp Bangunan dan Tangga (T=10cm)</t>
  </si>
  <si>
    <t xml:space="preserve">Pekerjaan Cor Lantai Bangunan (T=12cm)</t>
  </si>
  <si>
    <t xml:space="preserve">Pekerjaan Kolom (K1) 40x40</t>
  </si>
  <si>
    <t xml:space="preserve">Pekerjaan Kolom (K2) 30x50</t>
  </si>
  <si>
    <t xml:space="preserve">Pekerjaan Balok (RB-1) 25x40</t>
  </si>
  <si>
    <t xml:space="preserve">Pekerjaan Balok (RB-2) 20x30</t>
  </si>
  <si>
    <t xml:space="preserve">Pekerjaan Balok (BP-1) 15x30</t>
  </si>
  <si>
    <t xml:space="preserve">Pekerjaan Balok Tanggulan Dak (10x20)</t>
  </si>
  <si>
    <t xml:space="preserve">Pekerjaan Plat Dak (T=12 cm)</t>
  </si>
  <si>
    <t xml:space="preserve">JUMLAH PEKERJAAN STRUKTURAL (WORKSHOP RINGAN TEKNIK INFORMATIKA DAN KOMPUTER (TIK))</t>
  </si>
  <si>
    <t xml:space="preserve">II.3.1</t>
  </si>
  <si>
    <t xml:space="preserve">Pek. Plesteran Ciprat</t>
  </si>
  <si>
    <t xml:space="preserve">A.29</t>
  </si>
  <si>
    <t xml:space="preserve">Pek. Acian Beton</t>
  </si>
  <si>
    <t xml:space="preserve">II.3.2</t>
  </si>
  <si>
    <t xml:space="preserve">Pek. Secondary Skin WPC Panel + Rangka Besi Hollow</t>
  </si>
  <si>
    <t xml:space="preserve">B.273</t>
  </si>
  <si>
    <t xml:space="preserve">Pek. Papan Nama Gedung</t>
  </si>
  <si>
    <t xml:space="preserve">B.274</t>
  </si>
  <si>
    <t xml:space="preserve">Pek. Railing Stainless</t>
  </si>
  <si>
    <t xml:space="preserve">B.275</t>
  </si>
  <si>
    <t xml:space="preserve">II.3.4</t>
  </si>
  <si>
    <t xml:space="preserve">Pek. Granite Tile Type Polished Ukuran 60 X 60 cm Area Dalam Gedung</t>
  </si>
  <si>
    <t xml:space="preserve">Pek. Granite Tile Type Unpolished Ukuran 60 X 60 cm Area Teras</t>
  </si>
  <si>
    <t xml:space="preserve">Pek. Granite Tile Type Unpolished Ukuran 60 X 60 cm Area KM/WC</t>
  </si>
  <si>
    <t xml:space="preserve">II.3.5</t>
  </si>
  <si>
    <t xml:space="preserve">Pek. Pintu Jendela Utama (PJ-01) Tempered Glass 12mm + Aksesoris</t>
  </si>
  <si>
    <t xml:space="preserve">Pek. Pintu Jendela Utama (PJ-02) Tempered Glass 12mm + Aksesoris</t>
  </si>
  <si>
    <t xml:space="preserve">Pek. Pintu Allumunium (P-03) + Aksesoris</t>
  </si>
  <si>
    <t xml:space="preserve">B.276</t>
  </si>
  <si>
    <t xml:space="preserve">Pek. Pintu Allumunium (P-04) + Aksesoris</t>
  </si>
  <si>
    <t xml:space="preserve">Pek. Jendela (CW-01) Tempered Glass 12mm + Aksesoris</t>
  </si>
  <si>
    <t xml:space="preserve">B.277</t>
  </si>
  <si>
    <t xml:space="preserve">Pek. Jendela (CW-02) Tempered Glass 12mm + Aksesoris</t>
  </si>
  <si>
    <t xml:space="preserve">Pek.Ventilasi (V-01) + Aksesoris</t>
  </si>
  <si>
    <t xml:space="preserve">II.3.6</t>
  </si>
  <si>
    <t xml:space="preserve">Pek. Atap Bitumen + Rangka Baja Ringan</t>
  </si>
  <si>
    <t xml:space="preserve">B.278</t>
  </si>
  <si>
    <t xml:space="preserve">II.3.7</t>
  </si>
  <si>
    <t xml:space="preserve">II.3.8</t>
  </si>
  <si>
    <t xml:space="preserve">PEKERJAAN SALURAN KELILING BANGUNAN</t>
  </si>
  <si>
    <t xml:space="preserve">Pek. Plesteran Dinding Saluran, Campuran 1 Pc : 5 Ps, tebal 15 mm</t>
  </si>
  <si>
    <t xml:space="preserve">Pek. Acian Dinding Saluran</t>
  </si>
  <si>
    <t xml:space="preserve">Pek. Lantai Saluran beton f'c = 7,4 Mpa K-100 (T=5cm)</t>
  </si>
  <si>
    <t xml:space="preserve">Pek. Rumput Gajah</t>
  </si>
  <si>
    <t xml:space="preserve">B.279</t>
  </si>
  <si>
    <t xml:space="preserve">II.3.9</t>
  </si>
  <si>
    <t xml:space="preserve">JUMLAH PEKERJAAN ARSITEKTURAL (WORKSHOP RINGAN TEKNIK INFORMATIKA DAN KOMPUTER (TIK))</t>
  </si>
  <si>
    <t xml:space="preserve">V.1</t>
  </si>
  <si>
    <t xml:space="preserve">PEKERJAAN MEKANIKAL (WORKSHOP TEKNIK INFORMATIKA DAN KOMPUTER (TIK))</t>
  </si>
  <si>
    <t xml:space="preserve">Fire Extinguiser Type ABC Powder 3 KG</t>
  </si>
  <si>
    <t xml:space="preserve">Unit AC, kapasitas : 36.000 Btu/h; Type Ceiling Cassette</t>
  </si>
  <si>
    <t xml:space="preserve">B.280</t>
  </si>
  <si>
    <t xml:space="preserve">Instalasi Pipa Refrigerant 5/8"x3/8'' berisolasi + Kabel NYY 3 x 4 mm2 dan aksesoris</t>
  </si>
  <si>
    <t xml:space="preserve">B.281</t>
  </si>
  <si>
    <t xml:space="preserve">V.2.1</t>
  </si>
  <si>
    <t xml:space="preserve">PEKERJAAN PLUMBING (WORKSHOP TEKNIK INFORMATIKA DAN KOMPUTER (TIK))</t>
  </si>
  <si>
    <t xml:space="preserve">Urinoir</t>
  </si>
  <si>
    <t xml:space="preserve">B.282</t>
  </si>
  <si>
    <t xml:space="preserve">V.2.2</t>
  </si>
  <si>
    <t xml:space="preserve">V.2.3</t>
  </si>
  <si>
    <t xml:space="preserve">Instalasi Pipa Gedung</t>
  </si>
  <si>
    <t xml:space="preserve">V.2.4</t>
  </si>
  <si>
    <t xml:space="preserve">Pipa PVC Type AW Diameter 2" + Aksesoris</t>
  </si>
  <si>
    <t xml:space="preserve">B.283</t>
  </si>
  <si>
    <t xml:space="preserve">Pipa PVC Type AW Diameter 4"; Dari Saluran Keliling Gedung Workshop Teknik Informatika dan Komputer (TIK) Ke Saluran Kawasan +</t>
  </si>
  <si>
    <t xml:space="preserve">V.2.5</t>
  </si>
  <si>
    <t xml:space="preserve">Septicktank Bioseptic (3 M3)</t>
  </si>
  <si>
    <t xml:space="preserve">B.284</t>
  </si>
  <si>
    <t xml:space="preserve">Sumur Resapan (Buis Beton) + Aksesoris</t>
  </si>
  <si>
    <t xml:space="preserve">B.285</t>
  </si>
  <si>
    <t xml:space="preserve">V.2.6</t>
  </si>
  <si>
    <t xml:space="preserve">JUMLAH PEKERJAAN MEKANIKAL PLUMBING (WORKSHOP TEKNIK INFORMATIKA DAN KOMPUTER (TIK))</t>
  </si>
  <si>
    <t xml:space="preserve">PEKERJAAN PANEL LISTRIK &amp; KABEL TRAY</t>
  </si>
  <si>
    <t xml:space="preserve">Panel LP/PP - Workshop Ringan Teknik Informatika dan Komputer (TIK)</t>
  </si>
  <si>
    <t xml:space="preserve">B.286</t>
  </si>
  <si>
    <t xml:space="preserve">Pekerjaan Instalasi &amp; Armatur</t>
  </si>
  <si>
    <t xml:space="preserve">Lampu Downlight LED 9 W; Downlight Outbow LED 9 Watt</t>
  </si>
  <si>
    <t xml:space="preserve">B.287</t>
  </si>
  <si>
    <t xml:space="preserve">Stop Kontak AC</t>
  </si>
  <si>
    <t xml:space="preserve">B.288</t>
  </si>
  <si>
    <t xml:space="preserve">Instalasi Daya AC, NYM 3 x 4 mm2 + Pipa Conduit</t>
  </si>
  <si>
    <t xml:space="preserve">B.289</t>
  </si>
  <si>
    <t xml:space="preserve">JUMLAH PEKERJAAN ELEKTRIKAL (WORKSHOP TEKNIK INFORMATIKA DAN KOMPUTER (TIK))</t>
  </si>
  <si>
    <t xml:space="preserve">JUMLAH WORKSHOP RINGAN (TIK)</t>
  </si>
  <si>
    <t xml:space="preserve">Pekerjaan Tanah Area Poer Plat</t>
  </si>
  <si>
    <t xml:space="preserve">Pek. Urugan Pasir Poer Plat Menerus</t>
  </si>
  <si>
    <t xml:space="preserve">JUMLAH PEKERJAAN TANAH (PLN)</t>
  </si>
  <si>
    <t xml:space="preserve">Pekerjaan Poerplat Menerus</t>
  </si>
  <si>
    <t xml:space="preserve">Pekerjaan Kolom Pedestal 45X45</t>
  </si>
  <si>
    <t xml:space="preserve">Pekerjaan Pondasi Batu</t>
  </si>
  <si>
    <t xml:space="preserve">Pek. Pas Batu Kali Pas Batu Kali Camp 1Pc:5Pp</t>
  </si>
  <si>
    <t xml:space="preserve">Pekerjaan Sloof 30X50 (SL)</t>
  </si>
  <si>
    <t xml:space="preserve">Pekerjaan Trase 130X70</t>
  </si>
  <si>
    <t xml:space="preserve">Pekerjaan Cor Rabat Lantai (T=15cm)</t>
  </si>
  <si>
    <t xml:space="preserve">Pekerjaan Kolom 45X45 (K1)</t>
  </si>
  <si>
    <t xml:space="preserve">Pekerjaan Balok (BL 1) 25X50</t>
  </si>
  <si>
    <t xml:space="preserve">Pekerjaan Balok (BL 2) 20X40</t>
  </si>
  <si>
    <t xml:space="preserve">Pekerjaan Sunscreen Beton 15X60</t>
  </si>
  <si>
    <t xml:space="preserve">Pekerjaan Plat Dak (T=12cm)</t>
  </si>
  <si>
    <t xml:space="preserve">JUMLAH PEKERJAAN STRUKTURAL (PLN)</t>
  </si>
  <si>
    <t xml:space="preserve">Pek. Plesteran Ciprat, Campuran 1 Ps : 2PP</t>
  </si>
  <si>
    <t xml:space="preserve">Pek. 1 Set Pintu Utama (P-01) + Aksesoris (PLN)</t>
  </si>
  <si>
    <t xml:space="preserve">B.290</t>
  </si>
  <si>
    <t xml:space="preserve">Pek. Jalusi Hollow Besi (V-1)</t>
  </si>
  <si>
    <t xml:space="preserve">B.291</t>
  </si>
  <si>
    <t xml:space="preserve">Pek. Jalusi Hollow Besi (V-2)</t>
  </si>
  <si>
    <t xml:space="preserve">Pek. Expose Langit-Langit</t>
  </si>
  <si>
    <t xml:space="preserve">B.292</t>
  </si>
  <si>
    <t xml:space="preserve">PEKERJAAN RABAT KELILING BANGUNAN, POT, RAMP, DAN TANGGA</t>
  </si>
  <si>
    <t xml:space="preserve">Pek. Cat Saluran</t>
  </si>
  <si>
    <t xml:space="preserve">JUMLAH PEKERJAAN ARSITEKTURAL (PLN)</t>
  </si>
  <si>
    <t xml:space="preserve">Instalasi Air Hujan Gardu PLN dan Power House</t>
  </si>
  <si>
    <t xml:space="preserve">JUMLAH PEKERJAAN MEKANIKAL (PLN)</t>
  </si>
  <si>
    <t xml:space="preserve">PEKERJAAN LISTRIK POWER HOUSE</t>
  </si>
  <si>
    <t xml:space="preserve">Pekerjaan Sumber Listrik</t>
  </si>
  <si>
    <t xml:space="preserve">Biaya Sambung Daya 500 kVa + Biaya UJL + Biaya SLO</t>
  </si>
  <si>
    <t xml:space="preserve">B.293</t>
  </si>
  <si>
    <t xml:space="preserve">Include dengan biaya penambahan/perluasan jaringan/gardu</t>
  </si>
  <si>
    <t xml:space="preserve">Pekerjaan Listrik Tegangan Menengah</t>
  </si>
  <si>
    <t xml:space="preserve">Cubicle Incoming Manual &amp; Outgoing Motorized, lengkap dengan Surge Aresster</t>
  </si>
  <si>
    <t xml:space="preserve">B.294</t>
  </si>
  <si>
    <t xml:space="preserve">- Cubicle IM Manual, Incoming LBS SM6 IM Man, use CIT manual mechanism</t>
  </si>
  <si>
    <t xml:space="preserve">- Cubicle QM Motorized, Outgoing LBS QM Man, Mech CL-2, Man 220 Vac</t>
  </si>
  <si>
    <t xml:space="preserve">- Fusarc 63A ( 3 pcs ) &amp; Endplate Kiri &amp; Kanan</t>
  </si>
  <si>
    <t xml:space="preserve">- Aksessories dan Terminanting</t>
  </si>
  <si>
    <t xml:space="preserve">Transformer 630 KVA - 40kV berikut Aksessories dan Terminating</t>
  </si>
  <si>
    <t xml:space="preserve">B.295</t>
  </si>
  <si>
    <t xml:space="preserve">- Oil Type</t>
  </si>
  <si>
    <t xml:space="preserve">- 630 KVA, 20KV-400/231 V dyn 5 3pahse 50 Hz on + Connector 70 mm</t>
  </si>
  <si>
    <t xml:space="preserve">Test dan Commisioning</t>
  </si>
  <si>
    <t xml:space="preserve">Pek. Pengkabelan dan Grounding Listrik Tegangan Menengah</t>
  </si>
  <si>
    <t xml:space="preserve">C.1 Pek. Pengkabelan Listrik Tegangan Menengah</t>
  </si>
  <si>
    <t xml:space="preserve">Kabel dari Sub Station / KWH PLN ke Incoming Cubicle TM, Kabel N2XSY 3 x 1 x 70 mm</t>
  </si>
  <si>
    <t xml:space="preserve">B.296</t>
  </si>
  <si>
    <t xml:space="preserve">Kabel dari Outgoing Cubicle TM ke Incoming Trafo, Kabel N2XSY 3 x 1 x 70 mm</t>
  </si>
  <si>
    <t xml:space="preserve">Kabel Dari Trafo ke Panel LVMDP+INTERLOCK, Kabel NYY 2 x 4 x 240 mm2</t>
  </si>
  <si>
    <t xml:space="preserve">B.297</t>
  </si>
  <si>
    <t xml:space="preserve">Kabel Dari Genset ke Panel LVMDP+INTERLOCK, Kabel NYY 3 x 4 x 185 mm2</t>
  </si>
  <si>
    <t xml:space="preserve">B.298</t>
  </si>
  <si>
    <t xml:space="preserve">Kabel Ladder 300 x 100 mm (type W)</t>
  </si>
  <si>
    <t xml:space="preserve">B.299</t>
  </si>
  <si>
    <t xml:space="preserve">C.2 Pek. Grounding Listrik Tegangan Menengah</t>
  </si>
  <si>
    <t xml:space="preserve">1 Bor untuk Grounding, termasuk pipa Galvanize 1'' dan kabel BC 95 mm ( Nilai Resistance Max. 2 ohm ) Ttk 1,00</t>
  </si>
  <si>
    <t xml:space="preserve">Kabel BC 70 mm, dari bak kontrol ke Trafo dan Cubicle TM</t>
  </si>
  <si>
    <t xml:space="preserve">B.300</t>
  </si>
  <si>
    <t xml:space="preserve">C.3 Pek. Tegangan Rendah</t>
  </si>
  <si>
    <t xml:space="preserve">Panel LVMDP</t>
  </si>
  <si>
    <t xml:space="preserve">B.301</t>
  </si>
  <si>
    <t xml:space="preserve">Panel Power House</t>
  </si>
  <si>
    <t xml:space="preserve">B.302</t>
  </si>
  <si>
    <t xml:space="preserve">Pekerjaan Genset dan Panel ATS AMF</t>
  </si>
  <si>
    <t xml:space="preserve">Genset Silent 500kVA+ Panel ATS/AMF 630 kVA</t>
  </si>
  <si>
    <t xml:space="preserve">B.303</t>
  </si>
  <si>
    <t xml:space="preserve">Lampu TL LED 2x18 Watt</t>
  </si>
  <si>
    <t xml:space="preserve">B.304</t>
  </si>
  <si>
    <t xml:space="preserve">Lampu Downlight Outbow 14 Watt</t>
  </si>
  <si>
    <t xml:space="preserve">B.305</t>
  </si>
  <si>
    <t xml:space="preserve">Exhause Fan Wall Mounted 10 Inch</t>
  </si>
  <si>
    <t xml:space="preserve">B.306</t>
  </si>
  <si>
    <t xml:space="preserve">JUMLAH PEKERJAAN ELEKTRIKAL (PLN)</t>
  </si>
  <si>
    <t xml:space="preserve">Pekerjaan Tanah Area Poer Plat dan Rollag Bata</t>
  </si>
  <si>
    <t xml:space="preserve">JUMLAH PEKERJAAN TANAH (PUMP HOUSE)</t>
  </si>
  <si>
    <t xml:space="preserve">Pekerjaan Kolom Pedestal 45X45 (PD1)</t>
  </si>
  <si>
    <t xml:space="preserve">Pek. Batu Kosong (Aanstamping)</t>
  </si>
  <si>
    <t xml:space="preserve">A.12</t>
  </si>
  <si>
    <t xml:space="preserve">Pekerjaan Sloof (SL1) 30X50</t>
  </si>
  <si>
    <t xml:space="preserve">III.2.1</t>
  </si>
  <si>
    <t xml:space="preserve">Pekerjaan Kolom 15X30 (K2)</t>
  </si>
  <si>
    <t xml:space="preserve">Pekerjaan Balok (BL1) 25X50</t>
  </si>
  <si>
    <t xml:space="preserve">Pekerjaan Balok (BL2) 20X40</t>
  </si>
  <si>
    <t xml:space="preserve">JUMLAH PEKERJAAN STRUKTURAL (PUMP HOUSE)</t>
  </si>
  <si>
    <t xml:space="preserve">Pek. Jalusi Hollow Besi (V-01)</t>
  </si>
  <si>
    <t xml:space="preserve">Pek. Jalusi Hollow Besi (V-02)</t>
  </si>
  <si>
    <t xml:space="preserve">PEKERJAAN RABAT, RAMP, DAN SALURAN KELILING BANGUNAN</t>
  </si>
  <si>
    <t xml:space="preserve">Pek. Pasangan Rolag 1 Bata, Camp. 1 Pc : 5 Ps (Area Rabat dan Ramp)</t>
  </si>
  <si>
    <t xml:space="preserve">A.25</t>
  </si>
  <si>
    <t xml:space="preserve">JUMLAH PEKERJAAN ARSITEKTURAL (PUMP HOUSE)</t>
  </si>
  <si>
    <t xml:space="preserve">Instalasi Sistem Hydrant Pump House</t>
  </si>
  <si>
    <t xml:space="preserve">Peralatan Utama Sistem Pemadam Kebakaran</t>
  </si>
  <si>
    <t xml:space="preserve">Electric Fire Pump</t>
  </si>
  <si>
    <t xml:space="preserve">B.307</t>
  </si>
  <si>
    <t xml:space="preserve">1 unit Control panel , 1 Unit Electric Fire Pump Controller Standard To NFPA 20/ULFM</t>
  </si>
  <si>
    <t xml:space="preserve">Fire Pump Specialties &amp; Accessories : A compound of Suction pressure gauge and Dischange pressure gauge , automatic air release valve , casing relive valve</t>
  </si>
  <si>
    <t xml:space="preserve">Diesel Fire Pump</t>
  </si>
  <si>
    <t xml:space="preserve">B.308</t>
  </si>
  <si>
    <t xml:space="preserve">Diesel Engine Complete With :</t>
  </si>
  <si>
    <t xml:space="preserve">Standard To NFPA 20/ULFM</t>
  </si>
  <si>
    <t xml:space="preserve">Heat Exchanger Cooling System</t>
  </si>
  <si>
    <t xml:space="preserve">Lead Acid Batteries With Cables</t>
  </si>
  <si>
    <t xml:space="preserve">Standard Muffler ( Silinecr And Flexible Connector)</t>
  </si>
  <si>
    <t xml:space="preserve">Fuel Tank 1000 L</t>
  </si>
  <si>
    <t xml:space="preserve">Battery Charger ( Built ln The Controller)</t>
  </si>
  <si>
    <t xml:space="preserve">Over Speed Shut Down Protection ( Connection To Signal Alarm/Pilot Lamp ln The Controller )</t>
  </si>
  <si>
    <t xml:space="preserve">Double Solenoid Stater</t>
  </si>
  <si>
    <t xml:space="preserve">Include with :</t>
  </si>
  <si>
    <t xml:space="preserve">1 unit Control panel ,1 Unit Diesel Engine Fire Pump Controller Standard To NFPA /ULFM</t>
  </si>
  <si>
    <t xml:space="preserve">Fire Pump Specialties &amp; Accessories : Suction and Dischange pressure gauge , automatic air vent. , Main Relief Valve Ø 6" x 6" , Waste Cone Ø 6" x 8" , Fire Pump Flow Meter , Ø 6" , Butt Welding</t>
  </si>
  <si>
    <t xml:space="preserve">Jockey Fire Pump</t>
  </si>
  <si>
    <t xml:space="preserve">B.309</t>
  </si>
  <si>
    <t xml:space="preserve">type : Vertical Multistage, Centrifugal Pump Electric Motor Driven</t>
  </si>
  <si>
    <t xml:space="preserve">capacity : 25 GPM</t>
  </si>
  <si>
    <t xml:space="preserve">Head : 140 m</t>
  </si>
  <si>
    <t xml:space="preserve">power : 3.0 KW,380 V,3 PH,50 HZ</t>
  </si>
  <si>
    <t xml:space="preserve">rotation : 3000 RPM</t>
  </si>
  <si>
    <t xml:space="preserve">Lokasi : Pump House</t>
  </si>
  <si>
    <t xml:space="preserve">1 unit Control panelS tandard UL</t>
  </si>
  <si>
    <t xml:space="preserve">Pipa BS Sch 40 dia 200 mm</t>
  </si>
  <si>
    <t xml:space="preserve">B.310</t>
  </si>
  <si>
    <t xml:space="preserve">Pipa BS Sch 40 dia 150 mm</t>
  </si>
  <si>
    <t xml:space="preserve">B.311</t>
  </si>
  <si>
    <t xml:space="preserve">Pipa BS Sch 40 dia 125 mm</t>
  </si>
  <si>
    <t xml:space="preserve">B.312</t>
  </si>
  <si>
    <t xml:space="preserve">JUMLAH PEKERJAAN MEKANIKAL (PUMP HOUSE)</t>
  </si>
  <si>
    <t xml:space="preserve">Instalasi Sistem Air Bersih</t>
  </si>
  <si>
    <t xml:space="preserve">Peralatan Utama Sistem Air Bersih</t>
  </si>
  <si>
    <t xml:space="preserve">Pompa Distribusi Air Bersih Kawasan</t>
  </si>
  <si>
    <t xml:space="preserve">B.313</t>
  </si>
  <si>
    <t xml:space="preserve">Kapasitas : 300 L/menit x 2</t>
  </si>
  <si>
    <t xml:space="preserve">Head : 41 meter</t>
  </si>
  <si>
    <t xml:space="preserve">Type : High-pressure multistage centrifugal pump</t>
  </si>
  <si>
    <t xml:space="preserve">Daya Listrik 4KW</t>
  </si>
  <si>
    <t xml:space="preserve">Data Listrik 380 V/3 Ph/50 Hz</t>
  </si>
  <si>
    <t xml:space="preserve">Putaran 2.900 Rpm</t>
  </si>
  <si>
    <t xml:space="preserve">Suction Size : DN 50, PN 16</t>
  </si>
  <si>
    <t xml:space="preserve">Discharge Size : DN 50, PN 16</t>
  </si>
  <si>
    <t xml:space="preserve">1 Set Terdiri dari 2 Pompa lengkap Panel Inverter System</t>
  </si>
  <si>
    <t xml:space="preserve">Operation System : 1. Pararel Alternate</t>
  </si>
  <si>
    <t xml:space="preserve">2. Controlled by WLC Electrode</t>
  </si>
  <si>
    <t xml:space="preserve">3. Inverter System</t>
  </si>
  <si>
    <t xml:space="preserve">Lengkap dengan komponen sebagai berikut :</t>
  </si>
  <si>
    <t xml:space="preserve">- Pump &amp; Electromotor ( 2 )</t>
  </si>
  <si>
    <t xml:space="preserve">- Quick closing check valve</t>
  </si>
  <si>
    <t xml:space="preserve">- Gate Valve</t>
  </si>
  <si>
    <t xml:space="preserve">- Pressure gauge</t>
  </si>
  <si>
    <t xml:space="preserve">- Pressure switch</t>
  </si>
  <si>
    <t xml:space="preserve">- Flow switch</t>
  </si>
  <si>
    <t xml:space="preserve">Pipa BS Sch 40 dia 80 mm</t>
  </si>
  <si>
    <t xml:space="preserve">B.314</t>
  </si>
  <si>
    <t xml:space="preserve">Gate Valve Diameter 150 mm/16 k</t>
  </si>
  <si>
    <t xml:space="preserve">B.315</t>
  </si>
  <si>
    <t xml:space="preserve">Instalasi Air Hujan Pump House</t>
  </si>
  <si>
    <t xml:space="preserve">JUMLAH PEKERJAAN PLUMBING (PUMP HOUSE)</t>
  </si>
  <si>
    <t xml:space="preserve">PEKERJAAN PANEL LISTRIK</t>
  </si>
  <si>
    <t xml:space="preserve">Panel LP/PP Pump House</t>
  </si>
  <si>
    <t xml:space="preserve">B.316</t>
  </si>
  <si>
    <t xml:space="preserve">JUMLAH PEKERJAAN ELEKTRIKAL (PUMP HOUSE)</t>
  </si>
  <si>
    <t xml:space="preserve">FASILITAS UMUM (FASUM)</t>
  </si>
  <si>
    <t xml:space="preserve">Pekerjaan Pematangan Lahan / Leveling Kawasan</t>
  </si>
  <si>
    <t xml:space="preserve">Pek. Cut n Fill Kawasan Menggunakan Alat Berat</t>
  </si>
  <si>
    <t xml:space="preserve">A.08</t>
  </si>
  <si>
    <t xml:space="preserve">JUMLAH PEKERJAAN PEMATANGAN LAHAN KAWASAN</t>
  </si>
  <si>
    <t xml:space="preserve">Pekerjaan Turap Pematangan Lahan</t>
  </si>
  <si>
    <t xml:space="preserve">Pek. Turap Pasangan Batu Camp. 1 Pc : 4 Ps</t>
  </si>
  <si>
    <t xml:space="preserve">A.14</t>
  </si>
  <si>
    <t xml:space="preserve">Pek. Pipa Drainase Turap PVC AW 2"</t>
  </si>
  <si>
    <t xml:space="preserve">M</t>
  </si>
  <si>
    <t xml:space="preserve">B.317</t>
  </si>
  <si>
    <t xml:space="preserve">JUMLAH PEKERJAAN TURAP LEVELING LAHAN KAWASAN</t>
  </si>
  <si>
    <t xml:space="preserve">Pekerjaan Tanah</t>
  </si>
  <si>
    <t xml:space="preserve">Pek. Galian Tanah (Kabel dan Pipa)</t>
  </si>
  <si>
    <t xml:space="preserve">A.11</t>
  </si>
  <si>
    <t xml:space="preserve">Pek. Urugan Pasir (landasan kabel) t=5cm</t>
  </si>
  <si>
    <t xml:space="preserve">Pekerjaan Jalan Kawasan</t>
  </si>
  <si>
    <t xml:space="preserve">Pek. Penyiapan Badan Jalan</t>
  </si>
  <si>
    <t xml:space="preserve">A.10</t>
  </si>
  <si>
    <t xml:space="preserve">Pek. Timbunan Pilihan Dari Sumber Galian</t>
  </si>
  <si>
    <t xml:space="preserve">A.09</t>
  </si>
  <si>
    <t xml:space="preserve">JUMLAH PEKERJAAN GALIAN JALUR KABEL DAN JALAN KAWASAN</t>
  </si>
  <si>
    <t xml:space="preserve">PEKERJAAN ELEKTRIKAL KAWASAN</t>
  </si>
  <si>
    <t xml:space="preserve">PANEL MDP OUTDOOR</t>
  </si>
  <si>
    <t xml:space="preserve">Panel Outdoor MDP 3; type IP65</t>
  </si>
  <si>
    <t xml:space="preserve">B.318</t>
  </si>
  <si>
    <t xml:space="preserve">Panel Outdoor MDP 5; type IP65</t>
  </si>
  <si>
    <t xml:space="preserve">B.319</t>
  </si>
  <si>
    <t xml:space="preserve">Panel Outdoor MDP 7; type IP65</t>
  </si>
  <si>
    <t xml:space="preserve">B.320</t>
  </si>
  <si>
    <t xml:space="preserve">Panel Outdoor MDP 9; type IP65</t>
  </si>
  <si>
    <t xml:space="preserve">B.321</t>
  </si>
  <si>
    <t xml:space="preserve">KABEL FEEDER</t>
  </si>
  <si>
    <t xml:space="preserve">Pek. Kabel Feeder Panel LVMDP</t>
  </si>
  <si>
    <t xml:space="preserve">Kabel Dari Panel LVMDP+INTERLOCK ke Panel Outdoor MDP 3; Kabel NYFGBY 4 x 50 mm2</t>
  </si>
  <si>
    <t xml:space="preserve">B.322</t>
  </si>
  <si>
    <t xml:space="preserve">Kabel Dari Panel LVMDP+INTERLOCK ke Panel Outdoor MDP 5; Kabel NYFGBY 4 x 70 mm2</t>
  </si>
  <si>
    <t xml:space="preserve">B.323</t>
  </si>
  <si>
    <t xml:space="preserve">Kabel Dari Panel LVMDP+INTERLOCK ke Panel Outdoor MDP 7; Kabel NYFGBY 4 x 120 mm2</t>
  </si>
  <si>
    <t xml:space="preserve">B.324</t>
  </si>
  <si>
    <t xml:space="preserve">Kabel Dari Panel LVMDP+INTERLOCK ke Panel Outdoor MDP 9; Kabel NYFGBY 4 x 35 mm2</t>
  </si>
  <si>
    <t xml:space="preserve">B.325</t>
  </si>
  <si>
    <t xml:space="preserve">Kabel Dari Panel LVMDP+INTERLOCK ke Panel Power House, Kabel NYY 4 x 4 mm2</t>
  </si>
  <si>
    <t xml:space="preserve">B.326</t>
  </si>
  <si>
    <t xml:space="preserve">Kabel Dari Panel LVMDP+INTERLOCK ke Panel Gedung Kantor, Kabel NYFGBY 4 x 150 mm2</t>
  </si>
  <si>
    <t xml:space="preserve">B.327</t>
  </si>
  <si>
    <t xml:space="preserve">Pek. Kabel Feeder Panel Outdoor</t>
  </si>
  <si>
    <t xml:space="preserve">Kabel Dari Panel Panel Outdoor 3 ke Panel W. Teknik Informatika, Kabel NYFGBY 4 x 16 mm2</t>
  </si>
  <si>
    <t xml:space="preserve">B.328</t>
  </si>
  <si>
    <t xml:space="preserve">Kabel Dari Panel Panel Outdoor 5 ke Panel W. Mekanik, Kabel NYFGBY 4 x 16 mm2</t>
  </si>
  <si>
    <t xml:space="preserve">Kabel Dari Panel Panel Outdoor 7 ke Panel W. Las/Welding, Kabel NYFGBY 4 x 16 mm2</t>
  </si>
  <si>
    <t xml:space="preserve">Kabel Dari Panel Panel Outdoor 9 ke Panel Pump House, Kabel NYFGBY 4 x 16 mm2</t>
  </si>
  <si>
    <t xml:space="preserve">JUMLAH PEKERJAAN ELEKTRIKAL KAWASAN</t>
  </si>
  <si>
    <t xml:space="preserve">PEKERJAAN SISTEM PEMADAM KEBAKARAN HYDRANT KAWASAN</t>
  </si>
  <si>
    <t xml:space="preserve">Instalasi Pemipaan dan Perlengkapan Outdoor</t>
  </si>
  <si>
    <t xml:space="preserve">Instalasi Pipa BSP Sch. 40 Dia. 100 mm berikut isolasi pipa</t>
  </si>
  <si>
    <t xml:space="preserve">B.329</t>
  </si>
  <si>
    <t xml:space="preserve">Outdoor Hydrant Box ( OHB ) + Selang dan Nozzle</t>
  </si>
  <si>
    <t xml:space="preserve">B.330</t>
  </si>
  <si>
    <t xml:space="preserve">Hydrant Pillar Two Way Type</t>
  </si>
  <si>
    <t xml:space="preserve">B.331</t>
  </si>
  <si>
    <t xml:space="preserve">Gate Valve 16K Dia. 100 mm</t>
  </si>
  <si>
    <t xml:space="preserve">B.332</t>
  </si>
  <si>
    <t xml:space="preserve">JUMLAH PEKERJAAN SISTEM PEMADAM KEBAKARAN HYDRANT KAWASAN</t>
  </si>
  <si>
    <t xml:space="preserve">PEKERJAAN SUMBER AIR BERSIH DAN WATER TANK KAWASAN</t>
  </si>
  <si>
    <t xml:space="preserve">Pekerjaan Sumber Air Bersih Kawasan</t>
  </si>
  <si>
    <t xml:space="preserve">Pek. Sumur Dalam</t>
  </si>
  <si>
    <t xml:space="preserve">B.333</t>
  </si>
  <si>
    <t xml:space="preserve">Pengadaan dan pemasangan Pompa Sumur Dalam</t>
  </si>
  <si>
    <t xml:space="preserve">Type : Submersible Pump</t>
  </si>
  <si>
    <t xml:space="preserve">Daya : 3 HP</t>
  </si>
  <si>
    <t xml:space="preserve">Lengkap Dengan Screen, proteksi, instalasi kabel daya/pemipaan (casing), dll</t>
  </si>
  <si>
    <t xml:space="preserve">Kabel jenis waterproof, lengkap Panel Kontrol, dll</t>
  </si>
  <si>
    <t xml:space="preserve">Pemipaan sampai ke Tangki Panel FRP</t>
  </si>
  <si>
    <t xml:space="preserve">Peralatan penunjang, Gate Valve, Check Valve, Meter air, Bak Kontrol, dan accessories lainnya.</t>
  </si>
  <si>
    <t xml:space="preserve">Pengeboran dalam sampai mendapatkan Kapasitas air Min. 2liter/Detik (Jernih)</t>
  </si>
  <si>
    <t xml:space="preserve">Pekerjaan harus mengikuti/memenuhi Standard DepKes-RI</t>
  </si>
  <si>
    <t xml:space="preserve">Check Valve dia 40 mm</t>
  </si>
  <si>
    <t xml:space="preserve">B.334</t>
  </si>
  <si>
    <t xml:space="preserve">Gate Valve dia 40 mm</t>
  </si>
  <si>
    <t xml:space="preserve">B.335</t>
  </si>
  <si>
    <t xml:space="preserve">Pekerjaan Water Tank Kawasan</t>
  </si>
  <si>
    <t xml:space="preserve">Pemasangan Water Tank Tanki Panel FRP; Kap; 300M3</t>
  </si>
  <si>
    <t xml:space="preserve">B.336</t>
  </si>
  <si>
    <t xml:space="preserve">Pemipaan untuk drain, over flow tanki FRP</t>
  </si>
  <si>
    <t xml:space="preserve">Peralatan penunjang, Gate Valve, Check Valve dan accessories lainnya.</t>
  </si>
  <si>
    <t xml:space="preserve">Instalasi Pemipaan Air Bersih Kawasan</t>
  </si>
  <si>
    <t xml:space="preserve">Instalasi Pemipaan Pipa PPR PN-10, 50 mm</t>
  </si>
  <si>
    <t xml:space="preserve">B.337</t>
  </si>
  <si>
    <t xml:space="preserve">Gate Valve PPR PN dia. 50 mm</t>
  </si>
  <si>
    <t xml:space="preserve">B.338</t>
  </si>
  <si>
    <t xml:space="preserve">JUMLAH PEKERJAAN SUMBER AIR BERSIH DAN WATER TANK KAWASAN</t>
  </si>
  <si>
    <t xml:space="preserve">PEKERJAAN IPAL KOMUNAL</t>
  </si>
  <si>
    <t xml:space="preserve">Pekerjaan IPAL Komunal</t>
  </si>
  <si>
    <t xml:space="preserve">BioFilter Anaerobic Aerobic</t>
  </si>
  <si>
    <t xml:space="preserve">BioFilter Anaerobic Aerobic Clarifier Packed 10m3/hari</t>
  </si>
  <si>
    <t xml:space="preserve">B.339</t>
  </si>
  <si>
    <t xml:space="preserve">- Kapasitas : 10m3</t>
  </si>
  <si>
    <t xml:space="preserve">- Type : Vertical Cylinder Tank, Conical bottom + Bak</t>
  </si>
  <si>
    <t xml:space="preserve">- Material : Fiberglass</t>
  </si>
  <si>
    <t xml:space="preserve">- Kelengkapan : Inlet dan Outlet Port, Overflow pipe, Air Diffuser</t>
  </si>
  <si>
    <t xml:space="preserve">- Jumlah : 1 Unit</t>
  </si>
  <si>
    <t xml:space="preserve">Air Blower</t>
  </si>
  <si>
    <t xml:space="preserve">- Kapasitas : 200 - 240 Liter/Menit</t>
  </si>
  <si>
    <t xml:space="preserve">- Tekanan Kerja : 0,045 Mpa</t>
  </si>
  <si>
    <t xml:space="preserve">- Casing Material : Cast Iron</t>
  </si>
  <si>
    <t xml:space="preserve">- Kelengkapan : Check Valve, Gate Valve, Timer Controler, Air Inteke Pipe, Air Dilevery pipe</t>
  </si>
  <si>
    <t xml:space="preserve">- Jumlah : 2 Set</t>
  </si>
  <si>
    <t xml:space="preserve">Effulent Pump</t>
  </si>
  <si>
    <t xml:space="preserve">- Kapasitas : 150 Liter/Menit</t>
  </si>
  <si>
    <t xml:space="preserve">- Motor : 0,4 KW / 220 V / 50 Hz / 1 ph</t>
  </si>
  <si>
    <t xml:space="preserve">- Type : Submesible, non clogging</t>
  </si>
  <si>
    <t xml:space="preserve">- Operasi : Automatic and Manual</t>
  </si>
  <si>
    <t xml:space="preserve">- Kelengkapan : Check Valve, Ball Valve, Level Switch</t>
  </si>
  <si>
    <t xml:space="preserve">Circulation Pump</t>
  </si>
  <si>
    <t xml:space="preserve">Sand Filter</t>
  </si>
  <si>
    <t xml:space="preserve">- Kapasitas : 15 Lpm</t>
  </si>
  <si>
    <t xml:space="preserve">- Type : Vertical Pressure Filter</t>
  </si>
  <si>
    <t xml:space="preserve">- Operasi : Manual Backwash and Rinse</t>
  </si>
  <si>
    <t xml:space="preserve">- Material Tanki : Fiberglass</t>
  </si>
  <si>
    <t xml:space="preserve">- Kelengkapan : Fine gravel, Silica, Filter Strainer</t>
  </si>
  <si>
    <t xml:space="preserve">- Jumlah : 1 Set</t>
  </si>
  <si>
    <t xml:space="preserve">Carbon Filter</t>
  </si>
  <si>
    <t xml:space="preserve">Interconnection Pipe and Valve</t>
  </si>
  <si>
    <t xml:space="preserve">- Material : PVC class AW</t>
  </si>
  <si>
    <t xml:space="preserve">- Kelengkapan : Fitting, Clamp, Support</t>
  </si>
  <si>
    <t xml:space="preserve">- Jumlah : 1 Lot</t>
  </si>
  <si>
    <t xml:space="preserve">Control Panel</t>
  </si>
  <si>
    <t xml:space="preserve">- Type : Outdoor, Wall Mounted</t>
  </si>
  <si>
    <t xml:space="preserve">- Material : Steel Sheet, powder Coating</t>
  </si>
  <si>
    <t xml:space="preserve">- Kegunaan : Mengontrol Semua peralatan motor</t>
  </si>
  <si>
    <t xml:space="preserve">- Kelengkapan : MCB, Pilot Lamp, Lock, Selector Switch, bush barr, timer teben, internal wiring, conduit</t>
  </si>
  <si>
    <t xml:space="preserve">Pekerjaan Bak SUMP PIT (6 Unit)</t>
  </si>
  <si>
    <t xml:space="preserve">Pekerjaan Beton</t>
  </si>
  <si>
    <t xml:space="preserve">Pek. Lantai Kerja beton f'c = 7,5 Mpa</t>
  </si>
  <si>
    <t xml:space="preserve">Pek. Beton F'c = 25 MPa</t>
  </si>
  <si>
    <t xml:space="preserve">Pekerjaan Aksesoris</t>
  </si>
  <si>
    <t xml:space="preserve">Pek. Plat Perforated Tebal 3mm , Lubang uk. 10mm</t>
  </si>
  <si>
    <t xml:space="preserve">B.340</t>
  </si>
  <si>
    <t xml:space="preserve">Pek. Grill Penutup Sump Pit</t>
  </si>
  <si>
    <t xml:space="preserve">B.341</t>
  </si>
  <si>
    <t xml:space="preserve">Pekerjaan Pompa Sump Pit</t>
  </si>
  <si>
    <t xml:space="preserve">Pompa Pompa Sump Pit Air Kotor 150 Liter/Menit, Submersible Pump</t>
  </si>
  <si>
    <t xml:space="preserve">B.342</t>
  </si>
  <si>
    <t xml:space="preserve">Pekerjaan Pipa Air Limbah Antar Sump Pit</t>
  </si>
  <si>
    <t xml:space="preserve">JUMLAH PEKERJAAN IPAL KOMUNAL</t>
  </si>
  <si>
    <t xml:space="preserve">PEKERJAAN TANAH DAN STRUKTUR BAWAH</t>
  </si>
  <si>
    <t xml:space="preserve">Pekerjaan Sloof 25X15</t>
  </si>
  <si>
    <t xml:space="preserve">Pek. Wiremesh M8 1 Lapis</t>
  </si>
  <si>
    <t xml:space="preserve">Pekerjaan Kolom 15x20</t>
  </si>
  <si>
    <t xml:space="preserve">Pekerjaan Ringbalk 15x20</t>
  </si>
  <si>
    <t xml:space="preserve">PEKERJAAN ARSITEKTURAL</t>
  </si>
  <si>
    <t xml:space="preserve">VII.3.1</t>
  </si>
  <si>
    <t xml:space="preserve">VII.3.2</t>
  </si>
  <si>
    <t xml:space="preserve">Pek. Floor Hardener</t>
  </si>
  <si>
    <t xml:space="preserve">Pek. Epoxy Flooring 2000 Micron</t>
  </si>
  <si>
    <t xml:space="preserve">VII.3.3</t>
  </si>
  <si>
    <t xml:space="preserve">PEKERJAAN PINTU DAN JENDELA</t>
  </si>
  <si>
    <t xml:space="preserve">Pek. Pintu P1 (Material Aluminium Mesh) + Aksesoris</t>
  </si>
  <si>
    <t xml:space="preserve">B.343</t>
  </si>
  <si>
    <t xml:space="preserve">Pek. Jendela J1 (Material Aluminium Mesh) + Aksesoris</t>
  </si>
  <si>
    <t xml:space="preserve">B.344</t>
  </si>
  <si>
    <t xml:space="preserve">Pek. Jendela J2 ( Material Aluminium Mesh) + Aksesoris</t>
  </si>
  <si>
    <t xml:space="preserve">B.345</t>
  </si>
  <si>
    <t xml:space="preserve">Pek. Grill Penutup Saluran</t>
  </si>
  <si>
    <t xml:space="preserve">B.346</t>
  </si>
  <si>
    <t xml:space="preserve">VII.3.4</t>
  </si>
  <si>
    <t xml:space="preserve">Pek. Atap Spandek Berpasir + Rangka Kuda-Kuda Baja Ringan</t>
  </si>
  <si>
    <t xml:space="preserve">B.347</t>
  </si>
  <si>
    <t xml:space="preserve">VII.3.5</t>
  </si>
  <si>
    <t xml:space="preserve">Pek. Cat Dinding Exterior</t>
  </si>
  <si>
    <t xml:space="preserve">VII.3.6</t>
  </si>
  <si>
    <t xml:space="preserve">PEKERJAAN KOMPONEN TPS LB3</t>
  </si>
  <si>
    <t xml:space="preserve">Pek. Drum HDPE Kapasitas 200L</t>
  </si>
  <si>
    <t xml:space="preserve">B.348</t>
  </si>
  <si>
    <t xml:space="preserve">Pek. Tempat Sampah Fiberglass Kapasitas 120L</t>
  </si>
  <si>
    <t xml:space="preserve">B.349</t>
  </si>
  <si>
    <t xml:space="preserve">VII.4</t>
  </si>
  <si>
    <t xml:space="preserve">Wastafel</t>
  </si>
  <si>
    <t xml:space="preserve">Kran Wastafel</t>
  </si>
  <si>
    <t xml:space="preserve">VII.5</t>
  </si>
  <si>
    <t xml:space="preserve">JUMLAH PEKERJAAN TPS LB3</t>
  </si>
  <si>
    <t xml:space="preserve">VIII</t>
  </si>
  <si>
    <t xml:space="preserve">VIII.1</t>
  </si>
  <si>
    <t xml:space="preserve">Pekerjaan Sloof 15X30</t>
  </si>
  <si>
    <t xml:space="preserve">VIII.2</t>
  </si>
  <si>
    <t xml:space="preserve">VIII.3</t>
  </si>
  <si>
    <t xml:space="preserve">VIII.3.1</t>
  </si>
  <si>
    <t xml:space="preserve">VIII.3.2</t>
  </si>
  <si>
    <t xml:space="preserve">VIII.3.3</t>
  </si>
  <si>
    <t xml:space="preserve">Pek. Railing Material Metal Mesh</t>
  </si>
  <si>
    <t xml:space="preserve">B.350</t>
  </si>
  <si>
    <t xml:space="preserve">VIII.3.4</t>
  </si>
  <si>
    <t xml:space="preserve">VIII.3.5</t>
  </si>
  <si>
    <t xml:space="preserve">VIII.3.6</t>
  </si>
  <si>
    <t xml:space="preserve">PEKERJAAN KOMPONEN TPS 3R</t>
  </si>
  <si>
    <t xml:space="preserve">Pek. Drum Komposter Kapasitas 200L</t>
  </si>
  <si>
    <t xml:space="preserve">B.351</t>
  </si>
  <si>
    <t xml:space="preserve">Pek. Alat Pencacah Sampah Tipe CR-500</t>
  </si>
  <si>
    <t xml:space="preserve">B.352</t>
  </si>
  <si>
    <t xml:space="preserve">VIII.4</t>
  </si>
  <si>
    <t xml:space="preserve">Keran Kitchen Sink</t>
  </si>
  <si>
    <t xml:space="preserve">VII.6</t>
  </si>
  <si>
    <t xml:space="preserve">PEKERJAAN INSTALASI LISTRIK</t>
  </si>
  <si>
    <t xml:space="preserve">Hanger MCB BOX</t>
  </si>
  <si>
    <t xml:space="preserve">B.353</t>
  </si>
  <si>
    <t xml:space="preserve">Kabel Dari Panel W. Las/Welding ke hanger MCB Box , Kabel NYY 3 x 4 mm2 + Pipa PVC AW Dia. 1"</t>
  </si>
  <si>
    <t xml:space="preserve">B.354</t>
  </si>
  <si>
    <t xml:space="preserve">JUMLAH PEKERJAAN TPS 3R</t>
  </si>
  <si>
    <t xml:space="preserve">JUMLAH FASILITAS UMUM (FASUM)</t>
  </si>
  <si>
    <t xml:space="preserve">TOTAL PEKERJAAN KONSTRUKSI GEDUNG (Pendahuluan + A s/d F)</t>
  </si>
  <si>
    <t xml:space="preserve">TOTAL PEKERJAAN FASILITAS UMUM (FASUM)</t>
  </si>
  <si>
    <t xml:space="preserve">ANALISA HARGA SATUAN PEKERJAAN (AHSP)</t>
  </si>
  <si>
    <t xml:space="preserve">Pembangunan Balai Pelatihan Vokasi dan Produktivitas Morowali Utara - Kab. Morowali Utara, TA 2026</t>
  </si>
  <si>
    <t xml:space="preserve">Koefisien mengacu pola SNI / Permen PUPR No. 8 Tahun 2023 (disederhanakan &amp; disesuaikan). Harga dasar dari lembar "Harga Bahan dan Tenaga" (estimasi). Overhead &amp; profit dari lembar Informasi Proyek.</t>
  </si>
  <si>
    <t xml:space="preserve">BAGIAN A - ANALISA BERBASIS KOEFISIEN (TENAGA - BAHAN - PERALATAN)</t>
  </si>
  <si>
    <t xml:space="preserve">Galian tanah biasa (excavator + perapihan manual)</t>
  </si>
  <si>
    <t xml:space="preserve">m3</t>
  </si>
  <si>
    <t xml:space="preserve">Permen PUPR 8/2023 (disesuaikan, mekanis)</t>
  </si>
  <si>
    <t xml:space="preserve">Uraian komponen</t>
  </si>
  <si>
    <t xml:space="preserve">Satuan</t>
  </si>
  <si>
    <t xml:space="preserve">Koefisien</t>
  </si>
  <si>
    <t xml:space="preserve">Harga Satuan (Rp)</t>
  </si>
  <si>
    <t xml:space="preserve">Jumlah (Rp)</t>
  </si>
  <si>
    <t xml:space="preserve">A. TENAGA KERJA</t>
  </si>
  <si>
    <t xml:space="preserve">Pekerja [L01]</t>
  </si>
  <si>
    <t xml:space="preserve">OH</t>
  </si>
  <si>
    <t xml:space="preserve">Mandor [L09]</t>
  </si>
  <si>
    <t xml:space="preserve">Jumlah Tenaga Kerja</t>
  </si>
  <si>
    <t xml:space="preserve">C. PERALATAN</t>
  </si>
  <si>
    <t xml:space="preserve">Excavator PC-200 (incl. operator &amp; BBM) [E01]</t>
  </si>
  <si>
    <t xml:space="preserve">jam</t>
  </si>
  <si>
    <t xml:space="preserve">Jumlah Peralatan</t>
  </si>
  <si>
    <t xml:space="preserve">D. JUMLAH (A+B+C)</t>
  </si>
  <si>
    <t xml:space="preserve">E. Overhead &amp; Profit</t>
  </si>
  <si>
    <t xml:space="preserve">F. HARGA SATUAN PEKERJAAN per m3 (D+E, dibulatkan)</t>
  </si>
  <si>
    <t xml:space="preserve">Buangan bekas galian (angkut dump truck jarak +/- 3 km)</t>
  </si>
  <si>
    <t xml:space="preserve">AHSP alat berat, disesuaikan</t>
  </si>
  <si>
    <t xml:space="preserve">Dump truck 10 ton (incl. operator &amp; BBM) [E02]</t>
  </si>
  <si>
    <t xml:space="preserve">Urugan kembali bekas galian + pemadatan</t>
  </si>
  <si>
    <t xml:space="preserve">Permen PUPR 8/2023</t>
  </si>
  <si>
    <t xml:space="preserve">Stamper / plate compactor [E08]</t>
  </si>
  <si>
    <t xml:space="preserve">Urugan pasir (dipadatkan)</t>
  </si>
  <si>
    <t xml:space="preserve">B. BAHAN</t>
  </si>
  <si>
    <t xml:space="preserve">Pasir urug [M03]</t>
  </si>
  <si>
    <t xml:space="preserve">Jumlah Bahan</t>
  </si>
  <si>
    <t xml:space="preserve">Timbunan tanah pilihan (datang) + perataan</t>
  </si>
  <si>
    <t xml:space="preserve">AHSP, disesuaikan</t>
  </si>
  <si>
    <t xml:space="preserve">Tanah timbunan pilihan [M19]</t>
  </si>
  <si>
    <t xml:space="preserve">Pemadatan tanah per lapis</t>
  </si>
  <si>
    <t xml:space="preserve">Air kerja [M07]</t>
  </si>
  <si>
    <t xml:space="preserve">Tanah subur (top soil) + penghamparan</t>
  </si>
  <si>
    <t xml:space="preserve">Tanah subur (top soil) [M20]</t>
  </si>
  <si>
    <t xml:space="preserve">Cut &amp; fill kawasan dengan alat berat</t>
  </si>
  <si>
    <t xml:space="preserve">Bulldozer D6 (incl. operator &amp; BBM) [E03]</t>
  </si>
  <si>
    <t xml:space="preserve">Vibro roller (incl. operator &amp; BBM) [E04]</t>
  </si>
  <si>
    <t xml:space="preserve">Timbunan pilihan dari sumber galian (jalan kawasan)</t>
  </si>
  <si>
    <t xml:space="preserve">Penyiapan badan jalan (grading &amp; pemadatan)</t>
  </si>
  <si>
    <t xml:space="preserve">Motor grader (incl. operator &amp; BBM) [E05]</t>
  </si>
  <si>
    <t xml:space="preserve">F. HARGA SATUAN PEKERJAAN per m2 (D+E, dibulatkan)</t>
  </si>
  <si>
    <t xml:space="preserve">Galian tanah manual untuk kabel &amp; pipa</t>
  </si>
  <si>
    <t xml:space="preserve">Pasangan batu kosong (aanstamping)</t>
  </si>
  <si>
    <t xml:space="preserve">SNI/Permen PUPR 8/2023</t>
  </si>
  <si>
    <t xml:space="preserve">Tukang Batu / Tukang Plester [L02]</t>
  </si>
  <si>
    <t xml:space="preserve">Kepala Tukang [L08]</t>
  </si>
  <si>
    <t xml:space="preserve">Batu kosong (aanstamping) [M06]</t>
  </si>
  <si>
    <t xml:space="preserve">Pasangan batu kali 1 PC : 5 PP</t>
  </si>
  <si>
    <t xml:space="preserve">Batu kali [M05]</t>
  </si>
  <si>
    <t xml:space="preserve">Semen Portland (PC) [M01]</t>
  </si>
  <si>
    <t xml:space="preserve">Pasir pasang [M02]</t>
  </si>
  <si>
    <t xml:space="preserve">Pasangan batu kali 1 PC : 4 PP (turap)</t>
  </si>
  <si>
    <t xml:space="preserve">Lantai kerja beton K-100 (f'c 7,4 MPa)</t>
  </si>
  <si>
    <t xml:space="preserve">SNI 7394:2008</t>
  </si>
  <si>
    <t xml:space="preserve">Kerikil / split beton [M04]</t>
  </si>
  <si>
    <t xml:space="preserve">Concrete mixer 0.35 m3 [E06]</t>
  </si>
  <si>
    <t xml:space="preserve">Concrete vibrator [E07]</t>
  </si>
  <si>
    <t xml:space="preserve">Beton K-175</t>
  </si>
  <si>
    <t xml:space="preserve">Beton f'c 25 MPa (setara K-300)</t>
  </si>
  <si>
    <t xml:space="preserve">Beton f'c 30 MPa (setara K-350)</t>
  </si>
  <si>
    <t xml:space="preserve">Pembesian (fabrikasi &amp; pemasangan)</t>
  </si>
  <si>
    <t xml:space="preserve">Tukang Besi / Pembesian [L04]</t>
  </si>
  <si>
    <t xml:space="preserve">Besi beton polos / ulir [M08]</t>
  </si>
  <si>
    <t xml:space="preserve">Kawat beton (bendrat) [M09]</t>
  </si>
  <si>
    <t xml:space="preserve">F. HARGA SATUAN PEKERJAAN per kg (D+E, dibulatkan)</t>
  </si>
  <si>
    <t xml:space="preserve">Bekisting beton (kolom/balok/plat/sloof)</t>
  </si>
  <si>
    <t xml:space="preserve">SNI/Permen PUPR 8/2023 (disesuaikan, 3x pakai)</t>
  </si>
  <si>
    <t xml:space="preserve">Tukang Kayu / Bekisting [L03]</t>
  </si>
  <si>
    <t xml:space="preserve">Kayu balok kelas II/III [M10]</t>
  </si>
  <si>
    <t xml:space="preserve">Papan kayu bekisting [M11]</t>
  </si>
  <si>
    <t xml:space="preserve">Plywood 12 mm [M12]</t>
  </si>
  <si>
    <t xml:space="preserve">lbr</t>
  </si>
  <si>
    <t xml:space="preserve">Paku biasa [M13]</t>
  </si>
  <si>
    <t xml:space="preserve">Minyak bekisting [M14]</t>
  </si>
  <si>
    <t xml:space="preserve">ltr</t>
  </si>
  <si>
    <t xml:space="preserve">Dolken kayu galam [M15]</t>
  </si>
  <si>
    <t xml:space="preserve">Wiremesh M8 (pasang)</t>
  </si>
  <si>
    <t xml:space="preserve">Wiremesh M8 [M21]</t>
  </si>
  <si>
    <t xml:space="preserve">Kolom praktis 11x11 (beton K-175 + besi + bekisting)</t>
  </si>
  <si>
    <t xml:space="preserve">m1</t>
  </si>
  <si>
    <t xml:space="preserve">Turunan A.16 + A.19 + A.20</t>
  </si>
  <si>
    <t xml:space="preserve">Beton K-175 (sub-analisa, sebelum O&amp;P)</t>
  </si>
  <si>
    <t xml:space="preserve">Pembesian (fabrikasi &amp; pemasangan) (sub-analisa, sebelum O&amp;P)</t>
  </si>
  <si>
    <t xml:space="preserve">Bekisting beton (kolom/balok/plat/sloof) (sub-analisa, sebelum O&amp;P)</t>
  </si>
  <si>
    <t xml:space="preserve">F. HARGA SATUAN PEKERJAAN per m1 (D+E, dibulatkan)</t>
  </si>
  <si>
    <t xml:space="preserve">Balok praktis / latei 10x15 (beton K-175 + besi + bekisting)</t>
  </si>
  <si>
    <t xml:space="preserve">Pasangan bata merah 1/2 bata 1 PC : 5 PP (rolag)</t>
  </si>
  <si>
    <t xml:space="preserve">Bata merah press [M16]</t>
  </si>
  <si>
    <t xml:space="preserve">Pasangan bata merah 1 bata 1 PC : 5 PP (rolag)</t>
  </si>
  <si>
    <t xml:space="preserve">Pasangan dinding bata ringan AAC t=10 cm</t>
  </si>
  <si>
    <t xml:space="preserve">Permen PUPR 8/2023 (disesuaikan)</t>
  </si>
  <si>
    <t xml:space="preserve">Bata ringan AAC t=10 cm [M17]</t>
  </si>
  <si>
    <t xml:space="preserve">Perekat bata ringan (thin bed) [M18]</t>
  </si>
  <si>
    <t xml:space="preserve">Plesteran 1 PC : 5 PP tebal 15 mm</t>
  </si>
  <si>
    <t xml:space="preserve">Plesteran trasram 1 PC : 2 PP tebal 15 mm</t>
  </si>
  <si>
    <t xml:space="preserve">Plesteran ciprat 1 PC : 2 PP</t>
  </si>
  <si>
    <t xml:space="preserve">Acian</t>
  </si>
  <si>
    <t xml:space="preserve">Dinding granite tile 30x60 area KM/WC</t>
  </si>
  <si>
    <t xml:space="preserve">Tukang Keramik / Finishing [L07]</t>
  </si>
  <si>
    <t xml:space="preserve">Granite tile 30x60 (dinding KM/WC) [M34]</t>
  </si>
  <si>
    <t xml:space="preserve">Perekat keramik / granite [M35]</t>
  </si>
  <si>
    <t xml:space="preserve">Nat keramik [M36]</t>
  </si>
  <si>
    <t xml:space="preserve">Dinding granite tile 50x50 area KM/WC</t>
  </si>
  <si>
    <t xml:space="preserve">Granite tile 50x50 unpolished (KM/WC) [M33]</t>
  </si>
  <si>
    <t xml:space="preserve">Lantai granite tile 60x60 polished</t>
  </si>
  <si>
    <t xml:space="preserve">Granite tile 60x60 polished [M31]</t>
  </si>
  <si>
    <t xml:space="preserve">Lantai granite tile 60x60 unpolished</t>
  </si>
  <si>
    <t xml:space="preserve">Granite tile 60x60 unpolished [M32]</t>
  </si>
  <si>
    <t xml:space="preserve">Lantai granite tile 50x50 unpolished (KM/WC)</t>
  </si>
  <si>
    <t xml:space="preserve">Plint granite tile 10x60</t>
  </si>
  <si>
    <t xml:space="preserve">Step nosing granite</t>
  </si>
  <si>
    <t xml:space="preserve">Step nosing granite [M37]</t>
  </si>
  <si>
    <t xml:space="preserve">Paving block 8 cm K-300 + pasir urug</t>
  </si>
  <si>
    <t xml:space="preserve">Paving block 8 cm K-300 [M38]</t>
  </si>
  <si>
    <t xml:space="preserve">Rangka plafon metal hollow 4x4 modul 60x60</t>
  </si>
  <si>
    <t xml:space="preserve">Hollow galvanis 40x40 [M39]</t>
  </si>
  <si>
    <t xml:space="preserve">Sekrup &amp; aksesori plafon [M42]</t>
  </si>
  <si>
    <t xml:space="preserve">Plafon gypsum 9 mm (finishing compound)</t>
  </si>
  <si>
    <t xml:space="preserve">Gypsum board 9 mm [M40]</t>
  </si>
  <si>
    <t xml:space="preserve">Compound / plamir gypsum [M43]</t>
  </si>
  <si>
    <t xml:space="preserve">Plafon GRC 6 mm</t>
  </si>
  <si>
    <t xml:space="preserve">GRC board 6 mm [M41]</t>
  </si>
  <si>
    <t xml:space="preserve">Screed atap 1 SP : 5 PP tebal 3 cm</t>
  </si>
  <si>
    <t xml:space="preserve">Waterproofing membrane bakar</t>
  </si>
  <si>
    <t xml:space="preserve">Membrane waterproofing bakar 3 mm [M44]</t>
  </si>
  <si>
    <t xml:space="preserve">Primer bitumen [M45]</t>
  </si>
  <si>
    <t xml:space="preserve">Cat dinding interior (plamir + dasar + 2x penutup)</t>
  </si>
  <si>
    <t xml:space="preserve">Tukang Cat [L05]</t>
  </si>
  <si>
    <t xml:space="preserve">Plamir tembok [M25]</t>
  </si>
  <si>
    <t xml:space="preserve">Cat dasar tembok (alkali resisting primer) [M26]</t>
  </si>
  <si>
    <t xml:space="preserve">Cat tembok interior [M27]</t>
  </si>
  <si>
    <t xml:space="preserve">Ampelas [M30]</t>
  </si>
  <si>
    <t xml:space="preserve">Cat dinding eksterior (plamir + dasar + 2x penutup)</t>
  </si>
  <si>
    <t xml:space="preserve">Cat tembok eksterior [M28]</t>
  </si>
  <si>
    <t xml:space="preserve">Cat langit-langit / plafon</t>
  </si>
  <si>
    <t xml:space="preserve">Cat plafon [M29]</t>
  </si>
  <si>
    <t xml:space="preserve">Pengadaan &amp; fabrikasi baja struktur (WF/CNP/plat/siku/besi)</t>
  </si>
  <si>
    <t xml:space="preserve">Tukang Las [L06]</t>
  </si>
  <si>
    <t xml:space="preserve">Baja profil struktural BJ-37 (WF/CNP/plat/siku) [M22]</t>
  </si>
  <si>
    <t xml:space="preserve">Elektroda las [M23]</t>
  </si>
  <si>
    <t xml:space="preserve">Mesin las / genset las [E10]</t>
  </si>
  <si>
    <t xml:space="preserve">Erection baja (pengelasan + cat zinc chromate)</t>
  </si>
  <si>
    <t xml:space="preserve">Cat dasar zinc chromate [M24]</t>
  </si>
  <si>
    <t xml:space="preserve">Mobile crane 25 ton (incl. operator) [E09]</t>
  </si>
  <si>
    <t xml:space="preserve">Urugan pasir t=5 cm</t>
  </si>
  <si>
    <t xml:space="preserve">Turunan A.04</t>
  </si>
  <si>
    <t xml:space="preserve">BAGIAN B - HARGA SATUAN PEKERJAAN PAKET / PERALATAN / SURVEI PASAR (harga bahan/peralatan + upah pasang)</t>
  </si>
  <si>
    <t xml:space="preserve">Kolom biru = input. Dasar: S = survei/pasar (estimasi), L = lump sum estimasi - WAJIB diverifikasi dengan gambar/spesifikasi teknis &amp; penawaran vendor.</t>
  </si>
  <si>
    <t xml:space="preserve">Kode</t>
  </si>
  <si>
    <t xml:space="preserve">Uraian pekerjaan / barang</t>
  </si>
  <si>
    <t xml:space="preserve">Harga bahan/peralatan (Rp)</t>
  </si>
  <si>
    <t xml:space="preserve">Upah/pasang (% dari harga)</t>
  </si>
  <si>
    <t xml:space="preserve">Overhead &amp; Profit (Rp)</t>
  </si>
  <si>
    <t xml:space="preserve">Papan nama proyek 1 m2</t>
  </si>
  <si>
    <t xml:space="preserve">Barak pekerja semi permanen 36 m2 (Rp 1.500.000/m2)</t>
  </si>
  <si>
    <t xml:space="preserve">Direksi keet 16 m2 (Rp 2.200.000/m2)</t>
  </si>
  <si>
    <t xml:space="preserve">Pengukuran &amp; pemasangan bowplank</t>
  </si>
  <si>
    <t xml:space="preserve">PDA test per titik (incl. mobilisasi tim)</t>
  </si>
  <si>
    <t xml:space="preserve">Mobilisasi/demobilisasi alat pancang + personil</t>
  </si>
  <si>
    <t xml:space="preserve">Boring test per titik</t>
  </si>
  <si>
    <t xml:space="preserve">Sondir per titik</t>
  </si>
  <si>
    <t xml:space="preserve">Sewa drone per bulan</t>
  </si>
  <si>
    <t xml:space="preserve">CCTV outdoor wifi</t>
  </si>
  <si>
    <t xml:space="preserve">Pemantauan &amp; pengujian lingkungan 2x (getaran, bising, air, udara)</t>
  </si>
  <si>
    <t xml:space="preserve">Pembongkaran bangunan eksisting</t>
  </si>
  <si>
    <t xml:space="preserve">Pengukuran topografi kawasan</t>
  </si>
  <si>
    <t xml:space="preserve">Dokumen RKK, RKPPL, RMLLP, RMPK</t>
  </si>
  <si>
    <t xml:space="preserve">Prosedur &amp; instruksi kerja</t>
  </si>
  <si>
    <t xml:space="preserve">Pelaporan penerapan SMKK</t>
  </si>
  <si>
    <t xml:space="preserve">Induksi keselamatan konstruksi (safety induction)</t>
  </si>
  <si>
    <t xml:space="preserve">Pengarahan keselamatan (safety briefing)</t>
  </si>
  <si>
    <t xml:space="preserve">Simulasi keselamatan konstruksi (tanggap darurat)</t>
  </si>
  <si>
    <t xml:space="preserve">Spanduk / banner K3</t>
  </si>
  <si>
    <t xml:space="preserve">Poster / leaflet K3</t>
  </si>
  <si>
    <t xml:space="preserve">Papan informasi keselamatan konstruksi</t>
  </si>
  <si>
    <t xml:space="preserve">Pagar pengaman area proyek (seng + rangka)</t>
  </si>
  <si>
    <t xml:space="preserve">Topi pelindung (safety helmet)</t>
  </si>
  <si>
    <t xml:space="preserve">Pelindung mata (goggles)</t>
  </si>
  <si>
    <t xml:space="preserve">Masker / respirator</t>
  </si>
  <si>
    <t xml:space="preserve">Sarung tangan (safety gloves)</t>
  </si>
  <si>
    <t xml:space="preserve">Sepatu keselamatan</t>
  </si>
  <si>
    <t xml:space="preserve">Rompi keselamatan</t>
  </si>
  <si>
    <t xml:space="preserve">Rambu K3 (petunjuk/larangan/peringatan/kewajiban/informasi)</t>
  </si>
  <si>
    <t xml:space="preserve">Rambu jalur evakuasi</t>
  </si>
  <si>
    <t xml:space="preserve">APAR 3 kg</t>
  </si>
  <si>
    <t xml:space="preserve">Spun pile Dia. 40 cm panjang 10 m (supply, delivered)</t>
  </si>
  <si>
    <t xml:space="preserve">Pemancangan spun pile (crawler crane + diesel hammer)</t>
  </si>
  <si>
    <t xml:space="preserve">Pemotongan kepala tiang pancang</t>
  </si>
  <si>
    <t xml:space="preserve">ACP PVDF 4 mm + rangka hollow galvanis</t>
  </si>
  <si>
    <t xml:space="preserve">Kisi-kisi woodplank fasade 1 (FD1) - lump sum</t>
  </si>
  <si>
    <t xml:space="preserve">Secondary skin plat cutting FD2 + rangka - lump sum</t>
  </si>
  <si>
    <t xml:space="preserve">Secondary skin plat cutting FD3 + rangka - lump sum</t>
  </si>
  <si>
    <t xml:space="preserve">Curtain wall CW1 kaca stopsol tempered 6 mm - lump sum</t>
  </si>
  <si>
    <t xml:space="preserve">Curtain wall CW2 kaca stopsol tempered 6 mm - lump sum</t>
  </si>
  <si>
    <t xml:space="preserve">Curtain wall CW3 kaca stopsol 5 mm - lump sum</t>
  </si>
  <si>
    <t xml:space="preserve">Pergola entrance (ACP + acrylic) - lump sum</t>
  </si>
  <si>
    <t xml:space="preserve">Logo gedung &amp; papan nama + lampu LED</t>
  </si>
  <si>
    <t xml:space="preserve">Railing stainless + acrylic 5 mm</t>
  </si>
  <si>
    <t xml:space="preserve">Pintu/jendela utama PJ-01 tempered glass 12 mm + aksesoris</t>
  </si>
  <si>
    <t xml:space="preserve">Pintu/jendela utama PJ-02 tempered glass 12 mm + aksesoris</t>
  </si>
  <si>
    <t xml:space="preserve">Pintu PJ-03 + aksesoris</t>
  </si>
  <si>
    <t xml:space="preserve">Pintu P-01 + aksesoris</t>
  </si>
  <si>
    <t xml:space="preserve">Pintu P-02 + aksesoris</t>
  </si>
  <si>
    <t xml:space="preserve">Pintu P-03 (KM/WC) + aksesoris</t>
  </si>
  <si>
    <t xml:space="preserve">Pintu P-04 (difabel) + aksesoris</t>
  </si>
  <si>
    <t xml:space="preserve">Pintu shaft (PS) + aksesoris</t>
  </si>
  <si>
    <t xml:space="preserve">Jendela J-01 aluminium kaca 5 mm + aksesoris</t>
  </si>
  <si>
    <t xml:space="preserve">Ventilasi V-01 jalusi aluminium + aksesoris</t>
  </si>
  <si>
    <t xml:space="preserve">Ventilasi V-02 + aksesoris</t>
  </si>
  <si>
    <t xml:space="preserve">Pintu P-05 + aksesoris</t>
  </si>
  <si>
    <t xml:space="preserve">Atap bitumen</t>
  </si>
  <si>
    <t xml:space="preserve">Nok atap bitumen</t>
  </si>
  <si>
    <t xml:space="preserve">M1</t>
  </si>
  <si>
    <t xml:space="preserve">Lisplank 20x3</t>
  </si>
  <si>
    <t xml:space="preserve">Bak kontrol pasangan bata + tutup</t>
  </si>
  <si>
    <t xml:space="preserve">Fire extinguisher ABC powder 3 kg</t>
  </si>
  <si>
    <t xml:space="preserve">Indoor VRF wall mounted 7.500 BTU/h</t>
  </si>
  <si>
    <t xml:space="preserve">Indoor VRF wall mounted 12.300 BTU/h</t>
  </si>
  <si>
    <t xml:space="preserve">Indoor VRF wall mounted 19.100 BTU/h</t>
  </si>
  <si>
    <t xml:space="preserve">Indoor VRF 4-way cassette 15.400 BTU/h</t>
  </si>
  <si>
    <t xml:space="preserve">Indoor VRF 4-way cassette 19.100 BTU/h</t>
  </si>
  <si>
    <t xml:space="preserve">Indoor VRF 4-way cassette 24.200 BTU/h</t>
  </si>
  <si>
    <t xml:space="preserve">Indoor VRF wall mounted 15.400 BTU/h</t>
  </si>
  <si>
    <t xml:space="preserve">Indoor VRF 4-way cassette 28.000 BTU/h</t>
  </si>
  <si>
    <t xml:space="preserve">Indoor VRF 4-way cassette 30.700 BTU/h</t>
  </si>
  <si>
    <t xml:space="preserve">Split wall mounted inverter 17.000 BTU/h</t>
  </si>
  <si>
    <t xml:space="preserve">Outdoor VRF high COP 191.080 BTU/h</t>
  </si>
  <si>
    <t xml:space="preserve">Outdoor VRF high COP 210.188 BTU/h</t>
  </si>
  <si>
    <t xml:space="preserve">Y-branch refrigerant</t>
  </si>
  <si>
    <t xml:space="preserve">Wired remote controller</t>
  </si>
  <si>
    <t xml:space="preserve">Wireless remote controller</t>
  </si>
  <si>
    <t xml:space="preserve">Central controller AC smart</t>
  </si>
  <si>
    <t xml:space="preserve">Instalasi module outdoor VRF</t>
  </si>
  <si>
    <t xml:space="preserve">Dudukan outdoor beton K-175</t>
  </si>
  <si>
    <t xml:space="preserve">Tray kabel &amp; pipa (slot angle)</t>
  </si>
  <si>
    <t xml:space="preserve">Instalasi indoor wall mounted + bracket</t>
  </si>
  <si>
    <t xml:space="preserve">Instalasi ceiling cassette + hanger</t>
  </si>
  <si>
    <t xml:space="preserve">Instalasi centralized controller</t>
  </si>
  <si>
    <t xml:space="preserve">Instalasi set split wall mounted + bracket</t>
  </si>
  <si>
    <t xml:space="preserve">Pipa pair refrigerant 1/4"-1/2" + insulasi</t>
  </si>
  <si>
    <t xml:space="preserve">Pipa refrigerant ASTM B280 1/4" + insulasi</t>
  </si>
  <si>
    <t xml:space="preserve">Pipa refrigerant ASTM B280 3/8" + insulasi</t>
  </si>
  <si>
    <t xml:space="preserve">Pipa refrigerant ASTM B280 1/2" + insulasi</t>
  </si>
  <si>
    <t xml:space="preserve">Pipa refrigerant ASTM B280 5/8" + insulasi</t>
  </si>
  <si>
    <t xml:space="preserve">Pipa refrigerant ASTM B280 3/4" + insulasi</t>
  </si>
  <si>
    <t xml:space="preserve">Pipa refrigerant ASTM B280 7/8" + insulasi</t>
  </si>
  <si>
    <t xml:space="preserve">Pipa refrigerant ASTM B280 1-1/8" + insulasi</t>
  </si>
  <si>
    <t xml:space="preserve">Instalasi branch refrigerant</t>
  </si>
  <si>
    <t xml:space="preserve">Pipa drain PVC 1/2" + insulasi</t>
  </si>
  <si>
    <t xml:space="preserve">Pipa drain PVC 1" + insulasi</t>
  </si>
  <si>
    <t xml:space="preserve">Pipa drain PVC 2" + insulasi</t>
  </si>
  <si>
    <t xml:space="preserve">Hanger &amp; support pipa refrigerant tipe I</t>
  </si>
  <si>
    <t xml:space="preserve">Hanger &amp; support pipa refrigerant tipe VI 3"</t>
  </si>
  <si>
    <t xml:space="preserve">Hanger &amp; support pipa drain tipe I</t>
  </si>
  <si>
    <t xml:space="preserve">Hanger &amp; support pipa drain tipe II 1"</t>
  </si>
  <si>
    <t xml:space="preserve">Hanger &amp; support pipa drain tipe V 3"</t>
  </si>
  <si>
    <t xml:space="preserve">Kabel NYY 4x35 mm2 + BC 10 mm2 (supply + pasang)</t>
  </si>
  <si>
    <t xml:space="preserve">Kabel NYY 4x25 mm2 + BC 10 mm2 (supply + pasang)</t>
  </si>
  <si>
    <t xml:space="preserve">Kabel NYY 4x16 mm2 + BC 10 mm2 (supply + pasang)</t>
  </si>
  <si>
    <t xml:space="preserve">Kabel NYM 3x2,5 mm2 + conduit</t>
  </si>
  <si>
    <t xml:space="preserve">Kabel komunikasi AWG 18 pair + conduit</t>
  </si>
  <si>
    <t xml:space="preserve">Refrigerant R32 tambahan</t>
  </si>
  <si>
    <t xml:space="preserve">Refrigerant R410A tambahan</t>
  </si>
  <si>
    <t xml:space="preserve">Testing sistem VRF (leak, vakum, megger, tegangan, phasa)</t>
  </si>
  <si>
    <t xml:space="preserve">Commissioning sistem VRF</t>
  </si>
  <si>
    <t xml:space="preserve">Testing pipa drain</t>
  </si>
  <si>
    <t xml:space="preserve">Lift penumpang 400 kg, 2 stop, roomless (supply + install + commissioning)</t>
  </si>
  <si>
    <t xml:space="preserve">Instalasi listrik lift NYY 3x6 mm2</t>
  </si>
  <si>
    <t xml:space="preserve">Kloset duduk dual flush + aksesoris</t>
  </si>
  <si>
    <t xml:space="preserve">Kloset duduk difabel dual flush + aksesoris</t>
  </si>
  <si>
    <t xml:space="preserve">Jet washer toilet</t>
  </si>
  <si>
    <t xml:space="preserve">Floor drain</t>
  </si>
  <si>
    <t xml:space="preserve">Kran air</t>
  </si>
  <si>
    <t xml:space="preserve">Kitchen sink</t>
  </si>
  <si>
    <t xml:space="preserve">Kran kitchen sink</t>
  </si>
  <si>
    <t xml:space="preserve">Wastafel full set + kran</t>
  </si>
  <si>
    <t xml:space="preserve">Wastafel difabel</t>
  </si>
  <si>
    <t xml:space="preserve">Kran wastafel difabel</t>
  </si>
  <si>
    <t xml:space="preserve">Hand rail difabel</t>
  </si>
  <si>
    <t xml:space="preserve">Hand bar difabel</t>
  </si>
  <si>
    <t xml:space="preserve">Hand shower set + sink tap</t>
  </si>
  <si>
    <t xml:space="preserve">Pompa booster semi jet 83 lpm head 61 m</t>
  </si>
  <si>
    <t xml:space="preserve">Instalasi WLC (water level control)</t>
  </si>
  <si>
    <t xml:space="preserve">Header pipa GIP 4" + coating</t>
  </si>
  <si>
    <t xml:space="preserve">Gate valve 65 mm 10K</t>
  </si>
  <si>
    <t xml:space="preserve">Check valve 65 mm 10K</t>
  </si>
  <si>
    <t xml:space="preserve">Gate valve bronze 25 mm</t>
  </si>
  <si>
    <t xml:space="preserve">Pressure switch</t>
  </si>
  <si>
    <t xml:space="preserve">Pressure gauge</t>
  </si>
  <si>
    <t xml:space="preserve">Strainer 65 mm 10K</t>
  </si>
  <si>
    <t xml:space="preserve">Flexible joint 65 mm 10K</t>
  </si>
  <si>
    <t xml:space="preserve">Water level control</t>
  </si>
  <si>
    <t xml:space="preserve">Instalasi daya pompa NYY 3x4 mm2</t>
  </si>
  <si>
    <t xml:space="preserve">Tandon air stainless steel 2200 L</t>
  </si>
  <si>
    <t xml:space="preserve">Test &amp; commissioning (sesuai BoQ)</t>
  </si>
  <si>
    <t xml:space="preserve">Pipa PPR PN-10 Ø50 + aksesoris</t>
  </si>
  <si>
    <t xml:space="preserve">Pipa PPR PN-10 Ø32 + aksesoris</t>
  </si>
  <si>
    <t xml:space="preserve">Pipa PPR PN-10 Ø25 + aksesoris</t>
  </si>
  <si>
    <t xml:space="preserve">Pipa PPR PN-10 Ø20 + aksesoris</t>
  </si>
  <si>
    <t xml:space="preserve">Gate valve PPR 2"</t>
  </si>
  <si>
    <t xml:space="preserve">Pipa PVC AW 4" + aksesoris</t>
  </si>
  <si>
    <t xml:space="preserve">Pipa PVC AW 3" + aksesoris</t>
  </si>
  <si>
    <t xml:space="preserve">Pipa PVC AW 1-1/4" + aksesoris</t>
  </si>
  <si>
    <t xml:space="preserve">Clean out stainless 4"</t>
  </si>
  <si>
    <t xml:space="preserve">Clean out PVC 4"</t>
  </si>
  <si>
    <t xml:space="preserve">Sumur resapan + aksesoris</t>
  </si>
  <si>
    <t xml:space="preserve">Pipa PVC AW 6" + aksesoris</t>
  </si>
  <si>
    <t xml:space="preserve">Clean out stainless 6"</t>
  </si>
  <si>
    <t xml:space="preserve">Clean out PVC 6"</t>
  </si>
  <si>
    <t xml:space="preserve">Septictank biofil 10 m3</t>
  </si>
  <si>
    <t xml:space="preserve">Septictank biofil 1 m3</t>
  </si>
  <si>
    <t xml:space="preserve">Roof drain</t>
  </si>
  <si>
    <t xml:space="preserve">Grouting lubang roof drain</t>
  </si>
  <si>
    <t xml:space="preserve">Panel MDP gedung kantor</t>
  </si>
  <si>
    <t xml:space="preserve">Panel SDP</t>
  </si>
  <si>
    <t xml:space="preserve">Panel LP/PP</t>
  </si>
  <si>
    <t xml:space="preserve">Panel AC</t>
  </si>
  <si>
    <t xml:space="preserve">Kabel feeder NYY 4x35 mm2 (supply + pasang)</t>
  </si>
  <si>
    <t xml:space="preserve">Kabel feeder NYY 4x10 mm2 (supply + pasang)</t>
  </si>
  <si>
    <t xml:space="preserve">Kabel feeder NYY 4x16 mm2 (supply + pasang)</t>
  </si>
  <si>
    <t xml:space="preserve">Kabel tray 40 cm arus kuat + penunjang</t>
  </si>
  <si>
    <t xml:space="preserve">Kabel tray 40 cm arus lemah + penunjang</t>
  </si>
  <si>
    <t xml:space="preserve">Lampu downlight LED 7 W</t>
  </si>
  <si>
    <t xml:space="preserve">Lampu downlight LED 13 W</t>
  </si>
  <si>
    <t xml:space="preserve">Lampu panel LED 40 W</t>
  </si>
  <si>
    <t xml:space="preserve">LED strip kuning</t>
  </si>
  <si>
    <t xml:space="preserve">Saklar tunggal</t>
  </si>
  <si>
    <t xml:space="preserve">Saklar ganda</t>
  </si>
  <si>
    <t xml:space="preserve">Stop kontak</t>
  </si>
  <si>
    <t xml:space="preserve">Exhaust fan 8"</t>
  </si>
  <si>
    <t xml:space="preserve">Instalasi titik penerangan NYM 3x2,5 + conduit</t>
  </si>
  <si>
    <t xml:space="preserve">Instalasi titik stop kontak NYM 3x2,5 + conduit</t>
  </si>
  <si>
    <t xml:space="preserve">Instalasi titik exhaust fan NYM 3x2,5 + conduit</t>
  </si>
  <si>
    <t xml:space="preserve">DVR 16 channel + hardisk 4 TB</t>
  </si>
  <si>
    <t xml:space="preserve">Monitor TV LED 32" + bracket</t>
  </si>
  <si>
    <t xml:space="preserve">UPS 1300 VA</t>
  </si>
  <si>
    <t xml:space="preserve">Power distribution unit</t>
  </si>
  <si>
    <t xml:space="preserve">CCTV dome</t>
  </si>
  <si>
    <t xml:space="preserve">CCTV fix</t>
  </si>
  <si>
    <t xml:space="preserve">Instalasi kabel CCTV RG59 + power</t>
  </si>
  <si>
    <t xml:space="preserve">Rak equipment tata suara</t>
  </si>
  <si>
    <t xml:space="preserve">Mic paging</t>
  </si>
  <si>
    <t xml:space="preserve">Volume control</t>
  </si>
  <si>
    <t xml:space="preserve">Ceiling speaker 6 W</t>
  </si>
  <si>
    <t xml:space="preserve">Power amplifier 1x480 W</t>
  </si>
  <si>
    <t xml:space="preserve">Instalasi kabel speaker NYMHY 2x1,5 + conduit</t>
  </si>
  <si>
    <t xml:space="preserve">Mixer frame USB input</t>
  </si>
  <si>
    <t xml:space="preserve">Column speaker</t>
  </si>
  <si>
    <t xml:space="preserve">Power amplifier 1x120 W</t>
  </si>
  <si>
    <t xml:space="preserve">MCFA 10 zone konvensional + battery</t>
  </si>
  <si>
    <t xml:space="preserve">Annunciator panel</t>
  </si>
  <si>
    <t xml:space="preserve">Instalasi daya alat arus lemah</t>
  </si>
  <si>
    <t xml:space="preserve">Terminal box fire alarm</t>
  </si>
  <si>
    <t xml:space="preserve">Kabel power MCFA ke TB-FA</t>
  </si>
  <si>
    <t xml:space="preserve">Heat detector ROR</t>
  </si>
  <si>
    <t xml:space="preserve">Smoke detector</t>
  </si>
  <si>
    <t xml:space="preserve">Manual break glass</t>
  </si>
  <si>
    <t xml:space="preserve">Bell alarm</t>
  </si>
  <si>
    <t xml:space="preserve">Lampu indikator fire alarm</t>
  </si>
  <si>
    <t xml:space="preserve">Instalasi kabel fire alarm NYA 2(1x1,5) + conduit</t>
  </si>
  <si>
    <t xml:space="preserve">Penyambungan jaringan internet baru</t>
  </si>
  <si>
    <t xml:space="preserve">Switch hub 24 port</t>
  </si>
  <si>
    <t xml:space="preserve">Rack server 6U</t>
  </si>
  <si>
    <t xml:space="preserve">Access point Tenda i24</t>
  </si>
  <si>
    <t xml:space="preserve">Outlet data</t>
  </si>
  <si>
    <t xml:space="preserve">Instalasi kabel UTP Cat.6 + conduit</t>
  </si>
  <si>
    <t xml:space="preserve">Air terminal ESE radius 100 m + connector</t>
  </si>
  <si>
    <t xml:space="preserve">Tiang pipa galvanized 2"</t>
  </si>
  <si>
    <t xml:space="preserve">Down conductor BC 70 + conduit</t>
  </si>
  <si>
    <t xml:space="preserve">Bor grounding + BC 95 (R 2 ohm)</t>
  </si>
  <si>
    <t xml:space="preserve">Bak kontrol grounding</t>
  </si>
  <si>
    <t xml:space="preserve">Kabel BC 70 mm</t>
  </si>
  <si>
    <t xml:space="preserve">Kabel BC 50 mm</t>
  </si>
  <si>
    <t xml:space="preserve">Kabel BC 4 mm + aksesoris</t>
  </si>
  <si>
    <t xml:space="preserve">Grounding system maks. 1 ohm</t>
  </si>
  <si>
    <t xml:space="preserve">Spun pile Dia. 40 cm panjang 6 m (supply, delivered)</t>
  </si>
  <si>
    <t xml:space="preserve">Angkur Ø19 mm</t>
  </si>
  <si>
    <t xml:space="preserve">Angkur Ø16 mm</t>
  </si>
  <si>
    <t xml:space="preserve">Non-shrink grouting</t>
  </si>
  <si>
    <t xml:space="preserve">Baut HTB M16 (supply + pasang)</t>
  </si>
  <si>
    <t xml:space="preserve">Jarum keras M-12</t>
  </si>
  <si>
    <t xml:space="preserve">Kisi-kisi atap workshop - lump sum</t>
  </si>
  <si>
    <t xml:space="preserve">Wall panel eksterior - lump sum</t>
  </si>
  <si>
    <t xml:space="preserve">Papan nama gedung + lampu LED</t>
  </si>
  <si>
    <t xml:space="preserve">Floor hardener</t>
  </si>
  <si>
    <t xml:space="preserve">Epoxy flooring 2000 micron</t>
  </si>
  <si>
    <t xml:space="preserve">Pintu utama workshop P-01 + aksesoris</t>
  </si>
  <si>
    <t xml:space="preserve">Pintu ruang kelas P-02 + aksesoris</t>
  </si>
  <si>
    <t xml:space="preserve">Pintu KM P-03 + aksesoris</t>
  </si>
  <si>
    <t xml:space="preserve">Pintu KM difabel P-04 + aksesoris</t>
  </si>
  <si>
    <t xml:space="preserve">Jendela J-02 + aksesoris</t>
  </si>
  <si>
    <t xml:space="preserve">Jendela J-03 + aksesoris</t>
  </si>
  <si>
    <t xml:space="preserve">Jendela J-04 + aksesoris</t>
  </si>
  <si>
    <t xml:space="preserve">Jalusi tralis + aksesoris</t>
  </si>
  <si>
    <t xml:space="preserve">Railing ramp akses difabel</t>
  </si>
  <si>
    <t xml:space="preserve">Manhole besi + tutup</t>
  </si>
  <si>
    <t xml:space="preserve">Atap spandek 0,5 mm (area rangka baja WF)</t>
  </si>
  <si>
    <t xml:space="preserve">Aluminium foil + thermal foam 10 mm</t>
  </si>
  <si>
    <t xml:space="preserve">Nok atap spandek</t>
  </si>
  <si>
    <t xml:space="preserve">Atap spandek + rangka baja ringan</t>
  </si>
  <si>
    <t xml:space="preserve">Split inverter 18.000 BTU/h wall mounted</t>
  </si>
  <si>
    <t xml:space="preserve">Pipa refrigerant 1/2"x1/4" berisolasi + kabel NYY 3x4</t>
  </si>
  <si>
    <t xml:space="preserve">Pipa drain AC PVC AW 1" berisolasi</t>
  </si>
  <si>
    <t xml:space="preserve">Instalasi daya indoor AC NYM 3x4 + conduit</t>
  </si>
  <si>
    <t xml:space="preserve">Kran wastafel</t>
  </si>
  <si>
    <t xml:space="preserve">Pompa booster</t>
  </si>
  <si>
    <t xml:space="preserve">Gate valve PPR 32 mm</t>
  </si>
  <si>
    <t xml:space="preserve">Check valve 32 mm</t>
  </si>
  <si>
    <t xml:space="preserve">Septictank biofil 2 m3</t>
  </si>
  <si>
    <t xml:space="preserve">Talang air hujan 30x25 (aluminium 0,3 mm + rangka)</t>
  </si>
  <si>
    <t xml:space="preserve">Lampu high bay LED 100 W</t>
  </si>
  <si>
    <t xml:space="preserve">Stop kontak 3 phase</t>
  </si>
  <si>
    <t xml:space="preserve">MCFA 5 zone konvensional + battery</t>
  </si>
  <si>
    <t xml:space="preserve">Stil penangkal petir</t>
  </si>
  <si>
    <t xml:space="preserve">Grounding system maks. 5 ohm</t>
  </si>
  <si>
    <t xml:space="preserve">Bor grounding + BC 10 (R 2 ohm)</t>
  </si>
  <si>
    <t xml:space="preserve">Penyambungan tiang pancang (las + plat sambung)</t>
  </si>
  <si>
    <t xml:space="preserve">Aluminium foil + thermal foam 8 mm</t>
  </si>
  <si>
    <t xml:space="preserve">Pompa booster sumur dangkal Grundfos JP 4-47 PT</t>
  </si>
  <si>
    <t xml:space="preserve">Secondary skin WPC panel + rangka hollow</t>
  </si>
  <si>
    <t xml:space="preserve">Papan nama gedung</t>
  </si>
  <si>
    <t xml:space="preserve">Railing stainless - lump sum</t>
  </si>
  <si>
    <t xml:space="preserve">Pintu aluminium + aksesoris</t>
  </si>
  <si>
    <t xml:space="preserve">Jendela CW tempered glass 12 mm + aksesoris</t>
  </si>
  <si>
    <t xml:space="preserve">Atap bitumen + rangka baja ringan</t>
  </si>
  <si>
    <t xml:space="preserve">Rumput gajah (supply + tanam)</t>
  </si>
  <si>
    <t xml:space="preserve">AC ceiling cassette 36.000 BTU/h</t>
  </si>
  <si>
    <t xml:space="preserve">Pipa refrigerant 5/8"x3/8" berisolasi + kabel NYY 3x4</t>
  </si>
  <si>
    <t xml:space="preserve">Pipa PVC AW 2" + aksesoris</t>
  </si>
  <si>
    <t xml:space="preserve">Septictank biofil 3 m3</t>
  </si>
  <si>
    <t xml:space="preserve">Sumur resapan buis beton + aksesoris</t>
  </si>
  <si>
    <t xml:space="preserve">Panel LP/PP workshop TIK</t>
  </si>
  <si>
    <t xml:space="preserve">Lampu downlight outbow LED 9 W</t>
  </si>
  <si>
    <t xml:space="preserve">Stop kontak AC</t>
  </si>
  <si>
    <t xml:space="preserve">Instalasi daya AC NYM 3x4 + conduit</t>
  </si>
  <si>
    <t xml:space="preserve">Pintu utama gardu PLN (baja) + aksesoris</t>
  </si>
  <si>
    <t xml:space="preserve">Jalusi hollow besi</t>
  </si>
  <si>
    <t xml:space="preserve">Finishing expose langit-langit beton</t>
  </si>
  <si>
    <t xml:space="preserve">Biaya sambung daya PLN 500 kVA + UJL + SLO</t>
  </si>
  <si>
    <t xml:space="preserve">Cubicle TM incoming manual &amp; outgoing motorized + surge arrester</t>
  </si>
  <si>
    <t xml:space="preserve">Transformer 630 kVA + aksesoris + terminating</t>
  </si>
  <si>
    <t xml:space="preserve">Kabel N2XSY 3x1x70 mm TM (supply + pasang)</t>
  </si>
  <si>
    <t xml:space="preserve">Kabel NYY 2x(4x240) mm2 trafo-LVMDP</t>
  </si>
  <si>
    <t xml:space="preserve">Kabel NYY 3x(4x185) mm2 genset-LVMDP</t>
  </si>
  <si>
    <t xml:space="preserve">Kabel ladder 300x100 mm</t>
  </si>
  <si>
    <t xml:space="preserve">Kabel BC 70 mm ke trafo &amp; cubicle</t>
  </si>
  <si>
    <t xml:space="preserve">Panel LVMDP + interlock</t>
  </si>
  <si>
    <t xml:space="preserve">Panel power house</t>
  </si>
  <si>
    <t xml:space="preserve">Genset silent 500 kVA + panel ATS/AMF</t>
  </si>
  <si>
    <t xml:space="preserve">Lampu TL LED 2x18 W</t>
  </si>
  <si>
    <t xml:space="preserve">Lampu downlight outbow 14 W</t>
  </si>
  <si>
    <t xml:space="preserve">Exhaust fan wall mounted 10"</t>
  </si>
  <si>
    <t xml:space="preserve">Electric fire pump</t>
  </si>
  <si>
    <t xml:space="preserve">Diesel fire pump</t>
  </si>
  <si>
    <t xml:space="preserve">Jockey fire pump</t>
  </si>
  <si>
    <t xml:space="preserve">Pipa BS sch.40 Ø200</t>
  </si>
  <si>
    <t xml:space="preserve">Pipa BS sch.40 Ø150</t>
  </si>
  <si>
    <t xml:space="preserve">Pipa BS sch.40 Ø125</t>
  </si>
  <si>
    <t xml:space="preserve">Pompa distribusi air bersih kawasan</t>
  </si>
  <si>
    <t xml:space="preserve">Pipa BS sch.40 Ø80</t>
  </si>
  <si>
    <t xml:space="preserve">Gate valve 16K Ø150</t>
  </si>
  <si>
    <t xml:space="preserve">Panel LP/PP pump house</t>
  </si>
  <si>
    <t xml:space="preserve">Pipa drainase turap PVC AW 2"</t>
  </si>
  <si>
    <t xml:space="preserve">Panel outdoor MDP 3 IP65</t>
  </si>
  <si>
    <t xml:space="preserve">Panel outdoor MDP 5 IP65</t>
  </si>
  <si>
    <t xml:space="preserve">Panel outdoor MDP 7 IP65</t>
  </si>
  <si>
    <t xml:space="preserve">Panel outdoor MDP 9 IP65</t>
  </si>
  <si>
    <t xml:space="preserve">Kabel NYFGBY 4x50 mm2 (supply + pasang)</t>
  </si>
  <si>
    <t xml:space="preserve">Kabel NYFGBY 4x70 mm2 (supply + pasang)</t>
  </si>
  <si>
    <t xml:space="preserve">Kabel NYFGBY 4x120 mm2 (supply + pasang)</t>
  </si>
  <si>
    <t xml:space="preserve">Kabel NYFGBY 4x35 mm2 (supply + pasang)</t>
  </si>
  <si>
    <t xml:space="preserve">Kabel NYY 4x4 mm2 (supply + pasang)</t>
  </si>
  <si>
    <t xml:space="preserve">Kabel NYFGBY 4x150 mm2 (supply + pasang)</t>
  </si>
  <si>
    <t xml:space="preserve">Kabel NYFGBY 4x16 mm2 (supply + pasang)</t>
  </si>
  <si>
    <t xml:space="preserve">Pipa BSP sch.40 Ø100 + isolasi (hydrant)</t>
  </si>
  <si>
    <t xml:space="preserve">Outdoor hydrant box + selang + nozzle</t>
  </si>
  <si>
    <t xml:space="preserve">Hydrant pillar two way</t>
  </si>
  <si>
    <t xml:space="preserve">Gate valve 16K Ø100</t>
  </si>
  <si>
    <t xml:space="preserve">Sumur dalam (bor + pompa submersible 3 HP + kelengkapan)</t>
  </si>
  <si>
    <t xml:space="preserve">Check valve 40 mm</t>
  </si>
  <si>
    <t xml:space="preserve">Gate valve 40 mm</t>
  </si>
  <si>
    <t xml:space="preserve">Tangki panel FRP 300 m3 (supply + pasang)</t>
  </si>
  <si>
    <t xml:space="preserve">Instalasi pipa PPR PN-10 50 mm</t>
  </si>
  <si>
    <t xml:space="preserve">Gate valve PPR 50 mm</t>
  </si>
  <si>
    <t xml:space="preserve">IPAL biofilter anaerob-aerob 10 m3/hari (lengkap blower, pompa, filter, panel)</t>
  </si>
  <si>
    <t xml:space="preserve">Plat perforated 3 mm</t>
  </si>
  <si>
    <t xml:space="preserve">Grill penutup sump pit</t>
  </si>
  <si>
    <t xml:space="preserve">Pompa sump pit submersible 150 L/menit</t>
  </si>
  <si>
    <t xml:space="preserve">Pintu P1 aluminium mesh + aksesoris</t>
  </si>
  <si>
    <t xml:space="preserve">Jendela J1 aluminium mesh + aksesoris</t>
  </si>
  <si>
    <t xml:space="preserve">Jendela J2 aluminium mesh + aksesoris</t>
  </si>
  <si>
    <t xml:space="preserve">Grill penutup saluran</t>
  </si>
  <si>
    <t xml:space="preserve">Atap spandek berpasir + rangka baja ringan</t>
  </si>
  <si>
    <t xml:space="preserve">Drum HDPE 200 L (TPS LB3)</t>
  </si>
  <si>
    <t xml:space="preserve">Tempat sampah fiberglass 120 L</t>
  </si>
  <si>
    <t xml:space="preserve">Railing metal mesh</t>
  </si>
  <si>
    <t xml:space="preserve">Drum komposter 200 L</t>
  </si>
  <si>
    <t xml:space="preserve">Alat pencacah sampah CR-500</t>
  </si>
  <si>
    <t xml:space="preserve">Hanger MCB box</t>
  </si>
  <si>
    <t xml:space="preserve">Kabel NYY 3x4 + pipa PVC AW 1"</t>
  </si>
  <si>
    <t xml:space="preserve">DAFTAR HARGA SATUAN DASAR: TENAGA KERJA, BAHAN DAN PERALATAN</t>
  </si>
  <si>
    <t xml:space="preserve">Kabupaten Morowali Utara, Provinsi Sulawesi Tengah - Tahun Anggaran 2026</t>
  </si>
  <si>
    <t xml:space="preserve">CATATAN: seluruh harga pada lembar ini adalah ESTIMASI PERENCANA (dokumen HSD/AHSP resmi Kab. Morowali Utara TA 2026 belum tersedia saat penyusunan). Ganti sel biru dengan harga resmi; seluruh analisa, RAB, rekap, dan kurva S akan terhitung ulang otomatis.</t>
  </si>
  <si>
    <t xml:space="preserve">Uraian</t>
  </si>
  <si>
    <t xml:space="preserve">Keterangan / Dasar</t>
  </si>
  <si>
    <t xml:space="preserve">A. UPAH TENAGA KERJA (per Orang-Hari)</t>
  </si>
  <si>
    <t xml:space="preserve">L01</t>
  </si>
  <si>
    <t xml:space="preserve">Pekerja</t>
  </si>
  <si>
    <t xml:space="preserve">Estimasi - ganti dgn HSD Upah Kab. Morowali Utara 2026</t>
  </si>
  <si>
    <t xml:space="preserve">L02</t>
  </si>
  <si>
    <t xml:space="preserve">Tukang Batu / Tukang Plester</t>
  </si>
  <si>
    <t xml:space="preserve">L03</t>
  </si>
  <si>
    <t xml:space="preserve">Tukang Kayu / Bekisting</t>
  </si>
  <si>
    <t xml:space="preserve">L04</t>
  </si>
  <si>
    <t xml:space="preserve">Tukang Besi / Pembesian</t>
  </si>
  <si>
    <t xml:space="preserve">L05</t>
  </si>
  <si>
    <t xml:space="preserve">Tukang Cat</t>
  </si>
  <si>
    <t xml:space="preserve">L06</t>
  </si>
  <si>
    <t xml:space="preserve">Tukang Las</t>
  </si>
  <si>
    <t xml:space="preserve">L07</t>
  </si>
  <si>
    <t xml:space="preserve">Tukang Keramik / Finishing</t>
  </si>
  <si>
    <t xml:space="preserve">L08</t>
  </si>
  <si>
    <t xml:space="preserve">Kepala Tukang</t>
  </si>
  <si>
    <t xml:space="preserve">L09</t>
  </si>
  <si>
    <t xml:space="preserve">Mandor</t>
  </si>
  <si>
    <t xml:space="preserve">M01</t>
  </si>
  <si>
    <t xml:space="preserve">Semen Portland (PC)</t>
  </si>
  <si>
    <t xml:space="preserve">Estimasi harga di lokasi (delivered) - ganti dgn HSD Bahan 2026</t>
  </si>
  <si>
    <t xml:space="preserve">M02</t>
  </si>
  <si>
    <t xml:space="preserve">Pasir pasang</t>
  </si>
  <si>
    <t xml:space="preserve">M03</t>
  </si>
  <si>
    <t xml:space="preserve">Pasir urug</t>
  </si>
  <si>
    <t xml:space="preserve">M04</t>
  </si>
  <si>
    <t xml:space="preserve">Kerikil / split beton</t>
  </si>
  <si>
    <t xml:space="preserve">M05</t>
  </si>
  <si>
    <t xml:space="preserve">Batu kali</t>
  </si>
  <si>
    <t xml:space="preserve">M06</t>
  </si>
  <si>
    <t xml:space="preserve">Batu kosong (aanstamping)</t>
  </si>
  <si>
    <t xml:space="preserve">M07</t>
  </si>
  <si>
    <t xml:space="preserve">Air kerja</t>
  </si>
  <si>
    <t xml:space="preserve">M08</t>
  </si>
  <si>
    <t xml:space="preserve">Besi beton polos / ulir</t>
  </si>
  <si>
    <t xml:space="preserve">M09</t>
  </si>
  <si>
    <t xml:space="preserve">Kawat beton (bendrat)</t>
  </si>
  <si>
    <t xml:space="preserve">M10</t>
  </si>
  <si>
    <t xml:space="preserve">Kayu balok kelas II/III</t>
  </si>
  <si>
    <t xml:space="preserve">M11</t>
  </si>
  <si>
    <t xml:space="preserve">Papan kayu bekisting</t>
  </si>
  <si>
    <t xml:space="preserve">M12</t>
  </si>
  <si>
    <t xml:space="preserve">Plywood 12 mm</t>
  </si>
  <si>
    <t xml:space="preserve">M13</t>
  </si>
  <si>
    <t xml:space="preserve">Paku biasa</t>
  </si>
  <si>
    <t xml:space="preserve">M14</t>
  </si>
  <si>
    <t xml:space="preserve">Minyak bekisting</t>
  </si>
  <si>
    <t xml:space="preserve">M15</t>
  </si>
  <si>
    <t xml:space="preserve">Dolken kayu galam</t>
  </si>
  <si>
    <t xml:space="preserve">M16</t>
  </si>
  <si>
    <t xml:space="preserve">Bata merah press</t>
  </si>
  <si>
    <t xml:space="preserve">M17</t>
  </si>
  <si>
    <t xml:space="preserve">Bata ringan AAC t=10 cm</t>
  </si>
  <si>
    <t xml:space="preserve">M18</t>
  </si>
  <si>
    <t xml:space="preserve">Perekat bata ringan (thin bed)</t>
  </si>
  <si>
    <t xml:space="preserve">M19</t>
  </si>
  <si>
    <t xml:space="preserve">Tanah timbunan pilihan</t>
  </si>
  <si>
    <t xml:space="preserve">M20</t>
  </si>
  <si>
    <t xml:space="preserve">Tanah subur (top soil)</t>
  </si>
  <si>
    <t xml:space="preserve">M21</t>
  </si>
  <si>
    <t xml:space="preserve">Wiremesh M8</t>
  </si>
  <si>
    <t xml:space="preserve">M22</t>
  </si>
  <si>
    <t xml:space="preserve">Baja profil struktural BJ-37 (WF/CNP/plat/siku)</t>
  </si>
  <si>
    <t xml:space="preserve">M23</t>
  </si>
  <si>
    <t xml:space="preserve">Elektroda las</t>
  </si>
  <si>
    <t xml:space="preserve">M24</t>
  </si>
  <si>
    <t xml:space="preserve">Cat dasar zinc chromate</t>
  </si>
  <si>
    <t xml:space="preserve">M25</t>
  </si>
  <si>
    <t xml:space="preserve">Plamir tembok</t>
  </si>
  <si>
    <t xml:space="preserve">M26</t>
  </si>
  <si>
    <t xml:space="preserve">Cat dasar tembok (alkali resisting primer)</t>
  </si>
  <si>
    <t xml:space="preserve">M27</t>
  </si>
  <si>
    <t xml:space="preserve">Cat tembok interior</t>
  </si>
  <si>
    <t xml:space="preserve">M28</t>
  </si>
  <si>
    <t xml:space="preserve">Cat tembok eksterior</t>
  </si>
  <si>
    <t xml:space="preserve">M29</t>
  </si>
  <si>
    <t xml:space="preserve">Cat plafon</t>
  </si>
  <si>
    <t xml:space="preserve">M30</t>
  </si>
  <si>
    <t xml:space="preserve">Ampelas</t>
  </si>
  <si>
    <t xml:space="preserve">M31</t>
  </si>
  <si>
    <t xml:space="preserve">Granite tile 60x60 polished</t>
  </si>
  <si>
    <t xml:space="preserve">M32</t>
  </si>
  <si>
    <t xml:space="preserve">Granite tile 60x60 unpolished</t>
  </si>
  <si>
    <t xml:space="preserve">M33</t>
  </si>
  <si>
    <t xml:space="preserve">Granite tile 50x50 unpolished (KM/WC)</t>
  </si>
  <si>
    <t xml:space="preserve">M34</t>
  </si>
  <si>
    <t xml:space="preserve">Granite tile 30x60 (dinding KM/WC)</t>
  </si>
  <si>
    <t xml:space="preserve">M35</t>
  </si>
  <si>
    <t xml:space="preserve">Perekat keramik / granite</t>
  </si>
  <si>
    <t xml:space="preserve">M36</t>
  </si>
  <si>
    <t xml:space="preserve">Nat keramik</t>
  </si>
  <si>
    <t xml:space="preserve">M37</t>
  </si>
  <si>
    <t xml:space="preserve">M38</t>
  </si>
  <si>
    <t xml:space="preserve">Paving block 8 cm K-300</t>
  </si>
  <si>
    <t xml:space="preserve">M39</t>
  </si>
  <si>
    <t xml:space="preserve">Hollow galvanis 40x40</t>
  </si>
  <si>
    <t xml:space="preserve">M40</t>
  </si>
  <si>
    <t xml:space="preserve">Gypsum board 9 mm</t>
  </si>
  <si>
    <t xml:space="preserve">M41</t>
  </si>
  <si>
    <t xml:space="preserve">GRC board 6 mm</t>
  </si>
  <si>
    <t xml:space="preserve">M42</t>
  </si>
  <si>
    <t xml:space="preserve">Sekrup &amp; aksesori plafon</t>
  </si>
  <si>
    <t xml:space="preserve">M43</t>
  </si>
  <si>
    <t xml:space="preserve">Compound / plamir gypsum</t>
  </si>
  <si>
    <t xml:space="preserve">M44</t>
  </si>
  <si>
    <t xml:space="preserve">Membrane waterproofing bakar 3 mm</t>
  </si>
  <si>
    <t xml:space="preserve">M45</t>
  </si>
  <si>
    <t xml:space="preserve">Primer bitumen</t>
  </si>
  <si>
    <t xml:space="preserve">C. PERALATAN (sewa per jam, incl. operator &amp; BBM)</t>
  </si>
  <si>
    <t xml:space="preserve">E01</t>
  </si>
  <si>
    <t xml:space="preserve">Excavator PC-200 (incl. operator &amp; BBM)</t>
  </si>
  <si>
    <t xml:space="preserve">Estimasi - ganti dgn HSD Alat 2026</t>
  </si>
  <si>
    <t xml:space="preserve">E02</t>
  </si>
  <si>
    <t xml:space="preserve">Dump truck 10 ton (incl. operator &amp; BBM)</t>
  </si>
  <si>
    <t xml:space="preserve">E03</t>
  </si>
  <si>
    <t xml:space="preserve">Bulldozer D6 (incl. operator &amp; BBM)</t>
  </si>
  <si>
    <t xml:space="preserve">E04</t>
  </si>
  <si>
    <t xml:space="preserve">Vibro roller (incl. operator &amp; BBM)</t>
  </si>
  <si>
    <t xml:space="preserve">E05</t>
  </si>
  <si>
    <t xml:space="preserve">Motor grader (incl. operator &amp; BBM)</t>
  </si>
  <si>
    <t xml:space="preserve">E06</t>
  </si>
  <si>
    <t xml:space="preserve">Concrete mixer 0.35 m3</t>
  </si>
  <si>
    <t xml:space="preserve">E07</t>
  </si>
  <si>
    <t xml:space="preserve">Concrete vibrator</t>
  </si>
  <si>
    <t xml:space="preserve">E08</t>
  </si>
  <si>
    <t xml:space="preserve">Stamper / plate compactor</t>
  </si>
  <si>
    <t xml:space="preserve">E09</t>
  </si>
  <si>
    <t xml:space="preserve">Mobile crane 25 ton (incl. operator)</t>
  </si>
  <si>
    <t xml:space="preserve">E10</t>
  </si>
  <si>
    <t xml:space="preserve">Mesin las / genset las</t>
  </si>
  <si>
    <t xml:space="preserve">SCHEDULE PELAKSANAAN (BAR CHART / GANTT) DAN KURVA S</t>
  </si>
  <si>
    <t xml:space="preserve">Sel BIRU (Mulai &amp; Durasi, dalam minggu) dapat diubah. Progres mingguan = bobot / durasi (distribusi seragam per kegiatan).</t>
  </si>
  <si>
    <t xml:space="preserve">URAIAN KEGIATAN</t>
  </si>
  <si>
    <t xml:space="preserve">MULAI (mgg)</t>
  </si>
  <si>
    <t xml:space="preserve">DURASI (mgg)</t>
  </si>
  <si>
    <t xml:space="preserve">SELESAI (mgg)</t>
  </si>
  <si>
    <t xml:space="preserve">Tanggal awal minggu</t>
  </si>
  <si>
    <t xml:space="preserve">Testing, commissioning, as-built drawing, serah terima PHO (tanpa bobot RAB)</t>
  </si>
  <si>
    <t xml:space="preserve">RENCANA PROGRES MINGGUAN (%)</t>
  </si>
  <si>
    <t xml:space="preserve">RENCANA PROGRES KUMULATIF (%)</t>
  </si>
  <si>
    <t xml:space="preserve">REALISASI PROGRES KUMULATIF (%) - isi mingguan</t>
  </si>
  <si>
    <t xml:space="preserve">DEVIASI (realisasi - rencana)</t>
  </si>
  <si>
    <t xml:space="preserve">Nilai rencana kumulatif (Rp)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</si>
</sst>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"/>
    <numFmt numFmtId="167" formatCode="dd\-mmm\-yyyy"/>
    <numFmt numFmtId="168" formatCode="0.0%"/>
    <numFmt numFmtId="169" formatCode="0.00%"/>
    <numFmt numFmtId="170" formatCode="#,##0.00"/>
    <numFmt numFmtId="171" formatCode="0%"/>
    <numFmt numFmtId="172" formatCode="dd/mm"/>
    <numFmt numFmtId="173" formatCode="0.00%;;;"/>
    <numFmt numFmtId="174" formatCode="0.00%;[RED]\-0.00%"/>
    <numFmt numFmtId="175" formatCode="#,##0,,&quot;jt&quot;"/>
  </numFmts>
  <fonts count="2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8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7"/>
      <color rgb="FF000000"/>
      <name val="Arial"/>
      <family val="0"/>
      <charset val="1"/>
    </font>
    <font>
      <sz val="7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7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9DC3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Kurva S - Rencana Progres Kumulatif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"Rencana"</c:f>
              <c:strCache>
                <c:ptCount val="1"/>
                <c:pt idx="0">
                  <c:v>Rencana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Schedule!$G$6:$AW$6</c:f>
              <c:multiLvlStrCache>
                <c:ptCount val="1"/>
                <c:lvl>
                  <c:pt idx="0">
                    <c:v>43</c:v>
                  </c:pt>
                </c:lvl>
                <c:lvl>
                  <c:pt idx="0">
                    <c:v>42</c:v>
                  </c:pt>
                </c:lvl>
                <c:lvl>
                  <c:pt idx="0">
                    <c:v>41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39</c:v>
                  </c:pt>
                </c:lvl>
                <c:lvl>
                  <c:pt idx="0">
                    <c:v>38</c:v>
                  </c:pt>
                </c:lvl>
                <c:lvl>
                  <c:pt idx="0">
                    <c:v>37</c:v>
                  </c:pt>
                </c:lvl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Schedule!$G$52:$AW$52</c:f>
              <c:numCache>
                <c:formatCode>0.00%</c:formatCode>
                <c:ptCount val="43"/>
                <c:pt idx="0">
                  <c:v>0.000441676519966323</c:v>
                </c:pt>
                <c:pt idx="1">
                  <c:v>0.00937241954232352</c:v>
                </c:pt>
                <c:pt idx="2">
                  <c:v>0.0183031625646807</c:v>
                </c:pt>
                <c:pt idx="3">
                  <c:v>0.0272339055870379</c:v>
                </c:pt>
                <c:pt idx="4">
                  <c:v>0.0446621152350184</c:v>
                </c:pt>
                <c:pt idx="5">
                  <c:v>0.0625842699140655</c:v>
                </c:pt>
                <c:pt idx="6">
                  <c:v>0.0805064245931126</c:v>
                </c:pt>
                <c:pt idx="7">
                  <c:v>0.0991855976867372</c:v>
                </c:pt>
                <c:pt idx="8">
                  <c:v>0.123160079970188</c:v>
                </c:pt>
                <c:pt idx="9">
                  <c:v>0.14915674280343</c:v>
                </c:pt>
                <c:pt idx="10">
                  <c:v>0.178137561368523</c:v>
                </c:pt>
                <c:pt idx="11">
                  <c:v>0.201747053199089</c:v>
                </c:pt>
                <c:pt idx="12">
                  <c:v>0.229635687019691</c:v>
                </c:pt>
                <c:pt idx="13">
                  <c:v>0.258277031774495</c:v>
                </c:pt>
                <c:pt idx="14">
                  <c:v>0.2869183765293</c:v>
                </c:pt>
                <c:pt idx="15">
                  <c:v>0.315559721284105</c:v>
                </c:pt>
                <c:pt idx="16">
                  <c:v>0.344201066038909</c:v>
                </c:pt>
                <c:pt idx="17">
                  <c:v>0.372842410793714</c:v>
                </c:pt>
                <c:pt idx="18">
                  <c:v>0.392986288922895</c:v>
                </c:pt>
                <c:pt idx="19">
                  <c:v>0.415062976548022</c:v>
                </c:pt>
                <c:pt idx="20">
                  <c:v>0.442049896902736</c:v>
                </c:pt>
                <c:pt idx="21">
                  <c:v>0.467881015527895</c:v>
                </c:pt>
                <c:pt idx="22">
                  <c:v>0.49764442954375</c:v>
                </c:pt>
                <c:pt idx="23">
                  <c:v>0.535727603262363</c:v>
                </c:pt>
                <c:pt idx="24">
                  <c:v>0.573810776980977</c:v>
                </c:pt>
                <c:pt idx="25">
                  <c:v>0.609082264690648</c:v>
                </c:pt>
                <c:pt idx="26">
                  <c:v>0.642685395576323</c:v>
                </c:pt>
                <c:pt idx="27">
                  <c:v>0.678523238648405</c:v>
                </c:pt>
                <c:pt idx="28">
                  <c:v>0.713534163388015</c:v>
                </c:pt>
                <c:pt idx="29">
                  <c:v>0.749653412577085</c:v>
                </c:pt>
                <c:pt idx="30">
                  <c:v>0.786933525505725</c:v>
                </c:pt>
                <c:pt idx="31">
                  <c:v>0.824213638434366</c:v>
                </c:pt>
                <c:pt idx="32">
                  <c:v>0.861388580979836</c:v>
                </c:pt>
                <c:pt idx="33">
                  <c:v>0.890725786030258</c:v>
                </c:pt>
                <c:pt idx="34">
                  <c:v>0.916130695689985</c:v>
                </c:pt>
                <c:pt idx="35">
                  <c:v>0.937615160013441</c:v>
                </c:pt>
                <c:pt idx="36">
                  <c:v>0.95845506689562</c:v>
                </c:pt>
                <c:pt idx="37">
                  <c:v>0.977555468107442</c:v>
                </c:pt>
                <c:pt idx="38">
                  <c:v>0.991002573437105</c:v>
                </c:pt>
                <c:pt idx="39">
                  <c:v>0.998674970440101</c:v>
                </c:pt>
                <c:pt idx="40">
                  <c:v>0.999116646960067</c:v>
                </c:pt>
                <c:pt idx="41">
                  <c:v>0.999558323480034</c:v>
                </c:pt>
                <c:pt idx="42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"Realisasi"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Schedule!$G$6:$AW$6</c:f>
              <c:multiLvlStrCache>
                <c:ptCount val="1"/>
                <c:lvl>
                  <c:pt idx="0">
                    <c:v>43</c:v>
                  </c:pt>
                </c:lvl>
                <c:lvl>
                  <c:pt idx="0">
                    <c:v>42</c:v>
                  </c:pt>
                </c:lvl>
                <c:lvl>
                  <c:pt idx="0">
                    <c:v>41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39</c:v>
                  </c:pt>
                </c:lvl>
                <c:lvl>
                  <c:pt idx="0">
                    <c:v>38</c:v>
                  </c:pt>
                </c:lvl>
                <c:lvl>
                  <c:pt idx="0">
                    <c:v>37</c:v>
                  </c:pt>
                </c:lvl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Schedule!$G$53:$AW$53</c:f>
              <c:numCache>
                <c:formatCode>General</c:formatCode>
                <c:ptCount val="43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8252"/>
        <c:axId val="14948155"/>
      </c:lineChart>
      <c:catAx>
        <c:axId val="80082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Minggu ke-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48155"/>
        <c:crosses val="autoZero"/>
        <c:auto val="1"/>
        <c:lblAlgn val="ctr"/>
        <c:lblOffset val="100"/>
        <c:noMultiLvlLbl val="0"/>
      </c:catAx>
      <c:valAx>
        <c:axId val="1494815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Progres kumulatif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8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56</xdr:row>
      <xdr:rowOff>141840</xdr:rowOff>
    </xdr:from>
    <xdr:to>
      <xdr:col>15</xdr:col>
      <xdr:colOff>390600</xdr:colOff>
      <xdr:row>73</xdr:row>
      <xdr:rowOff>142920</xdr:rowOff>
    </xdr:to>
    <xdr:graphicFrame>
      <xdr:nvGraphicFramePr>
        <xdr:cNvPr id="0" name="Chart 1"/>
        <xdr:cNvGraphicFramePr/>
      </xdr:nvGraphicFramePr>
      <xdr:xfrm>
        <a:off x="352440" y="169927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"/>
    <col collapsed="false" customWidth="true" hidden="false" outlineLevel="0" max="3" min="3" style="0" width="58"/>
    <col collapsed="false" customWidth="true" hidden="false" outlineLevel="0" max="4" min="4" style="0" width="6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</row>
    <row r="6" customFormat="false" ht="15" hidden="false" customHeight="false" outlineLevel="0" collapsed="false">
      <c r="A6" s="2" t="s">
        <v>3</v>
      </c>
      <c r="B6" s="5" t="s">
        <v>4</v>
      </c>
      <c r="C6" s="6" t="s">
        <v>5</v>
      </c>
    </row>
    <row r="7" customFormat="false" ht="15" hidden="false" customHeight="false" outlineLevel="0" collapsed="false">
      <c r="A7" s="2" t="s">
        <v>6</v>
      </c>
      <c r="B7" s="5" t="s">
        <v>4</v>
      </c>
      <c r="C7" s="6" t="s">
        <v>7</v>
      </c>
    </row>
    <row r="8" customFormat="false" ht="23.85" hidden="false" customHeight="false" outlineLevel="0" collapsed="false">
      <c r="A8" s="2" t="s">
        <v>8</v>
      </c>
      <c r="B8" s="5" t="s">
        <v>4</v>
      </c>
      <c r="C8" s="6" t="s">
        <v>9</v>
      </c>
    </row>
    <row r="9" customFormat="false" ht="15" hidden="false" customHeight="false" outlineLevel="0" collapsed="false">
      <c r="A9" s="2" t="s">
        <v>10</v>
      </c>
      <c r="B9" s="5" t="s">
        <v>4</v>
      </c>
      <c r="C9" s="7" t="n">
        <v>61132457000</v>
      </c>
    </row>
    <row r="10" customFormat="false" ht="15" hidden="false" customHeight="false" outlineLevel="0" collapsed="false">
      <c r="A10" s="2" t="s">
        <v>11</v>
      </c>
      <c r="B10" s="5" t="s">
        <v>4</v>
      </c>
      <c r="C10" s="6" t="n">
        <v>2026</v>
      </c>
    </row>
    <row r="11" customFormat="false" ht="15" hidden="false" customHeight="false" outlineLevel="0" collapsed="false">
      <c r="A11" s="2" t="s">
        <v>12</v>
      </c>
      <c r="B11" s="5" t="s">
        <v>4</v>
      </c>
      <c r="C11" s="8" t="s">
        <v>13</v>
      </c>
    </row>
    <row r="12" customFormat="false" ht="15" hidden="false" customHeight="false" outlineLevel="0" collapsed="false">
      <c r="A12" s="2" t="s">
        <v>14</v>
      </c>
      <c r="B12" s="5" t="s">
        <v>4</v>
      </c>
      <c r="C12" s="8" t="s">
        <v>13</v>
      </c>
    </row>
    <row r="13" customFormat="false" ht="15" hidden="false" customHeight="false" outlineLevel="0" collapsed="false">
      <c r="A13" s="2" t="s">
        <v>15</v>
      </c>
      <c r="B13" s="5" t="s">
        <v>4</v>
      </c>
      <c r="C13" s="8" t="s">
        <v>16</v>
      </c>
    </row>
    <row r="14" customFormat="false" ht="15" hidden="false" customHeight="false" outlineLevel="0" collapsed="false">
      <c r="A14" s="2" t="s">
        <v>17</v>
      </c>
      <c r="B14" s="5" t="s">
        <v>4</v>
      </c>
      <c r="C14" s="9" t="n">
        <v>300</v>
      </c>
      <c r="D14" s="10" t="s">
        <v>18</v>
      </c>
    </row>
    <row r="15" customFormat="false" ht="15" hidden="false" customHeight="false" outlineLevel="0" collapsed="false">
      <c r="A15" s="2" t="s">
        <v>19</v>
      </c>
      <c r="B15" s="5" t="s">
        <v>4</v>
      </c>
      <c r="C15" s="11" t="n">
        <f aca="false">ROUNDUP(C14/7,0)</f>
        <v>43</v>
      </c>
    </row>
    <row r="16" customFormat="false" ht="15" hidden="false" customHeight="false" outlineLevel="0" collapsed="false">
      <c r="A16" s="2" t="s">
        <v>20</v>
      </c>
      <c r="B16" s="5" t="s">
        <v>4</v>
      </c>
      <c r="C16" s="12" t="n">
        <f aca="false">DATE(2026,11,2)</f>
        <v>46328</v>
      </c>
      <c r="D16" s="10" t="s">
        <v>21</v>
      </c>
    </row>
    <row r="17" customFormat="false" ht="15" hidden="false" customHeight="false" outlineLevel="0" collapsed="false">
      <c r="A17" s="2" t="s">
        <v>22</v>
      </c>
      <c r="B17" s="5" t="s">
        <v>4</v>
      </c>
      <c r="C17" s="13" t="n">
        <f aca="false">C16+C14-1</f>
        <v>46627</v>
      </c>
    </row>
    <row r="18" customFormat="false" ht="15" hidden="false" customHeight="false" outlineLevel="0" collapsed="false">
      <c r="A18" s="2" t="s">
        <v>23</v>
      </c>
      <c r="B18" s="5" t="s">
        <v>4</v>
      </c>
      <c r="C18" s="8" t="s">
        <v>24</v>
      </c>
    </row>
    <row r="19" customFormat="false" ht="15" hidden="false" customHeight="false" outlineLevel="0" collapsed="false">
      <c r="A19" s="3" t="s">
        <v>25</v>
      </c>
      <c r="B19" s="4"/>
      <c r="C19" s="4"/>
      <c r="D19" s="4"/>
      <c r="E19" s="4"/>
    </row>
    <row r="20" customFormat="false" ht="15" hidden="false" customHeight="false" outlineLevel="0" collapsed="false">
      <c r="A20" s="2" t="s">
        <v>26</v>
      </c>
      <c r="B20" s="5" t="s">
        <v>4</v>
      </c>
      <c r="C20" s="14" t="n">
        <v>0.1</v>
      </c>
      <c r="D20" s="10" t="s">
        <v>27</v>
      </c>
    </row>
    <row r="21" customFormat="false" ht="15" hidden="false" customHeight="false" outlineLevel="0" collapsed="false">
      <c r="A21" s="2" t="s">
        <v>28</v>
      </c>
      <c r="B21" s="5" t="s">
        <v>4</v>
      </c>
      <c r="C21" s="14" t="n">
        <v>0.11</v>
      </c>
      <c r="D21" s="10" t="s">
        <v>29</v>
      </c>
    </row>
    <row r="23" customFormat="false" ht="15" hidden="false" customHeight="false" outlineLevel="0" collapsed="false">
      <c r="A23" s="3" t="s">
        <v>30</v>
      </c>
      <c r="B23" s="4"/>
      <c r="C23" s="4"/>
      <c r="D23" s="4"/>
      <c r="E23" s="4"/>
    </row>
    <row r="24" customFormat="false" ht="15" hidden="false" customHeight="false" outlineLevel="0" collapsed="false">
      <c r="A24" s="2" t="s">
        <v>31</v>
      </c>
      <c r="B24" s="5" t="s">
        <v>4</v>
      </c>
      <c r="C24" s="15" t="n">
        <f aca="false">Rekap!C69</f>
        <v>56359846641</v>
      </c>
    </row>
    <row r="25" customFormat="false" ht="15" hidden="false" customHeight="false" outlineLevel="0" collapsed="false">
      <c r="A25" s="2" t="s">
        <v>32</v>
      </c>
      <c r="B25" s="5" t="s">
        <v>4</v>
      </c>
      <c r="C25" s="15" t="n">
        <f aca="false">Rekap!C72</f>
        <v>62559430000</v>
      </c>
    </row>
    <row r="26" customFormat="false" ht="15" hidden="false" customHeight="false" outlineLevel="0" collapsed="false">
      <c r="A26" s="2" t="s">
        <v>33</v>
      </c>
      <c r="B26" s="5" t="s">
        <v>4</v>
      </c>
      <c r="C26" s="15" t="n">
        <f aca="false">C9</f>
        <v>61132457000</v>
      </c>
    </row>
    <row r="27" customFormat="false" ht="15" hidden="false" customHeight="false" outlineLevel="0" collapsed="false">
      <c r="A27" s="2" t="s">
        <v>34</v>
      </c>
      <c r="B27" s="5" t="s">
        <v>4</v>
      </c>
      <c r="C27" s="15" t="n">
        <f aca="false">Rekap!C74</f>
        <v>-1426973000</v>
      </c>
    </row>
    <row r="28" customFormat="false" ht="15" hidden="false" customHeight="false" outlineLevel="0" collapsed="false">
      <c r="A28" s="2" t="s">
        <v>35</v>
      </c>
      <c r="B28" s="5" t="s">
        <v>4</v>
      </c>
      <c r="C28" s="16" t="n">
        <f aca="false">Rekap!C75</f>
        <v>1.02334231388737</v>
      </c>
    </row>
    <row r="29" customFormat="false" ht="15" hidden="false" customHeight="false" outlineLevel="0" collapsed="false">
      <c r="A29" s="5" t="s">
        <v>36</v>
      </c>
      <c r="B29" s="5" t="s">
        <v>4</v>
      </c>
      <c r="C29" s="17" t="n">
        <f aca="false">COUNTIF(RAB!H:H,"Analisa*")+COUNTIF(RAB!H:H,"Survei*")+COUNTIF(RAB!H:H,"Lump*")</f>
        <v>1398</v>
      </c>
    </row>
    <row r="30" customFormat="false" ht="15" hidden="false" customHeight="false" outlineLevel="0" collapsed="false">
      <c r="A30" s="5" t="s">
        <v>37</v>
      </c>
      <c r="B30" s="5" t="s">
        <v>4</v>
      </c>
      <c r="C30" s="17" t="n">
        <f aca="false">COUNTIF(RAB!H:H,"Analisa*")</f>
        <v>651</v>
      </c>
    </row>
    <row r="31" customFormat="false" ht="15" hidden="false" customHeight="false" outlineLevel="0" collapsed="false">
      <c r="A31" s="5" t="s">
        <v>38</v>
      </c>
      <c r="B31" s="5" t="s">
        <v>4</v>
      </c>
      <c r="C31" s="17" t="n">
        <f aca="false">COUNTIF(RAB!H:H,"Survei*")</f>
        <v>619</v>
      </c>
    </row>
    <row r="32" customFormat="false" ht="15" hidden="false" customHeight="false" outlineLevel="0" collapsed="false">
      <c r="A32" s="5" t="s">
        <v>39</v>
      </c>
      <c r="B32" s="5" t="s">
        <v>4</v>
      </c>
      <c r="C32" s="17" t="n">
        <f aca="false">COUNTIF(RAB!H:H,"Lump*")</f>
        <v>128</v>
      </c>
    </row>
    <row r="34" customFormat="false" ht="15" hidden="false" customHeight="false" outlineLevel="0" collapsed="false">
      <c r="A34" s="3" t="s">
        <v>40</v>
      </c>
      <c r="B34" s="4"/>
      <c r="C34" s="4"/>
      <c r="D34" s="4"/>
      <c r="E34" s="4"/>
    </row>
    <row r="35" customFormat="false" ht="15" hidden="false" customHeight="false" outlineLevel="0" collapsed="false">
      <c r="A35" s="2" t="s">
        <v>41</v>
      </c>
      <c r="C35" s="5" t="s">
        <v>42</v>
      </c>
    </row>
    <row r="36" customFormat="false" ht="15" hidden="false" customHeight="false" outlineLevel="0" collapsed="false">
      <c r="A36" s="2" t="s">
        <v>43</v>
      </c>
      <c r="C36" s="5" t="s">
        <v>44</v>
      </c>
    </row>
    <row r="37" customFormat="false" ht="15" hidden="false" customHeight="false" outlineLevel="0" collapsed="false">
      <c r="A37" s="2" t="s">
        <v>45</v>
      </c>
      <c r="C37" s="5" t="s">
        <v>46</v>
      </c>
    </row>
    <row r="38" customFormat="false" ht="15" hidden="false" customHeight="false" outlineLevel="0" collapsed="false">
      <c r="A38" s="2" t="s">
        <v>47</v>
      </c>
      <c r="C38" s="5" t="s">
        <v>48</v>
      </c>
    </row>
    <row r="39" customFormat="false" ht="15" hidden="false" customHeight="false" outlineLevel="0" collapsed="false">
      <c r="A39" s="2" t="s">
        <v>49</v>
      </c>
      <c r="C39" s="5" t="s">
        <v>50</v>
      </c>
    </row>
    <row r="40" customFormat="false" ht="15" hidden="false" customHeight="false" outlineLevel="0" collapsed="false">
      <c r="A40" s="2" t="s">
        <v>51</v>
      </c>
      <c r="C40" s="5" t="s">
        <v>52</v>
      </c>
    </row>
    <row r="42" customFormat="false" ht="15" hidden="false" customHeight="false" outlineLevel="0" collapsed="false">
      <c r="A42" s="3" t="s">
        <v>53</v>
      </c>
      <c r="B42" s="4"/>
      <c r="C42" s="4"/>
      <c r="D42" s="4"/>
      <c r="E42" s="4"/>
    </row>
    <row r="43" customFormat="false" ht="42" hidden="false" customHeight="true" outlineLevel="0" collapsed="false">
      <c r="A43" s="18" t="s">
        <v>54</v>
      </c>
      <c r="B43" s="18"/>
      <c r="C43" s="18"/>
      <c r="D43" s="18"/>
      <c r="E43" s="18"/>
    </row>
    <row r="44" customFormat="false" ht="42" hidden="false" customHeight="true" outlineLevel="0" collapsed="false">
      <c r="A44" s="18" t="s">
        <v>55</v>
      </c>
      <c r="B44" s="18"/>
      <c r="C44" s="18"/>
      <c r="D44" s="18"/>
      <c r="E44" s="18"/>
    </row>
    <row r="45" customFormat="false" ht="42" hidden="false" customHeight="true" outlineLevel="0" collapsed="false">
      <c r="A45" s="18" t="s">
        <v>56</v>
      </c>
      <c r="B45" s="18"/>
      <c r="C45" s="18"/>
      <c r="D45" s="18"/>
      <c r="E45" s="18"/>
    </row>
    <row r="46" customFormat="false" ht="42" hidden="false" customHeight="true" outlineLevel="0" collapsed="false">
      <c r="A46" s="18" t="s">
        <v>57</v>
      </c>
      <c r="B46" s="18"/>
      <c r="C46" s="18"/>
      <c r="D46" s="18"/>
      <c r="E46" s="18"/>
    </row>
    <row r="47" customFormat="false" ht="42" hidden="false" customHeight="true" outlineLevel="0" collapsed="false">
      <c r="A47" s="18" t="s">
        <v>58</v>
      </c>
      <c r="B47" s="18"/>
      <c r="C47" s="18"/>
      <c r="D47" s="18"/>
      <c r="E47" s="18"/>
    </row>
    <row r="48" customFormat="false" ht="42" hidden="false" customHeight="true" outlineLevel="0" collapsed="false">
      <c r="A48" s="18" t="s">
        <v>59</v>
      </c>
      <c r="B48" s="18"/>
      <c r="C48" s="18"/>
      <c r="D48" s="18"/>
      <c r="E48" s="18"/>
    </row>
    <row r="49" customFormat="false" ht="42" hidden="false" customHeight="true" outlineLevel="0" collapsed="false">
      <c r="A49" s="18" t="s">
        <v>60</v>
      </c>
      <c r="B49" s="18"/>
      <c r="C49" s="18"/>
      <c r="D49" s="18"/>
      <c r="E49" s="18"/>
    </row>
    <row r="50" customFormat="false" ht="42" hidden="false" customHeight="true" outlineLevel="0" collapsed="false">
      <c r="A50" s="18" t="s">
        <v>61</v>
      </c>
      <c r="B50" s="18"/>
      <c r="C50" s="18"/>
      <c r="D50" s="18"/>
      <c r="E50" s="18"/>
    </row>
    <row r="52" customFormat="false" ht="15" hidden="false" customHeight="false" outlineLevel="0" collapsed="false">
      <c r="A52" s="10" t="s">
        <v>62</v>
      </c>
    </row>
  </sheetData>
  <mergeCells count="8">
    <mergeCell ref="A43:E43"/>
    <mergeCell ref="A44:E44"/>
    <mergeCell ref="A45:E45"/>
    <mergeCell ref="A46:E46"/>
    <mergeCell ref="A47:E47"/>
    <mergeCell ref="A48:E48"/>
    <mergeCell ref="A49:E49"/>
    <mergeCell ref="A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2"/>
    <col collapsed="false" customWidth="true" hidden="false" outlineLevel="0" max="3" min="3" style="0" width="24"/>
    <col collapsed="false" customWidth="true" hidden="false" outlineLevel="0" max="4" min="4" style="0" width="11"/>
  </cols>
  <sheetData>
    <row r="1" customFormat="false" ht="16.15" hidden="false" customHeight="false" outlineLevel="0" collapsed="false">
      <c r="A1" s="19" t="s">
        <v>63</v>
      </c>
    </row>
    <row r="2" customFormat="false" ht="15" hidden="false" customHeight="false" outlineLevel="0" collapsed="false">
      <c r="A2" s="2" t="s">
        <v>64</v>
      </c>
      <c r="C2" s="20" t="str">
        <f aca="false">'Informasi Proyek'!C6</f>
        <v>Direktorat Jenderal Pembinaan Pelatihan Vokasi dan Prosuktivitas</v>
      </c>
      <c r="D2" s="20"/>
    </row>
    <row r="3" customFormat="false" ht="15" hidden="false" customHeight="false" outlineLevel="0" collapsed="false">
      <c r="A3" s="2" t="s">
        <v>65</v>
      </c>
      <c r="C3" s="20" t="str">
        <f aca="false">'Informasi Proyek'!C7</f>
        <v>Pembangunan Balai Pelatihan Vokasi dan Produktivitas Morowali Utara</v>
      </c>
      <c r="D3" s="20"/>
    </row>
    <row r="4" customFormat="false" ht="15" hidden="false" customHeight="false" outlineLevel="0" collapsed="false">
      <c r="A4" s="2" t="s">
        <v>66</v>
      </c>
      <c r="C4" s="20" t="str">
        <f aca="false">'Informasi Proyek'!C8</f>
        <v>Jl. Trans Sulawesi, Tompira, Petasia, Kabupaten Morowali Utara, Sulawesi Tengah</v>
      </c>
      <c r="D4" s="20"/>
    </row>
    <row r="5" customFormat="false" ht="15" hidden="false" customHeight="false" outlineLevel="0" collapsed="false">
      <c r="A5" s="2" t="s">
        <v>67</v>
      </c>
      <c r="C5" s="20" t="n">
        <f aca="false">'Informasi Proyek'!C10</f>
        <v>2026</v>
      </c>
      <c r="D5" s="20"/>
    </row>
    <row r="6" customFormat="false" ht="15" hidden="false" customHeight="false" outlineLevel="0" collapsed="false">
      <c r="A6" s="2" t="s">
        <v>68</v>
      </c>
      <c r="C6" s="21" t="n">
        <f aca="false">'Informasi Proyek'!$C$9</f>
        <v>61132457000</v>
      </c>
      <c r="D6" s="21"/>
    </row>
    <row r="8" customFormat="false" ht="15" hidden="false" customHeight="false" outlineLevel="0" collapsed="false">
      <c r="A8" s="22" t="s">
        <v>69</v>
      </c>
      <c r="B8" s="22" t="s">
        <v>70</v>
      </c>
      <c r="C8" s="22" t="s">
        <v>71</v>
      </c>
      <c r="D8" s="22" t="s">
        <v>72</v>
      </c>
    </row>
    <row r="9" customFormat="false" ht="15" hidden="false" customHeight="false" outlineLevel="0" collapsed="false">
      <c r="A9" s="23"/>
      <c r="B9" s="24" t="s">
        <v>73</v>
      </c>
      <c r="C9" s="23"/>
      <c r="D9" s="23"/>
    </row>
    <row r="10" customFormat="false" ht="15" hidden="false" customHeight="false" outlineLevel="0" collapsed="false">
      <c r="A10" s="25"/>
      <c r="B10" s="26" t="s">
        <v>74</v>
      </c>
      <c r="C10" s="27"/>
    </row>
    <row r="11" customFormat="false" ht="15" hidden="false" customHeight="false" outlineLevel="0" collapsed="false">
      <c r="A11" s="28" t="s">
        <v>75</v>
      </c>
      <c r="B11" s="29" t="s">
        <v>76</v>
      </c>
      <c r="C11" s="30" t="n">
        <f aca="false">RAB!F69</f>
        <v>1070391300</v>
      </c>
      <c r="D11" s="31" t="n">
        <f aca="false">C11/$C$69</f>
        <v>0.0189920903585519</v>
      </c>
    </row>
    <row r="12" customFormat="false" ht="15" hidden="false" customHeight="false" outlineLevel="0" collapsed="false">
      <c r="A12" s="32"/>
      <c r="B12" s="33" t="s">
        <v>77</v>
      </c>
      <c r="C12" s="34" t="n">
        <f aca="false">SUM(C11:C11)</f>
        <v>1070391300</v>
      </c>
      <c r="D12" s="35" t="n">
        <f aca="false">C12/$C$69</f>
        <v>0.0189920903585519</v>
      </c>
    </row>
    <row r="13" customFormat="false" ht="15" hidden="false" customHeight="false" outlineLevel="0" collapsed="false">
      <c r="A13" s="25" t="s">
        <v>78</v>
      </c>
      <c r="B13" s="26" t="s">
        <v>79</v>
      </c>
      <c r="C13" s="27"/>
    </row>
    <row r="14" customFormat="false" ht="15" hidden="false" customHeight="false" outlineLevel="0" collapsed="false">
      <c r="A14" s="28" t="s">
        <v>80</v>
      </c>
      <c r="B14" s="29" t="s">
        <v>81</v>
      </c>
      <c r="C14" s="30" t="n">
        <f aca="false">RAB!F84</f>
        <v>139193331</v>
      </c>
      <c r="D14" s="31" t="n">
        <f aca="false">C14/$C$69</f>
        <v>0.00246972515533322</v>
      </c>
    </row>
    <row r="15" customFormat="false" ht="15" hidden="false" customHeight="false" outlineLevel="0" collapsed="false">
      <c r="A15" s="28" t="s">
        <v>82</v>
      </c>
      <c r="B15" s="29" t="s">
        <v>83</v>
      </c>
      <c r="C15" s="30" t="n">
        <f aca="false">RAB!F227</f>
        <v>4859770070</v>
      </c>
      <c r="D15" s="31" t="n">
        <f aca="false">C15/$C$69</f>
        <v>0.086227524729719</v>
      </c>
    </row>
    <row r="16" customFormat="false" ht="15" hidden="false" customHeight="false" outlineLevel="0" collapsed="false">
      <c r="A16" s="28" t="s">
        <v>84</v>
      </c>
      <c r="B16" s="29" t="s">
        <v>85</v>
      </c>
      <c r="C16" s="30" t="n">
        <f aca="false">RAB!F332</f>
        <v>4981319345</v>
      </c>
      <c r="D16" s="31" t="n">
        <f aca="false">C16/$C$69</f>
        <v>0.0883841891325561</v>
      </c>
    </row>
    <row r="17" customFormat="false" ht="15" hidden="false" customHeight="false" outlineLevel="0" collapsed="false">
      <c r="A17" s="28" t="s">
        <v>86</v>
      </c>
      <c r="B17" s="29" t="s">
        <v>87</v>
      </c>
      <c r="C17" s="30" t="n">
        <f aca="false">RAB!F427</f>
        <v>2323248400</v>
      </c>
      <c r="D17" s="31" t="n">
        <f aca="false">C17/$C$69</f>
        <v>0.0412216948495014</v>
      </c>
    </row>
    <row r="18" customFormat="false" ht="15" hidden="false" customHeight="false" outlineLevel="0" collapsed="false">
      <c r="A18" s="28" t="s">
        <v>88</v>
      </c>
      <c r="B18" s="29" t="s">
        <v>89</v>
      </c>
      <c r="C18" s="30" t="n">
        <f aca="false">RAB!F515</f>
        <v>375664025</v>
      </c>
      <c r="D18" s="31" t="n">
        <f aca="false">C18/$C$69</f>
        <v>0.00666545506045995</v>
      </c>
    </row>
    <row r="19" customFormat="false" ht="15" hidden="false" customHeight="false" outlineLevel="0" collapsed="false">
      <c r="A19" s="28" t="s">
        <v>90</v>
      </c>
      <c r="B19" s="29" t="s">
        <v>91</v>
      </c>
      <c r="C19" s="30" t="n">
        <f aca="false">RAB!F660</f>
        <v>816963895</v>
      </c>
      <c r="D19" s="31" t="n">
        <f aca="false">C19/$C$69</f>
        <v>0.0144954953515733</v>
      </c>
    </row>
    <row r="20" customFormat="false" ht="15" hidden="false" customHeight="false" outlineLevel="0" collapsed="false">
      <c r="A20" s="32"/>
      <c r="B20" s="33" t="s">
        <v>92</v>
      </c>
      <c r="C20" s="34" t="n">
        <f aca="false">SUM(C14:C19)</f>
        <v>13496159066</v>
      </c>
      <c r="D20" s="35" t="n">
        <f aca="false">C20/$C$69</f>
        <v>0.239464084279143</v>
      </c>
    </row>
    <row r="21" customFormat="false" ht="15" hidden="false" customHeight="false" outlineLevel="0" collapsed="false">
      <c r="A21" s="25" t="s">
        <v>93</v>
      </c>
      <c r="B21" s="26" t="s">
        <v>94</v>
      </c>
      <c r="C21" s="27"/>
    </row>
    <row r="22" customFormat="false" ht="15" hidden="false" customHeight="false" outlineLevel="0" collapsed="false">
      <c r="A22" s="28" t="s">
        <v>80</v>
      </c>
      <c r="B22" s="29" t="s">
        <v>95</v>
      </c>
      <c r="C22" s="30" t="n">
        <f aca="false">RAB!F673</f>
        <v>170661767</v>
      </c>
      <c r="D22" s="31" t="n">
        <f aca="false">C22/$C$69</f>
        <v>0.00302807365830994</v>
      </c>
    </row>
    <row r="23" customFormat="false" ht="15" hidden="false" customHeight="false" outlineLevel="0" collapsed="false">
      <c r="A23" s="28" t="s">
        <v>82</v>
      </c>
      <c r="B23" s="29" t="s">
        <v>96</v>
      </c>
      <c r="C23" s="30" t="n">
        <f aca="false">RAB!F766</f>
        <v>2376992884</v>
      </c>
      <c r="D23" s="31" t="n">
        <f aca="false">C23/$C$69</f>
        <v>0.0421752901341434</v>
      </c>
    </row>
    <row r="24" customFormat="false" ht="15" hidden="false" customHeight="false" outlineLevel="0" collapsed="false">
      <c r="A24" s="28" t="s">
        <v>84</v>
      </c>
      <c r="B24" s="29" t="s">
        <v>97</v>
      </c>
      <c r="C24" s="30" t="n">
        <f aca="false">RAB!F838</f>
        <v>2669851369</v>
      </c>
      <c r="D24" s="31" t="n">
        <f aca="false">C24/$C$69</f>
        <v>0.0473715158596221</v>
      </c>
    </row>
    <row r="25" customFormat="false" ht="15" hidden="false" customHeight="false" outlineLevel="0" collapsed="false">
      <c r="A25" s="28" t="s">
        <v>86</v>
      </c>
      <c r="B25" s="29" t="s">
        <v>98</v>
      </c>
      <c r="C25" s="30" t="n">
        <f aca="false">RAB!F849</f>
        <v>78897500</v>
      </c>
      <c r="D25" s="31" t="n">
        <f aca="false">C25/$C$69</f>
        <v>0.0013998884791607</v>
      </c>
    </row>
    <row r="26" customFormat="false" ht="15" hidden="false" customHeight="false" outlineLevel="0" collapsed="false">
      <c r="A26" s="28" t="s">
        <v>88</v>
      </c>
      <c r="B26" s="29" t="s">
        <v>99</v>
      </c>
      <c r="C26" s="30" t="n">
        <f aca="false">RAB!F895</f>
        <v>188814450</v>
      </c>
      <c r="D26" s="31" t="n">
        <f aca="false">C26/$C$69</f>
        <v>0.00335015904501492</v>
      </c>
    </row>
    <row r="27" customFormat="false" ht="15" hidden="false" customHeight="false" outlineLevel="0" collapsed="false">
      <c r="A27" s="28" t="s">
        <v>90</v>
      </c>
      <c r="B27" s="29" t="s">
        <v>100</v>
      </c>
      <c r="C27" s="30" t="n">
        <f aca="false">RAB!F942</f>
        <v>197810415</v>
      </c>
      <c r="D27" s="31" t="n">
        <f aca="false">C27/$C$69</f>
        <v>0.00350977560780123</v>
      </c>
    </row>
    <row r="28" customFormat="false" ht="15" hidden="false" customHeight="false" outlineLevel="0" collapsed="false">
      <c r="A28" s="32"/>
      <c r="B28" s="33" t="s">
        <v>101</v>
      </c>
      <c r="C28" s="34" t="n">
        <f aca="false">SUM(C22:C27)</f>
        <v>5683028385</v>
      </c>
      <c r="D28" s="35" t="n">
        <f aca="false">C28/$C$69</f>
        <v>0.100834702784052</v>
      </c>
    </row>
    <row r="29" customFormat="false" ht="15" hidden="false" customHeight="false" outlineLevel="0" collapsed="false">
      <c r="A29" s="25" t="s">
        <v>102</v>
      </c>
      <c r="B29" s="26" t="s">
        <v>103</v>
      </c>
      <c r="C29" s="27"/>
    </row>
    <row r="30" customFormat="false" ht="15" hidden="false" customHeight="false" outlineLevel="0" collapsed="false">
      <c r="A30" s="28" t="s">
        <v>80</v>
      </c>
      <c r="B30" s="29" t="s">
        <v>104</v>
      </c>
      <c r="C30" s="30" t="n">
        <f aca="false">RAB!F955</f>
        <v>170661767</v>
      </c>
      <c r="D30" s="31" t="n">
        <f aca="false">C30/$C$69</f>
        <v>0.00302807365830994</v>
      </c>
    </row>
    <row r="31" customFormat="false" ht="15" hidden="false" customHeight="false" outlineLevel="0" collapsed="false">
      <c r="A31" s="28" t="s">
        <v>82</v>
      </c>
      <c r="B31" s="29" t="s">
        <v>105</v>
      </c>
      <c r="C31" s="30" t="n">
        <f aca="false">RAB!F1053</f>
        <v>3275711654</v>
      </c>
      <c r="D31" s="31" t="n">
        <f aca="false">C31/$C$69</f>
        <v>0.0581213727366147</v>
      </c>
    </row>
    <row r="32" customFormat="false" ht="15" hidden="false" customHeight="false" outlineLevel="0" collapsed="false">
      <c r="A32" s="28" t="s">
        <v>84</v>
      </c>
      <c r="B32" s="29" t="s">
        <v>106</v>
      </c>
      <c r="C32" s="30" t="n">
        <f aca="false">RAB!F1125</f>
        <v>2659482782</v>
      </c>
      <c r="D32" s="31" t="n">
        <f aca="false">C32/$C$69</f>
        <v>0.0471875446883369</v>
      </c>
    </row>
    <row r="33" customFormat="false" ht="15" hidden="false" customHeight="false" outlineLevel="0" collapsed="false">
      <c r="A33" s="28" t="s">
        <v>86</v>
      </c>
      <c r="B33" s="29" t="s">
        <v>107</v>
      </c>
      <c r="C33" s="30" t="n">
        <f aca="false">RAB!F1136</f>
        <v>78897500</v>
      </c>
      <c r="D33" s="31" t="n">
        <f aca="false">C33/$C$69</f>
        <v>0.0013998884791607</v>
      </c>
    </row>
    <row r="34" customFormat="false" ht="15" hidden="false" customHeight="false" outlineLevel="0" collapsed="false">
      <c r="A34" s="28" t="s">
        <v>88</v>
      </c>
      <c r="B34" s="29" t="s">
        <v>108</v>
      </c>
      <c r="C34" s="30" t="n">
        <f aca="false">RAB!F1182</f>
        <v>181600815</v>
      </c>
      <c r="D34" s="31" t="n">
        <f aca="false">C34/$C$69</f>
        <v>0.00322216659241033</v>
      </c>
    </row>
    <row r="35" customFormat="false" ht="15" hidden="false" customHeight="false" outlineLevel="0" collapsed="false">
      <c r="A35" s="28" t="s">
        <v>90</v>
      </c>
      <c r="B35" s="29" t="s">
        <v>109</v>
      </c>
      <c r="C35" s="30" t="n">
        <f aca="false">RAB!F1229</f>
        <v>202212395</v>
      </c>
      <c r="D35" s="31" t="n">
        <f aca="false">C35/$C$69</f>
        <v>0.0035878805045026</v>
      </c>
    </row>
    <row r="36" customFormat="false" ht="15" hidden="false" customHeight="false" outlineLevel="0" collapsed="false">
      <c r="A36" s="32"/>
      <c r="B36" s="33" t="s">
        <v>110</v>
      </c>
      <c r="C36" s="34" t="n">
        <f aca="false">SUM(C30:C35)</f>
        <v>6568566913</v>
      </c>
      <c r="D36" s="35" t="n">
        <f aca="false">C36/$C$69</f>
        <v>0.116546926659335</v>
      </c>
    </row>
    <row r="37" customFormat="false" ht="15" hidden="false" customHeight="false" outlineLevel="0" collapsed="false">
      <c r="A37" s="25" t="s">
        <v>111</v>
      </c>
      <c r="B37" s="26" t="s">
        <v>112</v>
      </c>
      <c r="C37" s="27"/>
    </row>
    <row r="38" customFormat="false" ht="15" hidden="false" customHeight="false" outlineLevel="0" collapsed="false">
      <c r="A38" s="28" t="s">
        <v>80</v>
      </c>
      <c r="B38" s="29" t="s">
        <v>113</v>
      </c>
      <c r="C38" s="30" t="n">
        <f aca="false">RAB!F1242</f>
        <v>174234748</v>
      </c>
      <c r="D38" s="31" t="n">
        <f aca="false">C38/$C$69</f>
        <v>0.00309146951924546</v>
      </c>
    </row>
    <row r="39" customFormat="false" ht="23.85" hidden="false" customHeight="false" outlineLevel="0" collapsed="false">
      <c r="A39" s="28" t="s">
        <v>82</v>
      </c>
      <c r="B39" s="29" t="s">
        <v>114</v>
      </c>
      <c r="C39" s="30" t="n">
        <f aca="false">RAB!F1320</f>
        <v>1756129526</v>
      </c>
      <c r="D39" s="31" t="n">
        <f aca="false">C39/$C$69</f>
        <v>0.0311592318053341</v>
      </c>
    </row>
    <row r="40" customFormat="false" ht="23.85" hidden="false" customHeight="false" outlineLevel="0" collapsed="false">
      <c r="A40" s="28" t="s">
        <v>84</v>
      </c>
      <c r="B40" s="29" t="s">
        <v>115</v>
      </c>
      <c r="C40" s="30" t="n">
        <f aca="false">RAB!F1383</f>
        <v>2241920775</v>
      </c>
      <c r="D40" s="31" t="n">
        <f aca="false">C40/$C$69</f>
        <v>0.039778688350246</v>
      </c>
    </row>
    <row r="41" customFormat="false" ht="23.85" hidden="false" customHeight="false" outlineLevel="0" collapsed="false">
      <c r="A41" s="28" t="s">
        <v>86</v>
      </c>
      <c r="B41" s="29" t="s">
        <v>116</v>
      </c>
      <c r="C41" s="30" t="n">
        <f aca="false">RAB!F1442</f>
        <v>360555525</v>
      </c>
      <c r="D41" s="31" t="n">
        <f aca="false">C41/$C$69</f>
        <v>0.00639738300383712</v>
      </c>
    </row>
    <row r="42" customFormat="false" ht="15" hidden="false" customHeight="false" outlineLevel="0" collapsed="false">
      <c r="A42" s="28" t="s">
        <v>88</v>
      </c>
      <c r="B42" s="29" t="s">
        <v>117</v>
      </c>
      <c r="C42" s="30" t="n">
        <f aca="false">RAB!F1488</f>
        <v>231667865</v>
      </c>
      <c r="D42" s="31" t="n">
        <f aca="false">C42/$C$69</f>
        <v>0.00411051269311775</v>
      </c>
    </row>
    <row r="43" customFormat="false" ht="15" hidden="false" customHeight="false" outlineLevel="0" collapsed="false">
      <c r="A43" s="32"/>
      <c r="B43" s="33" t="s">
        <v>118</v>
      </c>
      <c r="C43" s="34" t="n">
        <f aca="false">SUM(C38:C42)</f>
        <v>4764508439</v>
      </c>
      <c r="D43" s="35" t="n">
        <f aca="false">C43/$C$69</f>
        <v>0.0845372853717805</v>
      </c>
    </row>
    <row r="44" customFormat="false" ht="15" hidden="false" customHeight="false" outlineLevel="0" collapsed="false">
      <c r="A44" s="25" t="s">
        <v>119</v>
      </c>
      <c r="B44" s="26" t="s">
        <v>120</v>
      </c>
      <c r="C44" s="27"/>
    </row>
    <row r="45" customFormat="false" ht="15" hidden="false" customHeight="false" outlineLevel="0" collapsed="false">
      <c r="A45" s="28" t="s">
        <v>80</v>
      </c>
      <c r="B45" s="29" t="s">
        <v>121</v>
      </c>
      <c r="C45" s="30" t="n">
        <f aca="false">RAB!F1502</f>
        <v>211233296</v>
      </c>
      <c r="D45" s="31" t="n">
        <f aca="false">C45/$C$69</f>
        <v>0.00374793950994066</v>
      </c>
    </row>
    <row r="46" customFormat="false" ht="15" hidden="false" customHeight="false" outlineLevel="0" collapsed="false">
      <c r="A46" s="28" t="s">
        <v>82</v>
      </c>
      <c r="B46" s="29" t="s">
        <v>122</v>
      </c>
      <c r="C46" s="30" t="n">
        <f aca="false">RAB!F1554</f>
        <v>2059294531</v>
      </c>
      <c r="D46" s="31" t="n">
        <f aca="false">C46/$C$69</f>
        <v>0.0365383274393428</v>
      </c>
    </row>
    <row r="47" customFormat="false" ht="15" hidden="false" customHeight="false" outlineLevel="0" collapsed="false">
      <c r="A47" s="28" t="s">
        <v>84</v>
      </c>
      <c r="B47" s="29" t="s">
        <v>123</v>
      </c>
      <c r="C47" s="30" t="n">
        <f aca="false">RAB!F1590</f>
        <v>624471649</v>
      </c>
      <c r="D47" s="31" t="n">
        <f aca="false">C47/$C$69</f>
        <v>0.0110800806996114</v>
      </c>
    </row>
    <row r="48" customFormat="false" ht="15" hidden="false" customHeight="false" outlineLevel="0" collapsed="false">
      <c r="A48" s="28" t="s">
        <v>86</v>
      </c>
      <c r="B48" s="29" t="s">
        <v>124</v>
      </c>
      <c r="C48" s="30" t="n">
        <f aca="false">RAB!F1598</f>
        <v>17782160</v>
      </c>
      <c r="D48" s="31" t="n">
        <f aca="false">C48/$C$69</f>
        <v>0.000315511149511611</v>
      </c>
    </row>
    <row r="49" customFormat="false" ht="15" hidden="false" customHeight="false" outlineLevel="0" collapsed="false">
      <c r="A49" s="28" t="s">
        <v>88</v>
      </c>
      <c r="B49" s="29" t="s">
        <v>125</v>
      </c>
      <c r="C49" s="30" t="n">
        <f aca="false">RAB!F1641</f>
        <v>3203352350</v>
      </c>
      <c r="D49" s="31" t="n">
        <f aca="false">C49/$C$69</f>
        <v>0.0568374923091019</v>
      </c>
    </row>
    <row r="50" customFormat="false" ht="15" hidden="false" customHeight="false" outlineLevel="0" collapsed="false">
      <c r="A50" s="32"/>
      <c r="B50" s="33" t="s">
        <v>126</v>
      </c>
      <c r="C50" s="34" t="n">
        <f aca="false">SUM(C45:C49)</f>
        <v>6116133986</v>
      </c>
      <c r="D50" s="35" t="n">
        <f aca="false">C50/$C$69</f>
        <v>0.108519351107508</v>
      </c>
    </row>
    <row r="51" customFormat="false" ht="15" hidden="false" customHeight="false" outlineLevel="0" collapsed="false">
      <c r="A51" s="25" t="s">
        <v>127</v>
      </c>
      <c r="B51" s="26" t="s">
        <v>128</v>
      </c>
      <c r="C51" s="27"/>
    </row>
    <row r="52" customFormat="false" ht="15" hidden="false" customHeight="false" outlineLevel="0" collapsed="false">
      <c r="A52" s="28" t="s">
        <v>80</v>
      </c>
      <c r="B52" s="29" t="s">
        <v>129</v>
      </c>
      <c r="C52" s="30" t="n">
        <f aca="false">RAB!F1655</f>
        <v>112677100</v>
      </c>
      <c r="D52" s="31" t="n">
        <f aca="false">C52/$C$69</f>
        <v>0.00199924426192514</v>
      </c>
    </row>
    <row r="53" customFormat="false" ht="15" hidden="false" customHeight="false" outlineLevel="0" collapsed="false">
      <c r="A53" s="28" t="s">
        <v>82</v>
      </c>
      <c r="B53" s="29" t="s">
        <v>130</v>
      </c>
      <c r="C53" s="30" t="n">
        <f aca="false">RAB!F1710</f>
        <v>724976032</v>
      </c>
      <c r="D53" s="31" t="n">
        <f aca="false">C53/$C$69</f>
        <v>0.0128633428798687</v>
      </c>
    </row>
    <row r="54" customFormat="false" ht="15" hidden="false" customHeight="false" outlineLevel="0" collapsed="false">
      <c r="A54" s="28" t="s">
        <v>84</v>
      </c>
      <c r="B54" s="29" t="s">
        <v>131</v>
      </c>
      <c r="C54" s="30" t="n">
        <f aca="false">RAB!F1746</f>
        <v>316376864</v>
      </c>
      <c r="D54" s="31" t="n">
        <f aca="false">C54/$C$69</f>
        <v>0.0056135153456902</v>
      </c>
    </row>
    <row r="55" customFormat="false" ht="15" hidden="false" customHeight="false" outlineLevel="0" collapsed="false">
      <c r="A55" s="28" t="s">
        <v>86</v>
      </c>
      <c r="B55" s="29" t="s">
        <v>132</v>
      </c>
      <c r="C55" s="30" t="n">
        <f aca="false">RAB!F1780</f>
        <v>860805000</v>
      </c>
      <c r="D55" s="31" t="n">
        <f aca="false">C55/$C$69</f>
        <v>0.0152733737102434</v>
      </c>
    </row>
    <row r="56" customFormat="false" ht="15" hidden="false" customHeight="false" outlineLevel="0" collapsed="false">
      <c r="A56" s="28" t="s">
        <v>88</v>
      </c>
      <c r="B56" s="29" t="s">
        <v>133</v>
      </c>
      <c r="C56" s="30" t="n">
        <f aca="false">RAB!F1811</f>
        <v>257161080</v>
      </c>
      <c r="D56" s="31" t="n">
        <f aca="false">C56/$C$69</f>
        <v>0.0045628420822019</v>
      </c>
    </row>
    <row r="57" customFormat="false" ht="15" hidden="false" customHeight="false" outlineLevel="0" collapsed="false">
      <c r="A57" s="28" t="s">
        <v>90</v>
      </c>
      <c r="B57" s="29" t="s">
        <v>134</v>
      </c>
      <c r="C57" s="30" t="n">
        <f aca="false">RAB!F1826</f>
        <v>23997655</v>
      </c>
      <c r="D57" s="31" t="n">
        <f aca="false">C57/$C$69</f>
        <v>0.000425793475856311</v>
      </c>
    </row>
    <row r="58" customFormat="false" ht="15" hidden="false" customHeight="false" outlineLevel="0" collapsed="false">
      <c r="A58" s="32"/>
      <c r="B58" s="33" t="s">
        <v>135</v>
      </c>
      <c r="C58" s="34" t="n">
        <f aca="false">SUM(C52:C57)</f>
        <v>2295993731</v>
      </c>
      <c r="D58" s="35" t="n">
        <f aca="false">C58/$C$69</f>
        <v>0.0407381117557857</v>
      </c>
    </row>
    <row r="59" customFormat="false" ht="15" hidden="false" customHeight="false" outlineLevel="0" collapsed="false">
      <c r="A59" s="32"/>
      <c r="B59" s="33" t="s">
        <v>136</v>
      </c>
      <c r="C59" s="34" t="n">
        <f aca="false">C12+C20+C28+C36+C43+C50+C58</f>
        <v>39994781820</v>
      </c>
      <c r="D59" s="35" t="n">
        <f aca="false">C59/$C$69</f>
        <v>0.709632552316157</v>
      </c>
    </row>
    <row r="60" customFormat="false" ht="15" hidden="false" customHeight="false" outlineLevel="0" collapsed="false">
      <c r="A60" s="25" t="s">
        <v>137</v>
      </c>
      <c r="B60" s="26" t="s">
        <v>138</v>
      </c>
      <c r="C60" s="27"/>
    </row>
    <row r="61" customFormat="false" ht="15" hidden="false" customHeight="false" outlineLevel="0" collapsed="false">
      <c r="A61" s="28" t="s">
        <v>139</v>
      </c>
      <c r="B61" s="29" t="s">
        <v>140</v>
      </c>
      <c r="C61" s="30" t="n">
        <f aca="false">RAB!F1833</f>
        <v>4784424862</v>
      </c>
      <c r="D61" s="31" t="n">
        <f aca="false">C61/$C$69</f>
        <v>0.0848906650239088</v>
      </c>
    </row>
    <row r="62" customFormat="false" ht="15" hidden="false" customHeight="false" outlineLevel="0" collapsed="false">
      <c r="A62" s="28" t="s">
        <v>141</v>
      </c>
      <c r="B62" s="29" t="s">
        <v>142</v>
      </c>
      <c r="C62" s="30" t="n">
        <f aca="false">RAB!F1838</f>
        <v>6704822822</v>
      </c>
      <c r="D62" s="31" t="n">
        <f aca="false">C62/$C$69</f>
        <v>0.118964532758726</v>
      </c>
    </row>
    <row r="63" customFormat="false" ht="15" hidden="false" customHeight="false" outlineLevel="0" collapsed="false">
      <c r="A63" s="28" t="s">
        <v>143</v>
      </c>
      <c r="B63" s="29" t="s">
        <v>144</v>
      </c>
      <c r="C63" s="30" t="n">
        <f aca="false">RAB!F1847</f>
        <v>155299221</v>
      </c>
      <c r="D63" s="31" t="n">
        <f aca="false">C63/$C$69</f>
        <v>0.00275549403086957</v>
      </c>
    </row>
    <row r="64" customFormat="false" ht="15" hidden="false" customHeight="false" outlineLevel="0" collapsed="false">
      <c r="A64" s="28" t="s">
        <v>145</v>
      </c>
      <c r="B64" s="29" t="s">
        <v>146</v>
      </c>
      <c r="C64" s="30" t="n">
        <f aca="false">RAB!F1867+RAB!F1874+RAB!F1896</f>
        <v>3696214500</v>
      </c>
      <c r="D64" s="31" t="n">
        <f aca="false">C64/$C$69</f>
        <v>0.0655824087589181</v>
      </c>
    </row>
    <row r="65" customFormat="false" ht="15" hidden="false" customHeight="false" outlineLevel="0" collapsed="false">
      <c r="A65" s="28" t="s">
        <v>147</v>
      </c>
      <c r="B65" s="29" t="s">
        <v>148</v>
      </c>
      <c r="C65" s="30" t="n">
        <f aca="false">RAB!F1968</f>
        <v>658367783</v>
      </c>
      <c r="D65" s="31" t="n">
        <f aca="false">C65/$C$69</f>
        <v>0.0116815041601099</v>
      </c>
    </row>
    <row r="66" customFormat="false" ht="15" hidden="false" customHeight="false" outlineLevel="0" collapsed="false">
      <c r="A66" s="28" t="s">
        <v>149</v>
      </c>
      <c r="B66" s="29" t="s">
        <v>150</v>
      </c>
      <c r="C66" s="30" t="n">
        <f aca="false">RAB!F2036</f>
        <v>96076728</v>
      </c>
      <c r="D66" s="31" t="n">
        <f aca="false">C66/$C$69</f>
        <v>0.0017047017287323</v>
      </c>
    </row>
    <row r="67" customFormat="false" ht="15" hidden="false" customHeight="false" outlineLevel="0" collapsed="false">
      <c r="A67" s="28" t="s">
        <v>151</v>
      </c>
      <c r="B67" s="29" t="s">
        <v>152</v>
      </c>
      <c r="C67" s="30" t="n">
        <f aca="false">RAB!F2115</f>
        <v>269858905</v>
      </c>
      <c r="D67" s="31" t="n">
        <f aca="false">C67/$C$69</f>
        <v>0.00478814122257895</v>
      </c>
    </row>
    <row r="68" customFormat="false" ht="15" hidden="false" customHeight="false" outlineLevel="0" collapsed="false">
      <c r="A68" s="32"/>
      <c r="B68" s="33" t="s">
        <v>153</v>
      </c>
      <c r="C68" s="34" t="n">
        <f aca="false">SUM(C61:C67)</f>
        <v>16365064821</v>
      </c>
      <c r="D68" s="35" t="n">
        <f aca="false">C68/$C$69</f>
        <v>0.290367447683843</v>
      </c>
    </row>
    <row r="69" customFormat="false" ht="15" hidden="false" customHeight="false" outlineLevel="0" collapsed="false">
      <c r="A69" s="32"/>
      <c r="B69" s="33" t="s">
        <v>154</v>
      </c>
      <c r="C69" s="34" t="n">
        <f aca="false">C59+C68</f>
        <v>56359846641</v>
      </c>
      <c r="D69" s="35" t="n">
        <f aca="false">C69/$C$69</f>
        <v>1</v>
      </c>
    </row>
    <row r="70" customFormat="false" ht="15" hidden="false" customHeight="false" outlineLevel="0" collapsed="false">
      <c r="A70" s="28"/>
      <c r="B70" s="29" t="str">
        <f aca="false">"PPN ("&amp;TEXT('Informasi Proyek'!$C$21,"0.0%")&amp;")"</f>
        <v>PPN (11.0%)</v>
      </c>
      <c r="C70" s="36" t="n">
        <f aca="false">ROUND(C69*'Informasi Proyek'!$C$21,0)</f>
        <v>6199583131</v>
      </c>
    </row>
    <row r="71" customFormat="false" ht="15" hidden="false" customHeight="false" outlineLevel="0" collapsed="false">
      <c r="A71" s="32"/>
      <c r="B71" s="33" t="s">
        <v>155</v>
      </c>
      <c r="C71" s="34" t="n">
        <f aca="false">C69+C70</f>
        <v>62559429772</v>
      </c>
    </row>
    <row r="72" customFormat="false" ht="15" hidden="false" customHeight="false" outlineLevel="0" collapsed="false">
      <c r="A72" s="32"/>
      <c r="B72" s="33" t="s">
        <v>156</v>
      </c>
      <c r="C72" s="34" t="n">
        <f aca="false">ROUND(C71,-3)</f>
        <v>62559430000</v>
      </c>
    </row>
    <row r="73" customFormat="false" ht="15" hidden="false" customHeight="false" outlineLevel="0" collapsed="false">
      <c r="A73" s="28"/>
      <c r="B73" s="29" t="s">
        <v>157</v>
      </c>
      <c r="C73" s="36" t="n">
        <f aca="false">'Informasi Proyek'!$C$9</f>
        <v>61132457000</v>
      </c>
    </row>
    <row r="74" customFormat="false" ht="15" hidden="false" customHeight="false" outlineLevel="0" collapsed="false">
      <c r="A74" s="37"/>
      <c r="B74" s="38" t="s">
        <v>158</v>
      </c>
      <c r="C74" s="39" t="n">
        <f aca="false">C73-C72</f>
        <v>-1426973000</v>
      </c>
    </row>
    <row r="75" customFormat="false" ht="15" hidden="false" customHeight="false" outlineLevel="0" collapsed="false">
      <c r="A75" s="37"/>
      <c r="B75" s="38" t="s">
        <v>159</v>
      </c>
      <c r="C75" s="40" t="n">
        <f aca="false">C72/C73</f>
        <v>1.02334231388737</v>
      </c>
    </row>
    <row r="77" customFormat="false" ht="15" hidden="false" customHeight="false" outlineLevel="0" collapsed="false">
      <c r="A77" s="41" t="s">
        <v>160</v>
      </c>
    </row>
    <row r="80" customFormat="false" ht="15" hidden="false" customHeight="false" outlineLevel="0" collapsed="false">
      <c r="B80" s="42" t="s">
        <v>161</v>
      </c>
    </row>
    <row r="81" customFormat="false" ht="15" hidden="false" customHeight="false" outlineLevel="0" collapsed="false">
      <c r="B81" s="43" t="s">
        <v>162</v>
      </c>
    </row>
    <row r="85" customFormat="false" ht="15" hidden="false" customHeight="false" outlineLevel="0" collapsed="false">
      <c r="B85" s="42" t="s">
        <v>163</v>
      </c>
    </row>
    <row r="86" customFormat="false" ht="15" hidden="false" customHeight="false" outlineLevel="0" collapsed="false">
      <c r="B86" s="42" t="s">
        <v>164</v>
      </c>
    </row>
  </sheetData>
  <mergeCells count="5">
    <mergeCell ref="C2:D2"/>
    <mergeCell ref="C3:D3"/>
    <mergeCell ref="C4:D4"/>
    <mergeCell ref="C5:D5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8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34"/>
  </cols>
  <sheetData>
    <row r="1" customFormat="false" ht="16.15" hidden="false" customHeight="false" outlineLevel="0" collapsed="false">
      <c r="A1" s="19" t="s">
        <v>165</v>
      </c>
    </row>
    <row r="2" customFormat="false" ht="15" hidden="false" customHeight="false" outlineLevel="0" collapsed="false">
      <c r="A2" s="2" t="s">
        <v>64</v>
      </c>
      <c r="C2" s="20" t="str">
        <f aca="false">'Informasi Proyek'!C6</f>
        <v>Direktorat Jenderal Pembinaan Pelatihan Vokasi dan Prosuktivitas</v>
      </c>
      <c r="D2" s="20"/>
      <c r="E2" s="20"/>
      <c r="F2" s="20"/>
      <c r="G2" s="20"/>
      <c r="H2" s="20"/>
    </row>
    <row r="3" customFormat="false" ht="15" hidden="false" customHeight="false" outlineLevel="0" collapsed="false">
      <c r="A3" s="2" t="s">
        <v>65</v>
      </c>
      <c r="C3" s="20" t="str">
        <f aca="false">'Informasi Proyek'!C7</f>
        <v>Pembangunan Balai Pelatihan Vokasi dan Produktivitas Morowali Utara</v>
      </c>
      <c r="D3" s="20"/>
      <c r="E3" s="20"/>
      <c r="F3" s="20"/>
      <c r="G3" s="20"/>
      <c r="H3" s="20"/>
    </row>
    <row r="4" customFormat="false" ht="15" hidden="false" customHeight="false" outlineLevel="0" collapsed="false">
      <c r="A4" s="2" t="s">
        <v>66</v>
      </c>
      <c r="C4" s="20" t="str">
        <f aca="false">'Informasi Proyek'!C8</f>
        <v>Jl. Trans Sulawesi, Tompira, Petasia, Kabupaten Morowali Utara, Sulawesi Tengah</v>
      </c>
      <c r="D4" s="20"/>
      <c r="E4" s="20"/>
      <c r="F4" s="20"/>
      <c r="G4" s="20"/>
      <c r="H4" s="20"/>
    </row>
    <row r="5" customFormat="false" ht="15" hidden="false" customHeight="false" outlineLevel="0" collapsed="false">
      <c r="A5" s="2" t="s">
        <v>67</v>
      </c>
      <c r="C5" s="20" t="n">
        <f aca="false">'Informasi Proyek'!C10</f>
        <v>2026</v>
      </c>
      <c r="D5" s="20"/>
      <c r="E5" s="20"/>
      <c r="F5" s="20"/>
      <c r="G5" s="20"/>
      <c r="H5" s="20"/>
    </row>
    <row r="6" customFormat="false" ht="15" hidden="false" customHeight="false" outlineLevel="0" collapsed="false">
      <c r="A6" s="2" t="s">
        <v>68</v>
      </c>
      <c r="C6" s="21" t="n">
        <f aca="false">'Informasi Proyek'!$C$9</f>
        <v>61132457000</v>
      </c>
      <c r="D6" s="21"/>
      <c r="E6" s="21"/>
      <c r="F6" s="21"/>
      <c r="G6" s="21"/>
      <c r="H6" s="21"/>
    </row>
    <row r="8" customFormat="false" ht="23.85" hidden="false" customHeight="false" outlineLevel="0" collapsed="false">
      <c r="A8" s="22" t="s">
        <v>69</v>
      </c>
      <c r="B8" s="22" t="s">
        <v>70</v>
      </c>
      <c r="C8" s="22" t="s">
        <v>166</v>
      </c>
      <c r="D8" s="22" t="s">
        <v>167</v>
      </c>
      <c r="E8" s="22" t="s">
        <v>168</v>
      </c>
      <c r="F8" s="22" t="s">
        <v>71</v>
      </c>
      <c r="G8" s="22" t="s">
        <v>169</v>
      </c>
      <c r="H8" s="22" t="s">
        <v>170</v>
      </c>
    </row>
    <row r="9" customFormat="false" ht="15" hidden="false" customHeight="false" outlineLevel="0" collapsed="false">
      <c r="A9" s="44" t="s">
        <v>171</v>
      </c>
      <c r="B9" s="44" t="s">
        <v>172</v>
      </c>
      <c r="C9" s="44" t="s">
        <v>173</v>
      </c>
      <c r="D9" s="44" t="s">
        <v>174</v>
      </c>
      <c r="E9" s="44" t="s">
        <v>175</v>
      </c>
      <c r="F9" s="44" t="s">
        <v>176</v>
      </c>
      <c r="G9" s="44"/>
      <c r="H9" s="44"/>
    </row>
    <row r="10" customFormat="false" ht="15" hidden="false" customHeight="false" outlineLevel="0" collapsed="false">
      <c r="A10" s="45"/>
      <c r="B10" s="24" t="s">
        <v>177</v>
      </c>
      <c r="C10" s="23"/>
      <c r="D10" s="23"/>
      <c r="E10" s="23"/>
      <c r="F10" s="23"/>
      <c r="G10" s="23"/>
      <c r="H10" s="23"/>
    </row>
    <row r="11" customFormat="false" ht="15" hidden="false" customHeight="false" outlineLevel="0" collapsed="false">
      <c r="A11" s="46" t="s">
        <v>75</v>
      </c>
      <c r="B11" s="47" t="s">
        <v>76</v>
      </c>
      <c r="C11" s="48"/>
      <c r="D11" s="48"/>
      <c r="E11" s="48"/>
      <c r="F11" s="48"/>
      <c r="G11" s="48"/>
      <c r="H11" s="48"/>
    </row>
    <row r="12" customFormat="false" ht="15" hidden="false" customHeight="false" outlineLevel="0" collapsed="false">
      <c r="A12" s="49" t="s">
        <v>139</v>
      </c>
      <c r="B12" s="29" t="s">
        <v>178</v>
      </c>
      <c r="C12" s="49" t="s">
        <v>179</v>
      </c>
      <c r="D12" s="50" t="n">
        <v>6</v>
      </c>
      <c r="E12" s="51" t="n">
        <f aca="false">'Analisa Harga Satuan'!$H$803</f>
        <v>1320000</v>
      </c>
      <c r="F12" s="52" t="n">
        <f aca="false">ROUND(D12*E12,0)</f>
        <v>7920000</v>
      </c>
      <c r="G12" s="49" t="s">
        <v>180</v>
      </c>
      <c r="H12" s="53" t="s">
        <v>181</v>
      </c>
    </row>
    <row r="13" customFormat="false" ht="15" hidden="false" customHeight="false" outlineLevel="0" collapsed="false">
      <c r="A13" s="49" t="s">
        <v>141</v>
      </c>
      <c r="B13" s="29" t="s">
        <v>182</v>
      </c>
      <c r="C13" s="49" t="s">
        <v>183</v>
      </c>
      <c r="D13" s="50" t="n">
        <v>1</v>
      </c>
      <c r="E13" s="51" t="n">
        <f aca="false">'Analisa Harga Satuan'!$H$804</f>
        <v>59400000</v>
      </c>
      <c r="F13" s="52" t="n">
        <f aca="false">ROUND(D13*E13,0)</f>
        <v>59400000</v>
      </c>
      <c r="G13" s="49" t="s">
        <v>184</v>
      </c>
      <c r="H13" s="53" t="s">
        <v>181</v>
      </c>
    </row>
    <row r="14" customFormat="false" ht="15" hidden="false" customHeight="false" outlineLevel="0" collapsed="false">
      <c r="A14" s="49" t="s">
        <v>143</v>
      </c>
      <c r="B14" s="29" t="s">
        <v>185</v>
      </c>
      <c r="C14" s="49" t="s">
        <v>183</v>
      </c>
      <c r="D14" s="50" t="n">
        <v>1</v>
      </c>
      <c r="E14" s="51" t="n">
        <f aca="false">'Analisa Harga Satuan'!$H$805</f>
        <v>38720000</v>
      </c>
      <c r="F14" s="52" t="n">
        <f aca="false">ROUND(D14*E14,0)</f>
        <v>38720000</v>
      </c>
      <c r="G14" s="49" t="s">
        <v>186</v>
      </c>
      <c r="H14" s="53" t="s">
        <v>181</v>
      </c>
    </row>
    <row r="15" customFormat="false" ht="15" hidden="false" customHeight="false" outlineLevel="0" collapsed="false">
      <c r="A15" s="49" t="s">
        <v>145</v>
      </c>
      <c r="B15" s="29" t="s">
        <v>187</v>
      </c>
      <c r="C15" s="49" t="s">
        <v>179</v>
      </c>
      <c r="D15" s="50" t="n">
        <v>1</v>
      </c>
      <c r="E15" s="51" t="n">
        <f aca="false">'Analisa Harga Satuan'!$H$806</f>
        <v>19800000</v>
      </c>
      <c r="F15" s="52" t="n">
        <f aca="false">ROUND(D15*E15,0)</f>
        <v>19800000</v>
      </c>
      <c r="G15" s="49" t="s">
        <v>188</v>
      </c>
      <c r="H15" s="53" t="s">
        <v>189</v>
      </c>
    </row>
    <row r="16" customFormat="false" ht="15" hidden="false" customHeight="false" outlineLevel="0" collapsed="false">
      <c r="A16" s="49" t="s">
        <v>147</v>
      </c>
      <c r="B16" s="29" t="s">
        <v>190</v>
      </c>
      <c r="C16" s="49" t="s">
        <v>191</v>
      </c>
      <c r="D16" s="50" t="n">
        <v>12</v>
      </c>
      <c r="E16" s="51" t="n">
        <f aca="false">'Analisa Harga Satuan'!$H$807</f>
        <v>9350000</v>
      </c>
      <c r="F16" s="52" t="n">
        <f aca="false">ROUND(D16*E16,0)</f>
        <v>112200000</v>
      </c>
      <c r="G16" s="49" t="s">
        <v>192</v>
      </c>
      <c r="H16" s="53" t="s">
        <v>181</v>
      </c>
    </row>
    <row r="17" customFormat="false" ht="25.5" hidden="false" customHeight="true" outlineLevel="0" collapsed="false">
      <c r="A17" s="49" t="s">
        <v>149</v>
      </c>
      <c r="B17" s="29" t="s">
        <v>193</v>
      </c>
      <c r="C17" s="49" t="s">
        <v>179</v>
      </c>
      <c r="D17" s="50" t="n">
        <v>1</v>
      </c>
      <c r="E17" s="51" t="n">
        <f aca="false">'Analisa Harga Satuan'!$H$808</f>
        <v>313500000</v>
      </c>
      <c r="F17" s="52" t="n">
        <f aca="false">ROUND(D17*E17,0)</f>
        <v>313500000</v>
      </c>
      <c r="G17" s="49" t="s">
        <v>194</v>
      </c>
      <c r="H17" s="53" t="s">
        <v>189</v>
      </c>
    </row>
    <row r="18" customFormat="false" ht="15" hidden="false" customHeight="false" outlineLevel="0" collapsed="false">
      <c r="B18" s="54" t="s">
        <v>195</v>
      </c>
    </row>
    <row r="19" customFormat="false" ht="15" hidden="false" customHeight="false" outlineLevel="0" collapsed="false">
      <c r="A19" s="49" t="s">
        <v>196</v>
      </c>
      <c r="B19" s="29" t="s">
        <v>197</v>
      </c>
      <c r="C19" s="49" t="s">
        <v>191</v>
      </c>
      <c r="D19" s="50" t="n">
        <v>1</v>
      </c>
      <c r="E19" s="51" t="n">
        <f aca="false">'Analisa Harga Satuan'!$H$809</f>
        <v>16500000</v>
      </c>
      <c r="F19" s="52" t="n">
        <f aca="false">ROUND(D19*E19,0)</f>
        <v>16500000</v>
      </c>
      <c r="G19" s="49" t="s">
        <v>198</v>
      </c>
      <c r="H19" s="53" t="s">
        <v>181</v>
      </c>
    </row>
    <row r="20" customFormat="false" ht="15" hidden="false" customHeight="false" outlineLevel="0" collapsed="false">
      <c r="A20" s="49" t="s">
        <v>196</v>
      </c>
      <c r="B20" s="29" t="s">
        <v>199</v>
      </c>
      <c r="C20" s="49" t="s">
        <v>191</v>
      </c>
      <c r="D20" s="50" t="n">
        <v>4</v>
      </c>
      <c r="E20" s="51" t="n">
        <f aca="false">'Analisa Harga Satuan'!$H$810</f>
        <v>3850000</v>
      </c>
      <c r="F20" s="52" t="n">
        <f aca="false">ROUND(D20*E20,0)</f>
        <v>15400000</v>
      </c>
      <c r="G20" s="49" t="s">
        <v>200</v>
      </c>
      <c r="H20" s="53" t="s">
        <v>181</v>
      </c>
    </row>
    <row r="21" customFormat="false" ht="15" hidden="false" customHeight="false" outlineLevel="0" collapsed="false">
      <c r="B21" s="54" t="s">
        <v>201</v>
      </c>
    </row>
    <row r="22" customFormat="false" ht="15" hidden="false" customHeight="false" outlineLevel="0" collapsed="false">
      <c r="A22" s="49" t="s">
        <v>196</v>
      </c>
      <c r="B22" s="29" t="s">
        <v>202</v>
      </c>
      <c r="C22" s="49" t="s">
        <v>203</v>
      </c>
      <c r="D22" s="50" t="n">
        <v>10</v>
      </c>
      <c r="E22" s="51" t="n">
        <f aca="false">'Analisa Harga Satuan'!$H$811</f>
        <v>2750000</v>
      </c>
      <c r="F22" s="52" t="n">
        <f aca="false">ROUND(D22*E22,0)</f>
        <v>27500000</v>
      </c>
      <c r="G22" s="49" t="s">
        <v>204</v>
      </c>
      <c r="H22" s="53" t="s">
        <v>181</v>
      </c>
    </row>
    <row r="23" customFormat="false" ht="15" hidden="false" customHeight="false" outlineLevel="0" collapsed="false">
      <c r="A23" s="49" t="s">
        <v>196</v>
      </c>
      <c r="B23" s="29" t="s">
        <v>205</v>
      </c>
      <c r="C23" s="49" t="s">
        <v>206</v>
      </c>
      <c r="D23" s="50" t="n">
        <v>3</v>
      </c>
      <c r="E23" s="51" t="n">
        <f aca="false">'Analisa Harga Satuan'!$H$812</f>
        <v>3850000</v>
      </c>
      <c r="F23" s="52" t="n">
        <f aca="false">ROUND(D23*E23,0)</f>
        <v>11550000</v>
      </c>
      <c r="G23" s="49" t="s">
        <v>207</v>
      </c>
      <c r="H23" s="53" t="s">
        <v>181</v>
      </c>
    </row>
    <row r="24" customFormat="false" ht="25.5" hidden="false" customHeight="true" outlineLevel="0" collapsed="false">
      <c r="A24" s="49" t="s">
        <v>208</v>
      </c>
      <c r="B24" s="29" t="s">
        <v>209</v>
      </c>
      <c r="C24" s="49" t="s">
        <v>183</v>
      </c>
      <c r="D24" s="50" t="n">
        <v>1</v>
      </c>
      <c r="E24" s="51" t="n">
        <f aca="false">'Analisa Harga Satuan'!$H$813</f>
        <v>93500000</v>
      </c>
      <c r="F24" s="52" t="n">
        <f aca="false">ROUND(D24*E24,0)</f>
        <v>93500000</v>
      </c>
      <c r="G24" s="49" t="s">
        <v>210</v>
      </c>
      <c r="H24" s="53" t="s">
        <v>189</v>
      </c>
    </row>
    <row r="25" customFormat="false" ht="15" hidden="false" customHeight="false" outlineLevel="0" collapsed="false">
      <c r="B25" s="54" t="s">
        <v>211</v>
      </c>
    </row>
    <row r="26" customFormat="false" ht="15" hidden="false" customHeight="false" outlineLevel="0" collapsed="false">
      <c r="B26" s="54" t="s">
        <v>212</v>
      </c>
    </row>
    <row r="27" customFormat="false" ht="15" hidden="false" customHeight="false" outlineLevel="0" collapsed="false">
      <c r="B27" s="54" t="s">
        <v>213</v>
      </c>
    </row>
    <row r="28" customFormat="false" ht="15" hidden="false" customHeight="false" outlineLevel="0" collapsed="false">
      <c r="B28" s="54" t="s">
        <v>214</v>
      </c>
    </row>
    <row r="29" customFormat="false" ht="15" hidden="false" customHeight="false" outlineLevel="0" collapsed="false">
      <c r="B29" s="54" t="s">
        <v>215</v>
      </c>
    </row>
    <row r="30" customFormat="false" ht="15" hidden="false" customHeight="false" outlineLevel="0" collapsed="false">
      <c r="B30" s="54" t="s">
        <v>216</v>
      </c>
    </row>
    <row r="31" customFormat="false" ht="15" hidden="false" customHeight="false" outlineLevel="0" collapsed="false">
      <c r="A31" s="49" t="s">
        <v>217</v>
      </c>
      <c r="B31" s="29" t="s">
        <v>218</v>
      </c>
      <c r="C31" s="49" t="s">
        <v>219</v>
      </c>
      <c r="D31" s="50" t="n">
        <v>405</v>
      </c>
      <c r="E31" s="51" t="n">
        <f aca="false">'Analisa Harga Satuan'!$H$814</f>
        <v>93500</v>
      </c>
      <c r="F31" s="52" t="n">
        <f aca="false">ROUND(D31*E31,0)</f>
        <v>37867500</v>
      </c>
      <c r="G31" s="49" t="s">
        <v>220</v>
      </c>
      <c r="H31" s="53" t="s">
        <v>181</v>
      </c>
    </row>
    <row r="32" customFormat="false" ht="15" hidden="false" customHeight="false" outlineLevel="0" collapsed="false">
      <c r="A32" s="49" t="s">
        <v>221</v>
      </c>
      <c r="B32" s="29" t="s">
        <v>222</v>
      </c>
      <c r="C32" s="49" t="s">
        <v>179</v>
      </c>
      <c r="D32" s="50" t="n">
        <v>1</v>
      </c>
      <c r="E32" s="51" t="n">
        <f aca="false">'Analisa Harga Satuan'!$H$815</f>
        <v>71500000</v>
      </c>
      <c r="F32" s="52" t="n">
        <f aca="false">ROUND(D32*E32,0)</f>
        <v>71500000</v>
      </c>
      <c r="G32" s="49" t="s">
        <v>223</v>
      </c>
      <c r="H32" s="53" t="s">
        <v>189</v>
      </c>
    </row>
    <row r="33" customFormat="false" ht="15" hidden="false" customHeight="false" outlineLevel="0" collapsed="false">
      <c r="B33" s="54" t="s">
        <v>224</v>
      </c>
    </row>
    <row r="34" customFormat="false" ht="15" hidden="false" customHeight="false" outlineLevel="0" collapsed="false">
      <c r="B34" s="54" t="s">
        <v>225</v>
      </c>
    </row>
    <row r="35" customFormat="false" ht="15" hidden="false" customHeight="false" outlineLevel="0" collapsed="false">
      <c r="A35" s="49" t="s">
        <v>226</v>
      </c>
      <c r="B35" s="29" t="s">
        <v>227</v>
      </c>
      <c r="C35" s="49" t="s">
        <v>183</v>
      </c>
      <c r="D35" s="50" t="n">
        <v>1</v>
      </c>
      <c r="E35" s="51" t="n">
        <f aca="false">'Analisa Harga Satuan'!$H$816</f>
        <v>13200000</v>
      </c>
      <c r="F35" s="52" t="n">
        <f aca="false">ROUND(D35*E35,0)</f>
        <v>13200000</v>
      </c>
      <c r="G35" s="49" t="s">
        <v>228</v>
      </c>
      <c r="H35" s="53" t="s">
        <v>189</v>
      </c>
    </row>
    <row r="36" customFormat="false" ht="15" hidden="false" customHeight="false" outlineLevel="0" collapsed="false">
      <c r="A36" s="49" t="s">
        <v>229</v>
      </c>
      <c r="B36" s="29" t="s">
        <v>230</v>
      </c>
      <c r="C36" s="49" t="s">
        <v>183</v>
      </c>
      <c r="D36" s="50" t="n">
        <v>1</v>
      </c>
      <c r="E36" s="51" t="n">
        <f aca="false">'Analisa Harga Satuan'!$H$817</f>
        <v>6600000</v>
      </c>
      <c r="F36" s="52" t="n">
        <f aca="false">ROUND(D36*E36,0)</f>
        <v>6600000</v>
      </c>
      <c r="G36" s="49" t="s">
        <v>231</v>
      </c>
      <c r="H36" s="53" t="s">
        <v>189</v>
      </c>
    </row>
    <row r="37" customFormat="false" ht="15" hidden="false" customHeight="false" outlineLevel="0" collapsed="false">
      <c r="A37" s="49" t="s">
        <v>232</v>
      </c>
      <c r="B37" s="29" t="s">
        <v>233</v>
      </c>
      <c r="C37" s="49" t="s">
        <v>183</v>
      </c>
      <c r="D37" s="50" t="n">
        <v>1</v>
      </c>
      <c r="E37" s="51" t="n">
        <f aca="false">'Analisa Harga Satuan'!$H$818</f>
        <v>8800000</v>
      </c>
      <c r="F37" s="52" t="n">
        <f aca="false">ROUND(D37*E37,0)</f>
        <v>8800000</v>
      </c>
      <c r="G37" s="49" t="s">
        <v>234</v>
      </c>
      <c r="H37" s="53" t="s">
        <v>189</v>
      </c>
    </row>
    <row r="38" customFormat="false" ht="15" hidden="false" customHeight="false" outlineLevel="0" collapsed="false">
      <c r="B38" s="54" t="s">
        <v>235</v>
      </c>
    </row>
    <row r="39" customFormat="false" ht="15" hidden="false" customHeight="false" outlineLevel="0" collapsed="false">
      <c r="A39" s="49" t="s">
        <v>226</v>
      </c>
      <c r="B39" s="29" t="s">
        <v>236</v>
      </c>
      <c r="C39" s="49" t="s">
        <v>237</v>
      </c>
      <c r="D39" s="50" t="n">
        <v>6</v>
      </c>
      <c r="E39" s="51" t="n">
        <f aca="false">'Analisa Harga Satuan'!$H$819</f>
        <v>1375000</v>
      </c>
      <c r="F39" s="52" t="n">
        <f aca="false">ROUND(D39*E39,0)</f>
        <v>8250000</v>
      </c>
      <c r="G39" s="49" t="s">
        <v>238</v>
      </c>
      <c r="H39" s="53" t="s">
        <v>181</v>
      </c>
    </row>
    <row r="40" customFormat="false" ht="15" hidden="false" customHeight="false" outlineLevel="0" collapsed="false">
      <c r="A40" s="49" t="s">
        <v>229</v>
      </c>
      <c r="B40" s="29" t="s">
        <v>239</v>
      </c>
      <c r="C40" s="49" t="s">
        <v>237</v>
      </c>
      <c r="D40" s="50" t="n">
        <v>6</v>
      </c>
      <c r="E40" s="51" t="n">
        <f aca="false">'Analisa Harga Satuan'!$H$820</f>
        <v>825000</v>
      </c>
      <c r="F40" s="52" t="n">
        <f aca="false">ROUND(D40*E40,0)</f>
        <v>4950000</v>
      </c>
      <c r="G40" s="49" t="s">
        <v>240</v>
      </c>
      <c r="H40" s="53" t="s">
        <v>181</v>
      </c>
    </row>
    <row r="41" customFormat="false" ht="15" hidden="false" customHeight="false" outlineLevel="0" collapsed="false">
      <c r="A41" s="49" t="s">
        <v>241</v>
      </c>
      <c r="B41" s="29" t="s">
        <v>242</v>
      </c>
      <c r="C41" s="49" t="s">
        <v>243</v>
      </c>
      <c r="D41" s="50" t="n">
        <v>6</v>
      </c>
      <c r="E41" s="51" t="n">
        <f aca="false">'Analisa Harga Satuan'!$H$821</f>
        <v>1650000</v>
      </c>
      <c r="F41" s="52" t="n">
        <f aca="false">ROUND(D41*E41,0)</f>
        <v>9900000</v>
      </c>
      <c r="G41" s="49" t="s">
        <v>244</v>
      </c>
      <c r="H41" s="53" t="s">
        <v>181</v>
      </c>
    </row>
    <row r="42" customFormat="false" ht="15" hidden="false" customHeight="false" outlineLevel="0" collapsed="false">
      <c r="A42" s="49" t="s">
        <v>245</v>
      </c>
      <c r="B42" s="29" t="s">
        <v>246</v>
      </c>
      <c r="C42" s="49" t="s">
        <v>179</v>
      </c>
      <c r="D42" s="50" t="n">
        <v>1</v>
      </c>
      <c r="E42" s="51" t="n">
        <f aca="false">'Analisa Harga Satuan'!$H$822</f>
        <v>5500000</v>
      </c>
      <c r="F42" s="52" t="n">
        <f aca="false">ROUND(D42*E42,0)</f>
        <v>5500000</v>
      </c>
      <c r="G42" s="49" t="s">
        <v>247</v>
      </c>
      <c r="H42" s="53" t="s">
        <v>189</v>
      </c>
    </row>
    <row r="43" customFormat="false" ht="15" hidden="false" customHeight="false" outlineLevel="0" collapsed="false">
      <c r="A43" s="49" t="s">
        <v>248</v>
      </c>
      <c r="B43" s="29" t="s">
        <v>249</v>
      </c>
      <c r="C43" s="49" t="s">
        <v>250</v>
      </c>
      <c r="D43" s="50" t="n">
        <v>1</v>
      </c>
      <c r="E43" s="51" t="n">
        <f aca="false">'Analisa Harga Satuan'!$H$823</f>
        <v>495000</v>
      </c>
      <c r="F43" s="52" t="n">
        <f aca="false">ROUND(D43*E43,0)</f>
        <v>495000</v>
      </c>
      <c r="G43" s="49" t="s">
        <v>251</v>
      </c>
      <c r="H43" s="53" t="s">
        <v>181</v>
      </c>
    </row>
    <row r="44" customFormat="false" ht="15" hidden="false" customHeight="false" outlineLevel="0" collapsed="false">
      <c r="A44" s="49" t="s">
        <v>252</v>
      </c>
      <c r="B44" s="29" t="s">
        <v>253</v>
      </c>
      <c r="C44" s="49" t="s">
        <v>250</v>
      </c>
      <c r="D44" s="50" t="n">
        <v>1</v>
      </c>
      <c r="E44" s="51" t="n">
        <f aca="false">'Analisa Harga Satuan'!$H$824</f>
        <v>275000</v>
      </c>
      <c r="F44" s="52" t="n">
        <f aca="false">ROUND(D44*E44,0)</f>
        <v>275000</v>
      </c>
      <c r="G44" s="49" t="s">
        <v>254</v>
      </c>
      <c r="H44" s="53" t="s">
        <v>181</v>
      </c>
    </row>
    <row r="45" customFormat="false" ht="15" hidden="false" customHeight="false" outlineLevel="0" collapsed="false">
      <c r="A45" s="49" t="s">
        <v>255</v>
      </c>
      <c r="B45" s="29" t="s">
        <v>256</v>
      </c>
      <c r="C45" s="49" t="s">
        <v>257</v>
      </c>
      <c r="D45" s="50" t="n">
        <v>1</v>
      </c>
      <c r="E45" s="51" t="n">
        <f aca="false">'Analisa Harga Satuan'!$H$825</f>
        <v>1650000</v>
      </c>
      <c r="F45" s="52" t="n">
        <f aca="false">ROUND(D45*E45,0)</f>
        <v>1650000</v>
      </c>
      <c r="G45" s="49" t="s">
        <v>258</v>
      </c>
      <c r="H45" s="53" t="s">
        <v>181</v>
      </c>
    </row>
    <row r="46" customFormat="false" ht="15" hidden="false" customHeight="false" outlineLevel="0" collapsed="false">
      <c r="B46" s="54" t="s">
        <v>259</v>
      </c>
    </row>
    <row r="47" customFormat="false" ht="15" hidden="false" customHeight="false" outlineLevel="0" collapsed="false">
      <c r="B47" s="54" t="s">
        <v>260</v>
      </c>
    </row>
    <row r="48" customFormat="false" ht="15" hidden="false" customHeight="false" outlineLevel="0" collapsed="false">
      <c r="A48" s="49" t="s">
        <v>196</v>
      </c>
      <c r="B48" s="29" t="s">
        <v>261</v>
      </c>
      <c r="C48" s="49" t="s">
        <v>262</v>
      </c>
      <c r="D48" s="50" t="n">
        <v>556.8</v>
      </c>
      <c r="E48" s="51" t="n">
        <f aca="false">'Analisa Harga Satuan'!$H$826</f>
        <v>203500</v>
      </c>
      <c r="F48" s="52" t="n">
        <f aca="false">ROUND(D48*E48,0)</f>
        <v>113308800</v>
      </c>
      <c r="G48" s="49" t="s">
        <v>263</v>
      </c>
      <c r="H48" s="53" t="s">
        <v>181</v>
      </c>
    </row>
    <row r="49" customFormat="false" ht="15" hidden="false" customHeight="false" outlineLevel="0" collapsed="false">
      <c r="B49" s="54" t="s">
        <v>264</v>
      </c>
    </row>
    <row r="50" customFormat="false" ht="15" hidden="false" customHeight="false" outlineLevel="0" collapsed="false">
      <c r="A50" s="49" t="s">
        <v>196</v>
      </c>
      <c r="B50" s="29" t="s">
        <v>265</v>
      </c>
      <c r="C50" s="49" t="s">
        <v>257</v>
      </c>
      <c r="D50" s="50" t="n">
        <v>80</v>
      </c>
      <c r="E50" s="51" t="n">
        <f aca="false">'Analisa Harga Satuan'!$H$827</f>
        <v>93500</v>
      </c>
      <c r="F50" s="52" t="n">
        <f aca="false">ROUND(D50*E50,0)</f>
        <v>7480000</v>
      </c>
      <c r="G50" s="49" t="s">
        <v>266</v>
      </c>
      <c r="H50" s="53" t="s">
        <v>181</v>
      </c>
    </row>
    <row r="51" customFormat="false" ht="15" hidden="false" customHeight="false" outlineLevel="0" collapsed="false">
      <c r="A51" s="49" t="s">
        <v>196</v>
      </c>
      <c r="B51" s="29" t="s">
        <v>267</v>
      </c>
      <c r="C51" s="49" t="s">
        <v>257</v>
      </c>
      <c r="D51" s="50" t="n">
        <v>20</v>
      </c>
      <c r="E51" s="51" t="n">
        <f aca="false">'Analisa Harga Satuan'!$H$828</f>
        <v>60500</v>
      </c>
      <c r="F51" s="52" t="n">
        <f aca="false">ROUND(D51*E51,0)</f>
        <v>1210000</v>
      </c>
      <c r="G51" s="49" t="s">
        <v>268</v>
      </c>
      <c r="H51" s="53" t="s">
        <v>181</v>
      </c>
    </row>
    <row r="52" customFormat="false" ht="15" hidden="false" customHeight="false" outlineLevel="0" collapsed="false">
      <c r="A52" s="49" t="s">
        <v>196</v>
      </c>
      <c r="B52" s="29" t="s">
        <v>269</v>
      </c>
      <c r="C52" s="49" t="s">
        <v>257</v>
      </c>
      <c r="D52" s="50" t="n">
        <v>20</v>
      </c>
      <c r="E52" s="51" t="n">
        <f aca="false">'Analisa Harga Satuan'!$H$829</f>
        <v>82500</v>
      </c>
      <c r="F52" s="52" t="n">
        <f aca="false">ROUND(D52*E52,0)</f>
        <v>1650000</v>
      </c>
      <c r="G52" s="49" t="s">
        <v>270</v>
      </c>
      <c r="H52" s="53" t="s">
        <v>181</v>
      </c>
    </row>
    <row r="53" customFormat="false" ht="15" hidden="false" customHeight="false" outlineLevel="0" collapsed="false">
      <c r="A53" s="49" t="s">
        <v>196</v>
      </c>
      <c r="B53" s="29" t="s">
        <v>271</v>
      </c>
      <c r="C53" s="49" t="s">
        <v>272</v>
      </c>
      <c r="D53" s="50" t="n">
        <v>80</v>
      </c>
      <c r="E53" s="51" t="n">
        <f aca="false">'Analisa Harga Satuan'!$H$830</f>
        <v>49500</v>
      </c>
      <c r="F53" s="52" t="n">
        <f aca="false">ROUND(D53*E53,0)</f>
        <v>3960000</v>
      </c>
      <c r="G53" s="49" t="s">
        <v>273</v>
      </c>
      <c r="H53" s="53" t="s">
        <v>181</v>
      </c>
    </row>
    <row r="54" customFormat="false" ht="25.5" hidden="false" customHeight="true" outlineLevel="0" collapsed="false">
      <c r="A54" s="49" t="s">
        <v>196</v>
      </c>
      <c r="B54" s="29" t="s">
        <v>274</v>
      </c>
      <c r="C54" s="49" t="s">
        <v>272</v>
      </c>
      <c r="D54" s="50" t="n">
        <v>80</v>
      </c>
      <c r="E54" s="51" t="n">
        <f aca="false">'Analisa Harga Satuan'!$H$831</f>
        <v>418000</v>
      </c>
      <c r="F54" s="52" t="n">
        <f aca="false">ROUND(D54*E54,0)</f>
        <v>33440000</v>
      </c>
      <c r="G54" s="49" t="s">
        <v>275</v>
      </c>
      <c r="H54" s="53" t="s">
        <v>181</v>
      </c>
    </row>
    <row r="55" customFormat="false" ht="15" hidden="false" customHeight="false" outlineLevel="0" collapsed="false">
      <c r="A55" s="49" t="s">
        <v>196</v>
      </c>
      <c r="B55" s="29" t="s">
        <v>276</v>
      </c>
      <c r="C55" s="49" t="s">
        <v>257</v>
      </c>
      <c r="D55" s="50" t="n">
        <v>80</v>
      </c>
      <c r="E55" s="51" t="n">
        <f aca="false">'Analisa Harga Satuan'!$H$832</f>
        <v>93500</v>
      </c>
      <c r="F55" s="52" t="n">
        <f aca="false">ROUND(D55*E55,0)</f>
        <v>7480000</v>
      </c>
      <c r="G55" s="49" t="s">
        <v>277</v>
      </c>
      <c r="H55" s="53" t="s">
        <v>181</v>
      </c>
    </row>
    <row r="56" customFormat="false" ht="15" hidden="false" customHeight="false" outlineLevel="0" collapsed="false">
      <c r="B56" s="54" t="s">
        <v>278</v>
      </c>
    </row>
    <row r="57" customFormat="false" ht="15" hidden="false" customHeight="false" outlineLevel="0" collapsed="false">
      <c r="A57" s="49" t="s">
        <v>226</v>
      </c>
      <c r="B57" s="29" t="s">
        <v>279</v>
      </c>
      <c r="C57" s="49" t="s">
        <v>183</v>
      </c>
      <c r="D57" s="50" t="n">
        <v>1</v>
      </c>
      <c r="E57" s="51" t="n">
        <f aca="false">'Analisa Harga Satuan'!$H$833</f>
        <v>3850000</v>
      </c>
      <c r="F57" s="52" t="n">
        <f aca="false">ROUND(D57*E57,0)</f>
        <v>3850000</v>
      </c>
      <c r="G57" s="49" t="s">
        <v>280</v>
      </c>
      <c r="H57" s="53" t="s">
        <v>181</v>
      </c>
    </row>
    <row r="58" customFormat="false" ht="25.5" hidden="false" customHeight="true" outlineLevel="0" collapsed="false">
      <c r="B58" s="54" t="s">
        <v>281</v>
      </c>
    </row>
    <row r="59" customFormat="false" ht="15" hidden="false" customHeight="false" outlineLevel="0" collapsed="false">
      <c r="A59" s="49" t="s">
        <v>226</v>
      </c>
      <c r="B59" s="29" t="s">
        <v>282</v>
      </c>
      <c r="C59" s="49" t="s">
        <v>257</v>
      </c>
      <c r="D59" s="50" t="n">
        <v>10</v>
      </c>
      <c r="E59" s="51" t="n">
        <f aca="false">'Analisa Harga Satuan'!$H$834</f>
        <v>385000</v>
      </c>
      <c r="F59" s="52" t="n">
        <f aca="false">ROUND(D59*E59,0)</f>
        <v>3850000</v>
      </c>
      <c r="G59" s="49" t="s">
        <v>283</v>
      </c>
      <c r="H59" s="53" t="s">
        <v>181</v>
      </c>
    </row>
    <row r="60" customFormat="false" ht="15" hidden="false" customHeight="false" outlineLevel="0" collapsed="false">
      <c r="A60" s="49" t="s">
        <v>229</v>
      </c>
      <c r="B60" s="29" t="s">
        <v>284</v>
      </c>
      <c r="C60" s="49" t="s">
        <v>257</v>
      </c>
      <c r="D60" s="50" t="n">
        <v>5</v>
      </c>
      <c r="E60" s="51" t="n">
        <f aca="false">'Analisa Harga Satuan'!$H$834</f>
        <v>385000</v>
      </c>
      <c r="F60" s="52" t="n">
        <f aca="false">ROUND(D60*E60,0)</f>
        <v>1925000</v>
      </c>
      <c r="G60" s="49" t="s">
        <v>283</v>
      </c>
      <c r="H60" s="53" t="s">
        <v>181</v>
      </c>
    </row>
    <row r="61" customFormat="false" ht="15" hidden="false" customHeight="false" outlineLevel="0" collapsed="false">
      <c r="A61" s="49" t="s">
        <v>232</v>
      </c>
      <c r="B61" s="29" t="s">
        <v>285</v>
      </c>
      <c r="C61" s="49" t="s">
        <v>257</v>
      </c>
      <c r="D61" s="50" t="n">
        <v>1</v>
      </c>
      <c r="E61" s="51" t="n">
        <f aca="false">'Analisa Harga Satuan'!$H$834</f>
        <v>385000</v>
      </c>
      <c r="F61" s="52" t="n">
        <f aca="false">ROUND(D61*E61,0)</f>
        <v>385000</v>
      </c>
      <c r="G61" s="49" t="s">
        <v>283</v>
      </c>
      <c r="H61" s="53" t="s">
        <v>181</v>
      </c>
    </row>
    <row r="62" customFormat="false" ht="15" hidden="false" customHeight="false" outlineLevel="0" collapsed="false">
      <c r="A62" s="49" t="s">
        <v>241</v>
      </c>
      <c r="B62" s="29" t="s">
        <v>286</v>
      </c>
      <c r="C62" s="49" t="s">
        <v>257</v>
      </c>
      <c r="D62" s="50" t="n">
        <v>1</v>
      </c>
      <c r="E62" s="51" t="n">
        <f aca="false">'Analisa Harga Satuan'!$H$834</f>
        <v>385000</v>
      </c>
      <c r="F62" s="52" t="n">
        <f aca="false">ROUND(D62*E62,0)</f>
        <v>385000</v>
      </c>
      <c r="G62" s="49" t="s">
        <v>283</v>
      </c>
      <c r="H62" s="53" t="s">
        <v>181</v>
      </c>
    </row>
    <row r="63" customFormat="false" ht="15" hidden="false" customHeight="false" outlineLevel="0" collapsed="false">
      <c r="A63" s="49" t="s">
        <v>287</v>
      </c>
      <c r="B63" s="29" t="s">
        <v>288</v>
      </c>
      <c r="C63" s="49" t="s">
        <v>257</v>
      </c>
      <c r="D63" s="50" t="n">
        <v>10</v>
      </c>
      <c r="E63" s="51" t="n">
        <f aca="false">'Analisa Harga Satuan'!$H$834</f>
        <v>385000</v>
      </c>
      <c r="F63" s="52" t="n">
        <f aca="false">ROUND(D63*E63,0)</f>
        <v>3850000</v>
      </c>
      <c r="G63" s="49" t="s">
        <v>283</v>
      </c>
      <c r="H63" s="53" t="s">
        <v>181</v>
      </c>
    </row>
    <row r="64" customFormat="false" ht="15" hidden="false" customHeight="false" outlineLevel="0" collapsed="false">
      <c r="A64" s="49" t="s">
        <v>289</v>
      </c>
      <c r="B64" s="29" t="s">
        <v>290</v>
      </c>
      <c r="C64" s="49" t="s">
        <v>257</v>
      </c>
      <c r="D64" s="50" t="n">
        <v>3</v>
      </c>
      <c r="E64" s="51" t="n">
        <f aca="false">'Analisa Harga Satuan'!$H$835</f>
        <v>495000</v>
      </c>
      <c r="F64" s="52" t="n">
        <f aca="false">ROUND(D64*E64,0)</f>
        <v>1485000</v>
      </c>
      <c r="G64" s="49" t="s">
        <v>291</v>
      </c>
      <c r="H64" s="53" t="s">
        <v>181</v>
      </c>
    </row>
    <row r="65" customFormat="false" ht="15" hidden="false" customHeight="false" outlineLevel="0" collapsed="false">
      <c r="A65" s="49" t="s">
        <v>245</v>
      </c>
      <c r="B65" s="29" t="s">
        <v>292</v>
      </c>
      <c r="C65" s="49" t="s">
        <v>257</v>
      </c>
      <c r="D65" s="50" t="n">
        <v>1</v>
      </c>
      <c r="E65" s="51" t="n">
        <f aca="false">'Analisa Harga Satuan'!$H$836</f>
        <v>275000</v>
      </c>
      <c r="F65" s="52" t="n">
        <f aca="false">ROUND(D65*E65,0)</f>
        <v>275000</v>
      </c>
      <c r="G65" s="49" t="s">
        <v>293</v>
      </c>
      <c r="H65" s="53" t="s">
        <v>181</v>
      </c>
    </row>
    <row r="66" customFormat="false" ht="15" hidden="false" customHeight="false" outlineLevel="0" collapsed="false">
      <c r="B66" s="54" t="s">
        <v>294</v>
      </c>
    </row>
    <row r="67" customFormat="false" ht="15" hidden="false" customHeight="false" outlineLevel="0" collapsed="false">
      <c r="A67" s="49" t="s">
        <v>226</v>
      </c>
      <c r="B67" s="29" t="s">
        <v>295</v>
      </c>
      <c r="C67" s="49" t="s">
        <v>257</v>
      </c>
      <c r="D67" s="50" t="n">
        <v>1</v>
      </c>
      <c r="E67" s="51" t="n">
        <f aca="false">'Analisa Harga Satuan'!$H$837</f>
        <v>715000</v>
      </c>
      <c r="F67" s="52" t="n">
        <f aca="false">ROUND(D67*E67,0)</f>
        <v>715000</v>
      </c>
      <c r="G67" s="49" t="s">
        <v>296</v>
      </c>
      <c r="H67" s="53" t="s">
        <v>181</v>
      </c>
    </row>
    <row r="68" customFormat="false" ht="15" hidden="false" customHeight="false" outlineLevel="0" collapsed="false">
      <c r="A68" s="49" t="s">
        <v>241</v>
      </c>
      <c r="B68" s="29" t="s">
        <v>297</v>
      </c>
      <c r="C68" s="49" t="s">
        <v>257</v>
      </c>
      <c r="D68" s="50" t="n">
        <v>1</v>
      </c>
      <c r="E68" s="51" t="n">
        <f aca="false">'Analisa Harga Satuan'!$H$838</f>
        <v>165000</v>
      </c>
      <c r="F68" s="52" t="n">
        <f aca="false">ROUND(D68*E68,0)</f>
        <v>165000</v>
      </c>
      <c r="G68" s="49" t="s">
        <v>298</v>
      </c>
      <c r="H68" s="53" t="s">
        <v>181</v>
      </c>
    </row>
    <row r="69" customFormat="false" ht="15" hidden="false" customHeight="false" outlineLevel="0" collapsed="false">
      <c r="A69" s="55"/>
      <c r="B69" s="56" t="s">
        <v>299</v>
      </c>
      <c r="C69" s="55"/>
      <c r="D69" s="55"/>
      <c r="E69" s="55"/>
      <c r="F69" s="27" t="n">
        <f aca="false">SUM(F12:F68)</f>
        <v>1070391300</v>
      </c>
      <c r="G69" s="55"/>
      <c r="H69" s="55"/>
    </row>
    <row r="70" customFormat="false" ht="15" hidden="false" customHeight="false" outlineLevel="0" collapsed="false">
      <c r="A70" s="57"/>
      <c r="B70" s="58" t="s">
        <v>300</v>
      </c>
      <c r="C70" s="57"/>
      <c r="D70" s="57"/>
      <c r="E70" s="57"/>
      <c r="F70" s="34" t="n">
        <f aca="false">F69</f>
        <v>1070391300</v>
      </c>
      <c r="G70" s="57"/>
      <c r="H70" s="57"/>
    </row>
    <row r="72" customFormat="false" ht="15" hidden="false" customHeight="false" outlineLevel="0" collapsed="false">
      <c r="A72" s="59" t="s">
        <v>78</v>
      </c>
      <c r="B72" s="24" t="s">
        <v>79</v>
      </c>
      <c r="C72" s="23"/>
      <c r="D72" s="23"/>
      <c r="E72" s="23"/>
      <c r="F72" s="23"/>
      <c r="G72" s="23"/>
      <c r="H72" s="23"/>
    </row>
    <row r="73" customFormat="false" ht="15" hidden="false" customHeight="false" outlineLevel="0" collapsed="false">
      <c r="A73" s="46" t="s">
        <v>80</v>
      </c>
      <c r="B73" s="47" t="s">
        <v>81</v>
      </c>
      <c r="C73" s="48"/>
      <c r="D73" s="48"/>
      <c r="E73" s="48"/>
      <c r="F73" s="48"/>
      <c r="G73" s="48"/>
      <c r="H73" s="48"/>
    </row>
    <row r="74" customFormat="false" ht="15" hidden="false" customHeight="false" outlineLevel="0" collapsed="false">
      <c r="A74" s="60" t="s">
        <v>78</v>
      </c>
      <c r="B74" s="61" t="s">
        <v>301</v>
      </c>
    </row>
    <row r="75" customFormat="false" ht="15" hidden="false" customHeight="false" outlineLevel="0" collapsed="false">
      <c r="A75" s="49" t="s">
        <v>139</v>
      </c>
      <c r="B75" s="29" t="s">
        <v>302</v>
      </c>
      <c r="C75" s="49" t="s">
        <v>303</v>
      </c>
      <c r="D75" s="50" t="n">
        <v>114.22</v>
      </c>
      <c r="E75" s="51" t="n">
        <f aca="false">'Analisa Harga Satuan'!$F$17</f>
        <v>105050</v>
      </c>
      <c r="F75" s="52" t="n">
        <f aca="false">ROUND(D75*E75,0)</f>
        <v>11998811</v>
      </c>
      <c r="G75" s="49" t="s">
        <v>304</v>
      </c>
      <c r="H75" s="53" t="s">
        <v>305</v>
      </c>
    </row>
    <row r="76" customFormat="false" ht="15" hidden="false" customHeight="false" outlineLevel="0" collapsed="false">
      <c r="A76" s="49" t="s">
        <v>141</v>
      </c>
      <c r="B76" s="29" t="s">
        <v>306</v>
      </c>
      <c r="C76" s="49" t="s">
        <v>303</v>
      </c>
      <c r="D76" s="50" t="n">
        <v>75.78</v>
      </c>
      <c r="E76" s="51" t="n">
        <f aca="false">'Analisa Harga Satuan'!$F$31</f>
        <v>113135</v>
      </c>
      <c r="F76" s="52" t="n">
        <f aca="false">ROUND(D76*E76,0)</f>
        <v>8573370</v>
      </c>
      <c r="G76" s="49" t="s">
        <v>307</v>
      </c>
      <c r="H76" s="53" t="s">
        <v>305</v>
      </c>
    </row>
    <row r="77" customFormat="false" ht="15" hidden="false" customHeight="false" outlineLevel="0" collapsed="false">
      <c r="A77" s="49" t="s">
        <v>143</v>
      </c>
      <c r="B77" s="29" t="s">
        <v>308</v>
      </c>
      <c r="C77" s="49" t="s">
        <v>303</v>
      </c>
      <c r="D77" s="50" t="n">
        <v>38.44</v>
      </c>
      <c r="E77" s="51" t="n">
        <f aca="false">'Analisa Harga Satuan'!$F$44</f>
        <v>65175</v>
      </c>
      <c r="F77" s="52" t="n">
        <f aca="false">ROUND(D77*E77,0)</f>
        <v>2505327</v>
      </c>
      <c r="G77" s="49" t="s">
        <v>309</v>
      </c>
      <c r="H77" s="53" t="s">
        <v>305</v>
      </c>
    </row>
    <row r="78" customFormat="false" ht="15" hidden="false" customHeight="false" outlineLevel="0" collapsed="false">
      <c r="A78" s="49" t="s">
        <v>145</v>
      </c>
      <c r="B78" s="29" t="s">
        <v>310</v>
      </c>
      <c r="C78" s="49" t="s">
        <v>303</v>
      </c>
      <c r="D78" s="50" t="n">
        <v>11.56</v>
      </c>
      <c r="E78" s="51" t="n">
        <f aca="false">'Analisa Harga Satuan'!$F$57</f>
        <v>470250</v>
      </c>
      <c r="F78" s="52" t="n">
        <f aca="false">ROUND(D78*E78,0)</f>
        <v>5436090</v>
      </c>
      <c r="G78" s="49" t="s">
        <v>311</v>
      </c>
      <c r="H78" s="53" t="s">
        <v>305</v>
      </c>
    </row>
    <row r="79" customFormat="false" ht="15" hidden="false" customHeight="false" outlineLevel="0" collapsed="false">
      <c r="A79" s="60" t="s">
        <v>93</v>
      </c>
      <c r="B79" s="61" t="s">
        <v>312</v>
      </c>
    </row>
    <row r="80" customFormat="false" ht="15" hidden="false" customHeight="false" outlineLevel="0" collapsed="false">
      <c r="A80" s="49" t="s">
        <v>139</v>
      </c>
      <c r="B80" s="29" t="s">
        <v>313</v>
      </c>
      <c r="C80" s="49" t="s">
        <v>303</v>
      </c>
      <c r="D80" s="50" t="n">
        <v>423.48</v>
      </c>
      <c r="E80" s="51" t="n">
        <f aca="false">'Analisa Harga Satuan'!$F$73</f>
        <v>211750</v>
      </c>
      <c r="F80" s="52" t="n">
        <f aca="false">ROUND(D80*E80,0)</f>
        <v>89671890</v>
      </c>
      <c r="G80" s="49" t="s">
        <v>314</v>
      </c>
      <c r="H80" s="53" t="s">
        <v>305</v>
      </c>
    </row>
    <row r="81" customFormat="false" ht="15" hidden="false" customHeight="false" outlineLevel="0" collapsed="false">
      <c r="A81" s="49" t="s">
        <v>141</v>
      </c>
      <c r="B81" s="29" t="s">
        <v>315</v>
      </c>
      <c r="C81" s="49" t="s">
        <v>303</v>
      </c>
      <c r="D81" s="50" t="n">
        <v>423.48</v>
      </c>
      <c r="E81" s="51" t="n">
        <f aca="false">'Analisa Harga Satuan'!$F$89</f>
        <v>25355</v>
      </c>
      <c r="F81" s="52" t="n">
        <f aca="false">ROUND(D81*E81,0)</f>
        <v>10737335</v>
      </c>
      <c r="G81" s="49" t="s">
        <v>316</v>
      </c>
      <c r="H81" s="53" t="s">
        <v>305</v>
      </c>
    </row>
    <row r="82" customFormat="false" ht="15" hidden="false" customHeight="false" outlineLevel="0" collapsed="false">
      <c r="A82" s="49" t="s">
        <v>143</v>
      </c>
      <c r="B82" s="29" t="s">
        <v>310</v>
      </c>
      <c r="C82" s="49" t="s">
        <v>303</v>
      </c>
      <c r="D82" s="50" t="n">
        <v>21.31</v>
      </c>
      <c r="E82" s="51" t="n">
        <f aca="false">'Analisa Harga Satuan'!$F$57</f>
        <v>470250</v>
      </c>
      <c r="F82" s="52" t="n">
        <f aca="false">ROUND(D82*E82,0)</f>
        <v>10021028</v>
      </c>
      <c r="G82" s="49" t="s">
        <v>311</v>
      </c>
      <c r="H82" s="53" t="s">
        <v>305</v>
      </c>
    </row>
    <row r="83" customFormat="false" ht="15" hidden="false" customHeight="false" outlineLevel="0" collapsed="false">
      <c r="A83" s="49" t="s">
        <v>145</v>
      </c>
      <c r="B83" s="29" t="s">
        <v>317</v>
      </c>
      <c r="C83" s="49" t="s">
        <v>303</v>
      </c>
      <c r="D83" s="50" t="n">
        <v>1.05</v>
      </c>
      <c r="E83" s="51" t="n">
        <f aca="false">'Analisa Harga Satuan'!$F$102</f>
        <v>237600</v>
      </c>
      <c r="F83" s="52" t="n">
        <f aca="false">ROUND(D83*E83,0)</f>
        <v>249480</v>
      </c>
      <c r="G83" s="49" t="s">
        <v>318</v>
      </c>
      <c r="H83" s="53" t="s">
        <v>305</v>
      </c>
    </row>
    <row r="84" customFormat="false" ht="15" hidden="false" customHeight="false" outlineLevel="0" collapsed="false">
      <c r="A84" s="55"/>
      <c r="B84" s="56" t="s">
        <v>319</v>
      </c>
      <c r="C84" s="55"/>
      <c r="D84" s="55"/>
      <c r="E84" s="55"/>
      <c r="F84" s="27" t="n">
        <f aca="false">SUM(F74:F83)</f>
        <v>139193331</v>
      </c>
      <c r="G84" s="55"/>
      <c r="H84" s="55"/>
    </row>
    <row r="85" customFormat="false" ht="15" hidden="false" customHeight="false" outlineLevel="0" collapsed="false">
      <c r="A85" s="46" t="s">
        <v>82</v>
      </c>
      <c r="B85" s="47" t="s">
        <v>83</v>
      </c>
      <c r="C85" s="48"/>
      <c r="D85" s="48"/>
      <c r="E85" s="48"/>
      <c r="F85" s="48"/>
      <c r="G85" s="48"/>
      <c r="H85" s="48"/>
    </row>
    <row r="86" customFormat="false" ht="15" hidden="false" customHeight="false" outlineLevel="0" collapsed="false">
      <c r="A86" s="60" t="s">
        <v>320</v>
      </c>
      <c r="B86" s="61" t="s">
        <v>321</v>
      </c>
    </row>
    <row r="87" customFormat="false" ht="15" hidden="false" customHeight="false" outlineLevel="0" collapsed="false">
      <c r="A87" s="60" t="s">
        <v>78</v>
      </c>
      <c r="B87" s="61" t="s">
        <v>322</v>
      </c>
    </row>
    <row r="88" customFormat="false" ht="15" hidden="false" customHeight="false" outlineLevel="0" collapsed="false">
      <c r="A88" s="49" t="s">
        <v>139</v>
      </c>
      <c r="B88" s="29" t="s">
        <v>323</v>
      </c>
      <c r="C88" s="49" t="s">
        <v>303</v>
      </c>
      <c r="D88" s="50" t="n">
        <v>6.4</v>
      </c>
      <c r="E88" s="51" t="n">
        <f aca="false">'Analisa Harga Satuan'!$F$228</f>
        <v>1386820</v>
      </c>
      <c r="F88" s="52" t="n">
        <f aca="false">ROUND(D88*E88,0)</f>
        <v>8875648</v>
      </c>
      <c r="G88" s="49" t="s">
        <v>324</v>
      </c>
      <c r="H88" s="53" t="s">
        <v>305</v>
      </c>
    </row>
    <row r="89" customFormat="false" ht="15" hidden="false" customHeight="false" outlineLevel="0" collapsed="false">
      <c r="A89" s="49" t="s">
        <v>141</v>
      </c>
      <c r="B89" s="29" t="s">
        <v>325</v>
      </c>
      <c r="C89" s="49" t="s">
        <v>303</v>
      </c>
      <c r="D89" s="50" t="n">
        <v>64</v>
      </c>
      <c r="E89" s="51" t="n">
        <f aca="false">'Analisa Harga Satuan'!$F$294</f>
        <v>1803236</v>
      </c>
      <c r="F89" s="52" t="n">
        <f aca="false">ROUND(D89*E89,0)</f>
        <v>115407104</v>
      </c>
      <c r="G89" s="49" t="s">
        <v>326</v>
      </c>
      <c r="H89" s="53" t="s">
        <v>305</v>
      </c>
    </row>
    <row r="90" customFormat="false" ht="15" hidden="false" customHeight="false" outlineLevel="0" collapsed="false">
      <c r="A90" s="49" t="s">
        <v>143</v>
      </c>
      <c r="B90" s="29" t="s">
        <v>327</v>
      </c>
      <c r="C90" s="49" t="s">
        <v>328</v>
      </c>
      <c r="D90" s="50" t="n">
        <v>7540.24</v>
      </c>
      <c r="E90" s="51" t="n">
        <f aca="false">'Analisa Harga Satuan'!$F$310</f>
        <v>23191</v>
      </c>
      <c r="F90" s="52" t="n">
        <f aca="false">ROUND(D90*E90,0)</f>
        <v>174865706</v>
      </c>
      <c r="G90" s="49" t="s">
        <v>329</v>
      </c>
      <c r="H90" s="53" t="s">
        <v>305</v>
      </c>
    </row>
    <row r="91" customFormat="false" ht="15" hidden="false" customHeight="false" outlineLevel="0" collapsed="false">
      <c r="A91" s="49" t="s">
        <v>145</v>
      </c>
      <c r="B91" s="29" t="s">
        <v>330</v>
      </c>
      <c r="C91" s="49" t="s">
        <v>331</v>
      </c>
      <c r="D91" s="50" t="n">
        <v>128</v>
      </c>
      <c r="E91" s="51" t="n">
        <f aca="false">'Analisa Harga Satuan'!$F$330</f>
        <v>398959</v>
      </c>
      <c r="F91" s="52" t="n">
        <f aca="false">ROUND(D91*E91,0)</f>
        <v>51066752</v>
      </c>
      <c r="G91" s="49" t="s">
        <v>332</v>
      </c>
      <c r="H91" s="53" t="s">
        <v>305</v>
      </c>
    </row>
    <row r="92" customFormat="false" ht="15" hidden="false" customHeight="false" outlineLevel="0" collapsed="false">
      <c r="A92" s="60" t="s">
        <v>93</v>
      </c>
      <c r="B92" s="61" t="s">
        <v>333</v>
      </c>
    </row>
    <row r="93" customFormat="false" ht="15" hidden="false" customHeight="false" outlineLevel="0" collapsed="false">
      <c r="A93" s="49" t="s">
        <v>139</v>
      </c>
      <c r="B93" s="29" t="s">
        <v>325</v>
      </c>
      <c r="C93" s="49" t="s">
        <v>303</v>
      </c>
      <c r="D93" s="50" t="n">
        <v>6.16</v>
      </c>
      <c r="E93" s="51" t="n">
        <f aca="false">'Analisa Harga Satuan'!$F$294</f>
        <v>1803236</v>
      </c>
      <c r="F93" s="52" t="n">
        <f aca="false">ROUND(D93*E93,0)</f>
        <v>11107934</v>
      </c>
      <c r="G93" s="49" t="s">
        <v>326</v>
      </c>
      <c r="H93" s="53" t="s">
        <v>305</v>
      </c>
    </row>
    <row r="94" customFormat="false" ht="15" hidden="false" customHeight="false" outlineLevel="0" collapsed="false">
      <c r="A94" s="49" t="s">
        <v>141</v>
      </c>
      <c r="B94" s="29" t="s">
        <v>327</v>
      </c>
      <c r="C94" s="49" t="s">
        <v>328</v>
      </c>
      <c r="D94" s="50" t="n">
        <v>2165.16</v>
      </c>
      <c r="E94" s="51" t="n">
        <f aca="false">'Analisa Harga Satuan'!$F$310</f>
        <v>23191</v>
      </c>
      <c r="F94" s="52" t="n">
        <f aca="false">ROUND(D94*E94,0)</f>
        <v>50212226</v>
      </c>
      <c r="G94" s="49" t="s">
        <v>329</v>
      </c>
      <c r="H94" s="53" t="s">
        <v>305</v>
      </c>
    </row>
    <row r="95" customFormat="false" ht="15" hidden="false" customHeight="false" outlineLevel="0" collapsed="false">
      <c r="A95" s="49" t="s">
        <v>143</v>
      </c>
      <c r="B95" s="29" t="s">
        <v>330</v>
      </c>
      <c r="C95" s="49" t="s">
        <v>331</v>
      </c>
      <c r="D95" s="50" t="n">
        <v>49.28</v>
      </c>
      <c r="E95" s="51" t="n">
        <f aca="false">'Analisa Harga Satuan'!$F$330</f>
        <v>398959</v>
      </c>
      <c r="F95" s="52" t="n">
        <f aca="false">ROUND(D95*E95,0)</f>
        <v>19660700</v>
      </c>
      <c r="G95" s="49" t="s">
        <v>332</v>
      </c>
      <c r="H95" s="53" t="s">
        <v>305</v>
      </c>
    </row>
    <row r="96" customFormat="false" ht="15" hidden="false" customHeight="false" outlineLevel="0" collapsed="false">
      <c r="A96" s="60" t="s">
        <v>102</v>
      </c>
      <c r="B96" s="61" t="s">
        <v>334</v>
      </c>
    </row>
    <row r="97" customFormat="false" ht="15" hidden="false" customHeight="false" outlineLevel="0" collapsed="false">
      <c r="A97" s="49" t="s">
        <v>139</v>
      </c>
      <c r="B97" s="29" t="s">
        <v>325</v>
      </c>
      <c r="C97" s="49" t="s">
        <v>303</v>
      </c>
      <c r="D97" s="50" t="n">
        <v>2.77</v>
      </c>
      <c r="E97" s="51" t="n">
        <f aca="false">'Analisa Harga Satuan'!$F$294</f>
        <v>1803236</v>
      </c>
      <c r="F97" s="52" t="n">
        <f aca="false">ROUND(D97*E97,0)</f>
        <v>4994964</v>
      </c>
      <c r="G97" s="49" t="s">
        <v>326</v>
      </c>
      <c r="H97" s="53" t="s">
        <v>305</v>
      </c>
    </row>
    <row r="98" customFormat="false" ht="15" hidden="false" customHeight="false" outlineLevel="0" collapsed="false">
      <c r="A98" s="49" t="s">
        <v>141</v>
      </c>
      <c r="B98" s="29" t="s">
        <v>327</v>
      </c>
      <c r="C98" s="49" t="s">
        <v>328</v>
      </c>
      <c r="D98" s="50" t="n">
        <v>735.97</v>
      </c>
      <c r="E98" s="51" t="n">
        <f aca="false">'Analisa Harga Satuan'!$F$310</f>
        <v>23191</v>
      </c>
      <c r="F98" s="52" t="n">
        <f aca="false">ROUND(D98*E98,0)</f>
        <v>17067880</v>
      </c>
      <c r="G98" s="49" t="s">
        <v>329</v>
      </c>
      <c r="H98" s="53" t="s">
        <v>305</v>
      </c>
    </row>
    <row r="99" customFormat="false" ht="15" hidden="false" customHeight="false" outlineLevel="0" collapsed="false">
      <c r="A99" s="49" t="s">
        <v>143</v>
      </c>
      <c r="B99" s="29" t="s">
        <v>330</v>
      </c>
      <c r="C99" s="49" t="s">
        <v>331</v>
      </c>
      <c r="D99" s="50" t="n">
        <v>19.01</v>
      </c>
      <c r="E99" s="51" t="n">
        <f aca="false">'Analisa Harga Satuan'!$F$330</f>
        <v>398959</v>
      </c>
      <c r="F99" s="52" t="n">
        <f aca="false">ROUND(D99*E99,0)</f>
        <v>7584211</v>
      </c>
      <c r="G99" s="49" t="s">
        <v>332</v>
      </c>
      <c r="H99" s="53" t="s">
        <v>305</v>
      </c>
    </row>
    <row r="100" customFormat="false" ht="15" hidden="false" customHeight="false" outlineLevel="0" collapsed="false">
      <c r="A100" s="60" t="s">
        <v>111</v>
      </c>
      <c r="B100" s="61" t="s">
        <v>335</v>
      </c>
    </row>
    <row r="101" customFormat="false" ht="15" hidden="false" customHeight="false" outlineLevel="0" collapsed="false">
      <c r="A101" s="49" t="s">
        <v>139</v>
      </c>
      <c r="B101" s="29" t="s">
        <v>323</v>
      </c>
      <c r="C101" s="49" t="s">
        <v>303</v>
      </c>
      <c r="D101" s="50" t="n">
        <v>0.54</v>
      </c>
      <c r="E101" s="51" t="n">
        <f aca="false">'Analisa Harga Satuan'!$F$228</f>
        <v>1386820</v>
      </c>
      <c r="F101" s="52" t="n">
        <f aca="false">ROUND(D101*E101,0)</f>
        <v>748883</v>
      </c>
      <c r="G101" s="49" t="s">
        <v>324</v>
      </c>
      <c r="H101" s="53" t="s">
        <v>305</v>
      </c>
    </row>
    <row r="102" customFormat="false" ht="15" hidden="false" customHeight="false" outlineLevel="0" collapsed="false">
      <c r="A102" s="49" t="s">
        <v>141</v>
      </c>
      <c r="B102" s="29" t="s">
        <v>325</v>
      </c>
      <c r="C102" s="49" t="s">
        <v>303</v>
      </c>
      <c r="D102" s="50" t="n">
        <v>7.82</v>
      </c>
      <c r="E102" s="51" t="n">
        <f aca="false">'Analisa Harga Satuan'!$F$294</f>
        <v>1803236</v>
      </c>
      <c r="F102" s="52" t="n">
        <f aca="false">ROUND(D102*E102,0)</f>
        <v>14101306</v>
      </c>
      <c r="G102" s="49" t="s">
        <v>326</v>
      </c>
      <c r="H102" s="53" t="s">
        <v>305</v>
      </c>
    </row>
    <row r="103" customFormat="false" ht="15" hidden="false" customHeight="false" outlineLevel="0" collapsed="false">
      <c r="A103" s="49" t="s">
        <v>143</v>
      </c>
      <c r="B103" s="29" t="s">
        <v>327</v>
      </c>
      <c r="C103" s="49" t="s">
        <v>328</v>
      </c>
      <c r="D103" s="50" t="n">
        <v>1129.67</v>
      </c>
      <c r="E103" s="51" t="n">
        <f aca="false">'Analisa Harga Satuan'!$F$310</f>
        <v>23191</v>
      </c>
      <c r="F103" s="52" t="n">
        <f aca="false">ROUND(D103*E103,0)</f>
        <v>26198177</v>
      </c>
      <c r="G103" s="49" t="s">
        <v>329</v>
      </c>
      <c r="H103" s="53" t="s">
        <v>305</v>
      </c>
    </row>
    <row r="104" customFormat="false" ht="15" hidden="false" customHeight="false" outlineLevel="0" collapsed="false">
      <c r="A104" s="49" t="s">
        <v>145</v>
      </c>
      <c r="B104" s="29" t="s">
        <v>330</v>
      </c>
      <c r="C104" s="49" t="s">
        <v>331</v>
      </c>
      <c r="D104" s="50" t="n">
        <v>39.12</v>
      </c>
      <c r="E104" s="51" t="n">
        <f aca="false">'Analisa Harga Satuan'!$F$330</f>
        <v>398959</v>
      </c>
      <c r="F104" s="52" t="n">
        <f aca="false">ROUND(D104*E104,0)</f>
        <v>15607276</v>
      </c>
      <c r="G104" s="49" t="s">
        <v>332</v>
      </c>
      <c r="H104" s="53" t="s">
        <v>305</v>
      </c>
    </row>
    <row r="105" customFormat="false" ht="15" hidden="false" customHeight="false" outlineLevel="0" collapsed="false">
      <c r="A105" s="60" t="s">
        <v>119</v>
      </c>
      <c r="B105" s="61" t="s">
        <v>336</v>
      </c>
    </row>
    <row r="106" customFormat="false" ht="15" hidden="false" customHeight="false" outlineLevel="0" collapsed="false">
      <c r="A106" s="49" t="s">
        <v>139</v>
      </c>
      <c r="B106" s="29" t="s">
        <v>323</v>
      </c>
      <c r="C106" s="49" t="s">
        <v>303</v>
      </c>
      <c r="D106" s="50" t="n">
        <v>1.55</v>
      </c>
      <c r="E106" s="51" t="n">
        <f aca="false">'Analisa Harga Satuan'!$F$228</f>
        <v>1386820</v>
      </c>
      <c r="F106" s="52" t="n">
        <f aca="false">ROUND(D106*E106,0)</f>
        <v>2149571</v>
      </c>
      <c r="G106" s="49" t="s">
        <v>324</v>
      </c>
      <c r="H106" s="53" t="s">
        <v>305</v>
      </c>
    </row>
    <row r="107" customFormat="false" ht="15" hidden="false" customHeight="false" outlineLevel="0" collapsed="false">
      <c r="A107" s="49" t="s">
        <v>141</v>
      </c>
      <c r="B107" s="29" t="s">
        <v>325</v>
      </c>
      <c r="C107" s="49" t="s">
        <v>303</v>
      </c>
      <c r="D107" s="50" t="n">
        <v>26.12</v>
      </c>
      <c r="E107" s="51" t="n">
        <f aca="false">'Analisa Harga Satuan'!$F$294</f>
        <v>1803236</v>
      </c>
      <c r="F107" s="52" t="n">
        <f aca="false">ROUND(D107*E107,0)</f>
        <v>47100524</v>
      </c>
      <c r="G107" s="49" t="s">
        <v>326</v>
      </c>
      <c r="H107" s="53" t="s">
        <v>305</v>
      </c>
    </row>
    <row r="108" customFormat="false" ht="15" hidden="false" customHeight="false" outlineLevel="0" collapsed="false">
      <c r="A108" s="49" t="s">
        <v>143</v>
      </c>
      <c r="B108" s="29" t="s">
        <v>327</v>
      </c>
      <c r="C108" s="49" t="s">
        <v>328</v>
      </c>
      <c r="D108" s="50" t="n">
        <v>5588.18</v>
      </c>
      <c r="E108" s="51" t="n">
        <f aca="false">'Analisa Harga Satuan'!$F$310</f>
        <v>23191</v>
      </c>
      <c r="F108" s="52" t="n">
        <f aca="false">ROUND(D108*E108,0)</f>
        <v>129595482</v>
      </c>
      <c r="G108" s="49" t="s">
        <v>329</v>
      </c>
      <c r="H108" s="53" t="s">
        <v>305</v>
      </c>
    </row>
    <row r="109" customFormat="false" ht="15" hidden="false" customHeight="false" outlineLevel="0" collapsed="false">
      <c r="A109" s="49" t="s">
        <v>145</v>
      </c>
      <c r="B109" s="29" t="s">
        <v>330</v>
      </c>
      <c r="C109" s="49" t="s">
        <v>331</v>
      </c>
      <c r="D109" s="50" t="n">
        <v>208.96</v>
      </c>
      <c r="E109" s="51" t="n">
        <f aca="false">'Analisa Harga Satuan'!$F$330</f>
        <v>398959</v>
      </c>
      <c r="F109" s="52" t="n">
        <f aca="false">ROUND(D109*E109,0)</f>
        <v>83366473</v>
      </c>
      <c r="G109" s="49" t="s">
        <v>332</v>
      </c>
      <c r="H109" s="53" t="s">
        <v>305</v>
      </c>
    </row>
    <row r="110" customFormat="false" ht="15" hidden="false" customHeight="false" outlineLevel="0" collapsed="false">
      <c r="A110" s="60" t="s">
        <v>127</v>
      </c>
      <c r="B110" s="61" t="s">
        <v>337</v>
      </c>
    </row>
    <row r="111" customFormat="false" ht="15" hidden="false" customHeight="false" outlineLevel="0" collapsed="false">
      <c r="A111" s="49" t="s">
        <v>139</v>
      </c>
      <c r="B111" s="29" t="s">
        <v>338</v>
      </c>
      <c r="C111" s="49" t="s">
        <v>303</v>
      </c>
      <c r="D111" s="50" t="n">
        <v>8.07</v>
      </c>
      <c r="E111" s="51" t="n">
        <f aca="false">'Analisa Harga Satuan'!$F$189</f>
        <v>1456103</v>
      </c>
      <c r="F111" s="52" t="n">
        <f aca="false">ROUND(D111*E111,0)</f>
        <v>11750751</v>
      </c>
      <c r="G111" s="49" t="s">
        <v>339</v>
      </c>
      <c r="H111" s="53" t="s">
        <v>305</v>
      </c>
    </row>
    <row r="112" customFormat="false" ht="15" hidden="false" customHeight="false" outlineLevel="0" collapsed="false">
      <c r="A112" s="60" t="s">
        <v>137</v>
      </c>
      <c r="B112" s="61" t="s">
        <v>340</v>
      </c>
    </row>
    <row r="113" customFormat="false" ht="25.5" hidden="false" customHeight="true" outlineLevel="0" collapsed="false">
      <c r="A113" s="49" t="s">
        <v>139</v>
      </c>
      <c r="B113" s="29" t="s">
        <v>341</v>
      </c>
      <c r="C113" s="49" t="s">
        <v>342</v>
      </c>
      <c r="D113" s="50" t="n">
        <v>128</v>
      </c>
      <c r="E113" s="51" t="n">
        <f aca="false">'Analisa Harga Satuan'!$H$839</f>
        <v>7480000</v>
      </c>
      <c r="F113" s="52" t="n">
        <f aca="false">ROUND(D113*E113,0)</f>
        <v>957440000</v>
      </c>
      <c r="G113" s="49" t="s">
        <v>343</v>
      </c>
      <c r="H113" s="53" t="s">
        <v>181</v>
      </c>
    </row>
    <row r="114" customFormat="false" ht="15" hidden="false" customHeight="false" outlineLevel="0" collapsed="false">
      <c r="A114" s="49" t="s">
        <v>141</v>
      </c>
      <c r="B114" s="29" t="s">
        <v>344</v>
      </c>
      <c r="C114" s="49" t="s">
        <v>262</v>
      </c>
      <c r="D114" s="50" t="n">
        <v>1280</v>
      </c>
      <c r="E114" s="51" t="n">
        <f aca="false">'Analisa Harga Satuan'!$H$840</f>
        <v>181500</v>
      </c>
      <c r="F114" s="52" t="n">
        <f aca="false">ROUND(D114*E114,0)</f>
        <v>232320000</v>
      </c>
      <c r="G114" s="49" t="s">
        <v>345</v>
      </c>
      <c r="H114" s="53" t="s">
        <v>181</v>
      </c>
    </row>
    <row r="115" customFormat="false" ht="15" hidden="false" customHeight="false" outlineLevel="0" collapsed="false">
      <c r="A115" s="49" t="s">
        <v>143</v>
      </c>
      <c r="B115" s="29" t="s">
        <v>346</v>
      </c>
      <c r="C115" s="49" t="s">
        <v>191</v>
      </c>
      <c r="D115" s="50" t="n">
        <v>128</v>
      </c>
      <c r="E115" s="51" t="n">
        <f aca="false">'Analisa Harga Satuan'!$H$841</f>
        <v>313500</v>
      </c>
      <c r="F115" s="52" t="n">
        <f aca="false">ROUND(D115*E115,0)</f>
        <v>40128000</v>
      </c>
      <c r="G115" s="49" t="s">
        <v>347</v>
      </c>
      <c r="H115" s="53" t="s">
        <v>181</v>
      </c>
    </row>
    <row r="116" customFormat="false" ht="15" hidden="false" customHeight="false" outlineLevel="0" collapsed="false">
      <c r="A116" s="49" t="s">
        <v>145</v>
      </c>
      <c r="B116" s="29" t="s">
        <v>348</v>
      </c>
      <c r="C116" s="49" t="s">
        <v>303</v>
      </c>
      <c r="D116" s="50" t="n">
        <v>53.41</v>
      </c>
      <c r="E116" s="51" t="n">
        <f aca="false">'Analisa Harga Satuan'!$F$57</f>
        <v>470250</v>
      </c>
      <c r="F116" s="52" t="n">
        <f aca="false">ROUND(D116*E116,0)</f>
        <v>25116053</v>
      </c>
      <c r="G116" s="49" t="s">
        <v>311</v>
      </c>
      <c r="H116" s="53" t="s">
        <v>305</v>
      </c>
    </row>
    <row r="117" customFormat="false" ht="15" hidden="false" customHeight="false" outlineLevel="0" collapsed="false">
      <c r="A117" s="49" t="s">
        <v>147</v>
      </c>
      <c r="B117" s="29" t="s">
        <v>349</v>
      </c>
      <c r="C117" s="49" t="s">
        <v>328</v>
      </c>
      <c r="D117" s="50" t="n">
        <v>2764.32</v>
      </c>
      <c r="E117" s="51" t="n">
        <f aca="false">'Analisa Harga Satuan'!$F$310</f>
        <v>23191</v>
      </c>
      <c r="F117" s="52" t="n">
        <f aca="false">ROUND(D117*E117,0)</f>
        <v>64107345</v>
      </c>
      <c r="G117" s="49" t="s">
        <v>329</v>
      </c>
      <c r="H117" s="53" t="s">
        <v>305</v>
      </c>
    </row>
    <row r="118" customFormat="false" ht="15" hidden="false" customHeight="false" outlineLevel="0" collapsed="false">
      <c r="A118" s="49" t="s">
        <v>149</v>
      </c>
      <c r="B118" s="29" t="s">
        <v>350</v>
      </c>
      <c r="C118" s="49" t="s">
        <v>303</v>
      </c>
      <c r="D118" s="50" t="n">
        <v>6.28</v>
      </c>
      <c r="E118" s="51" t="n">
        <f aca="false">'Analisa Harga Satuan'!$F$272</f>
        <v>1747048</v>
      </c>
      <c r="F118" s="52" t="n">
        <f aca="false">ROUND(D118*E118,0)</f>
        <v>10971461</v>
      </c>
      <c r="G118" s="49" t="s">
        <v>351</v>
      </c>
      <c r="H118" s="53" t="s">
        <v>305</v>
      </c>
    </row>
    <row r="119" customFormat="false" ht="15" hidden="false" customHeight="false" outlineLevel="0" collapsed="false">
      <c r="A119" s="60" t="s">
        <v>352</v>
      </c>
      <c r="B119" s="61" t="s">
        <v>353</v>
      </c>
    </row>
    <row r="120" customFormat="false" ht="15" hidden="false" customHeight="false" outlineLevel="0" collapsed="false">
      <c r="A120" s="60" t="s">
        <v>78</v>
      </c>
      <c r="B120" s="61" t="s">
        <v>354</v>
      </c>
    </row>
    <row r="121" customFormat="false" ht="15" hidden="false" customHeight="false" outlineLevel="0" collapsed="false">
      <c r="A121" s="49" t="s">
        <v>139</v>
      </c>
      <c r="B121" s="29" t="s">
        <v>323</v>
      </c>
      <c r="C121" s="49" t="s">
        <v>303</v>
      </c>
      <c r="D121" s="50" t="n">
        <v>21.72</v>
      </c>
      <c r="E121" s="51" t="n">
        <f aca="false">'Analisa Harga Satuan'!$F$228</f>
        <v>1386820</v>
      </c>
      <c r="F121" s="52" t="n">
        <f aca="false">ROUND(D121*E121,0)</f>
        <v>30121730</v>
      </c>
      <c r="G121" s="49" t="s">
        <v>324</v>
      </c>
      <c r="H121" s="53" t="s">
        <v>305</v>
      </c>
    </row>
    <row r="122" customFormat="false" ht="15" hidden="false" customHeight="false" outlineLevel="0" collapsed="false">
      <c r="A122" s="49" t="s">
        <v>141</v>
      </c>
      <c r="B122" s="29" t="s">
        <v>355</v>
      </c>
      <c r="C122" s="49" t="s">
        <v>303</v>
      </c>
      <c r="D122" s="50" t="n">
        <v>57.1</v>
      </c>
      <c r="E122" s="51" t="n">
        <f aca="false">'Analisa Harga Satuan'!$F$272</f>
        <v>1747048</v>
      </c>
      <c r="F122" s="52" t="n">
        <f aca="false">ROUND(D122*E122,0)</f>
        <v>99756441</v>
      </c>
      <c r="G122" s="49" t="s">
        <v>351</v>
      </c>
      <c r="H122" s="53" t="s">
        <v>305</v>
      </c>
    </row>
    <row r="123" customFormat="false" ht="15" hidden="false" customHeight="false" outlineLevel="0" collapsed="false">
      <c r="A123" s="49" t="s">
        <v>143</v>
      </c>
      <c r="B123" s="29" t="s">
        <v>327</v>
      </c>
      <c r="C123" s="49" t="s">
        <v>328</v>
      </c>
      <c r="D123" s="50" t="n">
        <v>5236.38</v>
      </c>
      <c r="E123" s="51" t="n">
        <f aca="false">'Analisa Harga Satuan'!$F$310</f>
        <v>23191</v>
      </c>
      <c r="F123" s="52" t="n">
        <f aca="false">ROUND(D123*E123,0)</f>
        <v>121436889</v>
      </c>
      <c r="G123" s="49" t="s">
        <v>329</v>
      </c>
      <c r="H123" s="53" t="s">
        <v>305</v>
      </c>
    </row>
    <row r="124" customFormat="false" ht="15" hidden="false" customHeight="false" outlineLevel="0" collapsed="false">
      <c r="A124" s="60" t="s">
        <v>93</v>
      </c>
      <c r="B124" s="61" t="s">
        <v>356</v>
      </c>
    </row>
    <row r="125" customFormat="false" ht="15" hidden="false" customHeight="false" outlineLevel="0" collapsed="false">
      <c r="A125" s="49" t="s">
        <v>139</v>
      </c>
      <c r="B125" s="29" t="s">
        <v>355</v>
      </c>
      <c r="C125" s="49" t="s">
        <v>303</v>
      </c>
      <c r="D125" s="50" t="n">
        <v>32.34</v>
      </c>
      <c r="E125" s="51" t="n">
        <f aca="false">'Analisa Harga Satuan'!$F$272</f>
        <v>1747048</v>
      </c>
      <c r="F125" s="52" t="n">
        <f aca="false">ROUND(D125*E125,0)</f>
        <v>56499532</v>
      </c>
      <c r="G125" s="49" t="s">
        <v>351</v>
      </c>
      <c r="H125" s="53" t="s">
        <v>305</v>
      </c>
    </row>
    <row r="126" customFormat="false" ht="15" hidden="false" customHeight="false" outlineLevel="0" collapsed="false">
      <c r="A126" s="49" t="s">
        <v>141</v>
      </c>
      <c r="B126" s="29" t="s">
        <v>327</v>
      </c>
      <c r="C126" s="49" t="s">
        <v>328</v>
      </c>
      <c r="D126" s="50" t="n">
        <v>5846.64</v>
      </c>
      <c r="E126" s="51" t="n">
        <f aca="false">'Analisa Harga Satuan'!$F$310</f>
        <v>23191</v>
      </c>
      <c r="F126" s="52" t="n">
        <f aca="false">ROUND(D126*E126,0)</f>
        <v>135589428</v>
      </c>
      <c r="G126" s="49" t="s">
        <v>329</v>
      </c>
      <c r="H126" s="53" t="s">
        <v>305</v>
      </c>
    </row>
    <row r="127" customFormat="false" ht="15" hidden="false" customHeight="false" outlineLevel="0" collapsed="false">
      <c r="A127" s="49" t="s">
        <v>143</v>
      </c>
      <c r="B127" s="29" t="s">
        <v>330</v>
      </c>
      <c r="C127" s="49" t="s">
        <v>331</v>
      </c>
      <c r="D127" s="50" t="n">
        <v>258.72</v>
      </c>
      <c r="E127" s="51" t="n">
        <f aca="false">'Analisa Harga Satuan'!$F$330</f>
        <v>398959</v>
      </c>
      <c r="F127" s="52" t="n">
        <f aca="false">ROUND(D127*E127,0)</f>
        <v>103218672</v>
      </c>
      <c r="G127" s="49" t="s">
        <v>332</v>
      </c>
      <c r="H127" s="53" t="s">
        <v>305</v>
      </c>
    </row>
    <row r="128" customFormat="false" ht="15" hidden="false" customHeight="false" outlineLevel="0" collapsed="false">
      <c r="A128" s="60" t="s">
        <v>102</v>
      </c>
      <c r="B128" s="61" t="s">
        <v>357</v>
      </c>
    </row>
    <row r="129" customFormat="false" ht="15" hidden="false" customHeight="false" outlineLevel="0" collapsed="false">
      <c r="A129" s="49" t="s">
        <v>139</v>
      </c>
      <c r="B129" s="29" t="s">
        <v>355</v>
      </c>
      <c r="C129" s="49" t="s">
        <v>303</v>
      </c>
      <c r="D129" s="50" t="n">
        <v>6.82</v>
      </c>
      <c r="E129" s="51" t="n">
        <f aca="false">'Analisa Harga Satuan'!$F$272</f>
        <v>1747048</v>
      </c>
      <c r="F129" s="52" t="n">
        <f aca="false">ROUND(D129*E129,0)</f>
        <v>11914867</v>
      </c>
      <c r="G129" s="49" t="s">
        <v>351</v>
      </c>
      <c r="H129" s="53" t="s">
        <v>305</v>
      </c>
    </row>
    <row r="130" customFormat="false" ht="15" hidden="false" customHeight="false" outlineLevel="0" collapsed="false">
      <c r="A130" s="49" t="s">
        <v>141</v>
      </c>
      <c r="B130" s="29" t="s">
        <v>327</v>
      </c>
      <c r="C130" s="49" t="s">
        <v>328</v>
      </c>
      <c r="D130" s="50" t="n">
        <v>1256.94</v>
      </c>
      <c r="E130" s="51" t="n">
        <f aca="false">'Analisa Harga Satuan'!$F$310</f>
        <v>23191</v>
      </c>
      <c r="F130" s="52" t="n">
        <f aca="false">ROUND(D130*E130,0)</f>
        <v>29149696</v>
      </c>
      <c r="G130" s="49" t="s">
        <v>329</v>
      </c>
      <c r="H130" s="53" t="s">
        <v>305</v>
      </c>
    </row>
    <row r="131" customFormat="false" ht="15" hidden="false" customHeight="false" outlineLevel="0" collapsed="false">
      <c r="A131" s="49" t="s">
        <v>143</v>
      </c>
      <c r="B131" s="29" t="s">
        <v>330</v>
      </c>
      <c r="C131" s="49" t="s">
        <v>331</v>
      </c>
      <c r="D131" s="50" t="n">
        <v>46.75</v>
      </c>
      <c r="E131" s="51" t="n">
        <f aca="false">'Analisa Harga Satuan'!$F$330</f>
        <v>398959</v>
      </c>
      <c r="F131" s="52" t="n">
        <f aca="false">ROUND(D131*E131,0)</f>
        <v>18651333</v>
      </c>
      <c r="G131" s="49" t="s">
        <v>332</v>
      </c>
      <c r="H131" s="53" t="s">
        <v>305</v>
      </c>
    </row>
    <row r="132" customFormat="false" ht="15" hidden="false" customHeight="false" outlineLevel="0" collapsed="false">
      <c r="A132" s="60" t="s">
        <v>111</v>
      </c>
      <c r="B132" s="61" t="s">
        <v>358</v>
      </c>
    </row>
    <row r="133" customFormat="false" ht="15" hidden="false" customHeight="false" outlineLevel="0" collapsed="false">
      <c r="A133" s="49" t="s">
        <v>139</v>
      </c>
      <c r="B133" s="29" t="s">
        <v>355</v>
      </c>
      <c r="C133" s="49" t="s">
        <v>303</v>
      </c>
      <c r="D133" s="50" t="n">
        <v>5.01</v>
      </c>
      <c r="E133" s="51" t="n">
        <f aca="false">'Analisa Harga Satuan'!$F$272</f>
        <v>1747048</v>
      </c>
      <c r="F133" s="52" t="n">
        <f aca="false">ROUND(D133*E133,0)</f>
        <v>8752710</v>
      </c>
      <c r="G133" s="49" t="s">
        <v>351</v>
      </c>
      <c r="H133" s="53" t="s">
        <v>305</v>
      </c>
    </row>
    <row r="134" customFormat="false" ht="15" hidden="false" customHeight="false" outlineLevel="0" collapsed="false">
      <c r="A134" s="49" t="s">
        <v>141</v>
      </c>
      <c r="B134" s="29" t="s">
        <v>327</v>
      </c>
      <c r="C134" s="49" t="s">
        <v>328</v>
      </c>
      <c r="D134" s="50" t="n">
        <v>260.91</v>
      </c>
      <c r="E134" s="51" t="n">
        <f aca="false">'Analisa Harga Satuan'!$F$310</f>
        <v>23191</v>
      </c>
      <c r="F134" s="52" t="n">
        <f aca="false">ROUND(D134*E134,0)</f>
        <v>6050764</v>
      </c>
      <c r="G134" s="49" t="s">
        <v>329</v>
      </c>
      <c r="H134" s="53" t="s">
        <v>305</v>
      </c>
    </row>
    <row r="135" customFormat="false" ht="15" hidden="false" customHeight="false" outlineLevel="0" collapsed="false">
      <c r="A135" s="49" t="s">
        <v>143</v>
      </c>
      <c r="B135" s="29" t="s">
        <v>330</v>
      </c>
      <c r="C135" s="49" t="s">
        <v>331</v>
      </c>
      <c r="D135" s="50" t="n">
        <v>39.66</v>
      </c>
      <c r="E135" s="51" t="n">
        <f aca="false">'Analisa Harga Satuan'!$F$330</f>
        <v>398959</v>
      </c>
      <c r="F135" s="52" t="n">
        <f aca="false">ROUND(D135*E135,0)</f>
        <v>15822714</v>
      </c>
      <c r="G135" s="49" t="s">
        <v>332</v>
      </c>
      <c r="H135" s="53" t="s">
        <v>305</v>
      </c>
    </row>
    <row r="136" customFormat="false" ht="15" hidden="false" customHeight="false" outlineLevel="0" collapsed="false">
      <c r="A136" s="60" t="s">
        <v>119</v>
      </c>
      <c r="B136" s="61" t="s">
        <v>359</v>
      </c>
    </row>
    <row r="137" customFormat="false" ht="15" hidden="false" customHeight="false" outlineLevel="0" collapsed="false">
      <c r="A137" s="49" t="s">
        <v>139</v>
      </c>
      <c r="B137" s="29" t="s">
        <v>355</v>
      </c>
      <c r="C137" s="49" t="s">
        <v>303</v>
      </c>
      <c r="D137" s="50" t="n">
        <v>0.96</v>
      </c>
      <c r="E137" s="51" t="n">
        <f aca="false">'Analisa Harga Satuan'!$F$272</f>
        <v>1747048</v>
      </c>
      <c r="F137" s="52" t="n">
        <f aca="false">ROUND(D137*E137,0)</f>
        <v>1677166</v>
      </c>
      <c r="G137" s="49" t="s">
        <v>351</v>
      </c>
      <c r="H137" s="53" t="s">
        <v>305</v>
      </c>
    </row>
    <row r="138" customFormat="false" ht="15" hidden="false" customHeight="false" outlineLevel="0" collapsed="false">
      <c r="A138" s="49" t="s">
        <v>141</v>
      </c>
      <c r="B138" s="29" t="s">
        <v>327</v>
      </c>
      <c r="C138" s="49" t="s">
        <v>328</v>
      </c>
      <c r="D138" s="50" t="n">
        <v>167.82</v>
      </c>
      <c r="E138" s="51" t="n">
        <f aca="false">'Analisa Harga Satuan'!$F$310</f>
        <v>23191</v>
      </c>
      <c r="F138" s="52" t="n">
        <f aca="false">ROUND(D138*E138,0)</f>
        <v>3891914</v>
      </c>
      <c r="G138" s="49" t="s">
        <v>329</v>
      </c>
      <c r="H138" s="53" t="s">
        <v>305</v>
      </c>
    </row>
    <row r="139" customFormat="false" ht="15" hidden="false" customHeight="false" outlineLevel="0" collapsed="false">
      <c r="A139" s="49" t="s">
        <v>143</v>
      </c>
      <c r="B139" s="29" t="s">
        <v>330</v>
      </c>
      <c r="C139" s="49" t="s">
        <v>331</v>
      </c>
      <c r="D139" s="50" t="n">
        <v>12.34</v>
      </c>
      <c r="E139" s="51" t="n">
        <f aca="false">'Analisa Harga Satuan'!$F$330</f>
        <v>398959</v>
      </c>
      <c r="F139" s="52" t="n">
        <f aca="false">ROUND(D139*E139,0)</f>
        <v>4923154</v>
      </c>
      <c r="G139" s="49" t="s">
        <v>332</v>
      </c>
      <c r="H139" s="53" t="s">
        <v>305</v>
      </c>
    </row>
    <row r="140" customFormat="false" ht="15" hidden="false" customHeight="false" outlineLevel="0" collapsed="false">
      <c r="A140" s="60" t="s">
        <v>127</v>
      </c>
      <c r="B140" s="61" t="s">
        <v>360</v>
      </c>
    </row>
    <row r="141" customFormat="false" ht="15" hidden="false" customHeight="false" outlineLevel="0" collapsed="false">
      <c r="A141" s="49" t="s">
        <v>139</v>
      </c>
      <c r="B141" s="29" t="s">
        <v>361</v>
      </c>
      <c r="C141" s="49" t="s">
        <v>303</v>
      </c>
      <c r="D141" s="50" t="n">
        <v>0.27</v>
      </c>
      <c r="E141" s="51" t="n">
        <f aca="false">'Analisa Harga Satuan'!$F$250</f>
        <v>1605610</v>
      </c>
      <c r="F141" s="52" t="n">
        <f aca="false">ROUND(D141*E141,0)</f>
        <v>433515</v>
      </c>
      <c r="G141" s="49" t="s">
        <v>362</v>
      </c>
      <c r="H141" s="53" t="s">
        <v>305</v>
      </c>
    </row>
    <row r="142" customFormat="false" ht="15" hidden="false" customHeight="false" outlineLevel="0" collapsed="false">
      <c r="A142" s="49" t="s">
        <v>141</v>
      </c>
      <c r="B142" s="29" t="s">
        <v>327</v>
      </c>
      <c r="C142" s="49" t="s">
        <v>328</v>
      </c>
      <c r="D142" s="50" t="n">
        <v>40.5</v>
      </c>
      <c r="E142" s="51" t="n">
        <f aca="false">'Analisa Harga Satuan'!$F$310</f>
        <v>23191</v>
      </c>
      <c r="F142" s="52" t="n">
        <f aca="false">ROUND(D142*E142,0)</f>
        <v>939236</v>
      </c>
      <c r="G142" s="49" t="s">
        <v>329</v>
      </c>
      <c r="H142" s="53" t="s">
        <v>305</v>
      </c>
    </row>
    <row r="143" customFormat="false" ht="15" hidden="false" customHeight="false" outlineLevel="0" collapsed="false">
      <c r="A143" s="49" t="s">
        <v>143</v>
      </c>
      <c r="B143" s="29" t="s">
        <v>330</v>
      </c>
      <c r="C143" s="49" t="s">
        <v>331</v>
      </c>
      <c r="D143" s="50" t="n">
        <v>3.38</v>
      </c>
      <c r="E143" s="51" t="n">
        <f aca="false">'Analisa Harga Satuan'!$F$330</f>
        <v>398959</v>
      </c>
      <c r="F143" s="52" t="n">
        <f aca="false">ROUND(D143*E143,0)</f>
        <v>1348481</v>
      </c>
      <c r="G143" s="49" t="s">
        <v>332</v>
      </c>
      <c r="H143" s="53" t="s">
        <v>305</v>
      </c>
    </row>
    <row r="144" customFormat="false" ht="15" hidden="false" customHeight="false" outlineLevel="0" collapsed="false">
      <c r="A144" s="60" t="s">
        <v>137</v>
      </c>
      <c r="B144" s="61" t="s">
        <v>363</v>
      </c>
    </row>
    <row r="145" customFormat="false" ht="15" hidden="false" customHeight="false" outlineLevel="0" collapsed="false">
      <c r="A145" s="49" t="s">
        <v>139</v>
      </c>
      <c r="B145" s="29" t="s">
        <v>361</v>
      </c>
      <c r="C145" s="49" t="s">
        <v>303</v>
      </c>
      <c r="D145" s="50" t="n">
        <v>0.47</v>
      </c>
      <c r="E145" s="51" t="n">
        <f aca="false">'Analisa Harga Satuan'!$F$250</f>
        <v>1605610</v>
      </c>
      <c r="F145" s="52" t="n">
        <f aca="false">ROUND(D145*E145,0)</f>
        <v>754637</v>
      </c>
      <c r="G145" s="49" t="s">
        <v>362</v>
      </c>
      <c r="H145" s="53" t="s">
        <v>305</v>
      </c>
    </row>
    <row r="146" customFormat="false" ht="15" hidden="false" customHeight="false" outlineLevel="0" collapsed="false">
      <c r="A146" s="49" t="s">
        <v>141</v>
      </c>
      <c r="B146" s="29" t="s">
        <v>327</v>
      </c>
      <c r="C146" s="49" t="s">
        <v>328</v>
      </c>
      <c r="D146" s="50" t="n">
        <v>50.27</v>
      </c>
      <c r="E146" s="51" t="n">
        <f aca="false">'Analisa Harga Satuan'!$F$310</f>
        <v>23191</v>
      </c>
      <c r="F146" s="52" t="n">
        <f aca="false">ROUND(D146*E146,0)</f>
        <v>1165812</v>
      </c>
      <c r="G146" s="49" t="s">
        <v>329</v>
      </c>
      <c r="H146" s="53" t="s">
        <v>305</v>
      </c>
    </row>
    <row r="147" customFormat="false" ht="15" hidden="false" customHeight="false" outlineLevel="0" collapsed="false">
      <c r="A147" s="49" t="s">
        <v>143</v>
      </c>
      <c r="B147" s="29" t="s">
        <v>330</v>
      </c>
      <c r="C147" s="49" t="s">
        <v>331</v>
      </c>
      <c r="D147" s="50" t="n">
        <v>10.6</v>
      </c>
      <c r="E147" s="51" t="n">
        <f aca="false">'Analisa Harga Satuan'!$F$330</f>
        <v>398959</v>
      </c>
      <c r="F147" s="52" t="n">
        <f aca="false">ROUND(D147*E147,0)</f>
        <v>4228965</v>
      </c>
      <c r="G147" s="49" t="s">
        <v>332</v>
      </c>
      <c r="H147" s="53" t="s">
        <v>305</v>
      </c>
    </row>
    <row r="148" customFormat="false" ht="15" hidden="false" customHeight="false" outlineLevel="0" collapsed="false">
      <c r="A148" s="60" t="s">
        <v>364</v>
      </c>
      <c r="B148" s="61" t="s">
        <v>365</v>
      </c>
    </row>
    <row r="149" customFormat="false" ht="15" hidden="false" customHeight="false" outlineLevel="0" collapsed="false">
      <c r="A149" s="49" t="s">
        <v>139</v>
      </c>
      <c r="B149" s="29" t="s">
        <v>366</v>
      </c>
      <c r="C149" s="49" t="s">
        <v>367</v>
      </c>
      <c r="D149" s="50" t="n">
        <v>217.33</v>
      </c>
      <c r="E149" s="51" t="n">
        <f aca="false">'Analisa Harga Satuan'!$F$355</f>
        <v>246954</v>
      </c>
      <c r="F149" s="52" t="n">
        <f aca="false">ROUND(D149*E149,0)</f>
        <v>53670513</v>
      </c>
      <c r="G149" s="49" t="s">
        <v>368</v>
      </c>
      <c r="H149" s="53" t="s">
        <v>305</v>
      </c>
    </row>
    <row r="150" customFormat="false" ht="25.5" hidden="false" customHeight="true" outlineLevel="0" collapsed="false">
      <c r="A150" s="49" t="s">
        <v>141</v>
      </c>
      <c r="B150" s="29" t="s">
        <v>369</v>
      </c>
      <c r="C150" s="49" t="s">
        <v>367</v>
      </c>
      <c r="D150" s="50" t="n">
        <v>80</v>
      </c>
      <c r="E150" s="51" t="n">
        <f aca="false">'Analisa Harga Satuan'!$F$366</f>
        <v>238292</v>
      </c>
      <c r="F150" s="52" t="n">
        <f aca="false">ROUND(D150*E150,0)</f>
        <v>19063360</v>
      </c>
      <c r="G150" s="49" t="s">
        <v>370</v>
      </c>
      <c r="H150" s="53" t="s">
        <v>305</v>
      </c>
    </row>
    <row r="151" customFormat="false" ht="15" hidden="false" customHeight="false" outlineLevel="0" collapsed="false">
      <c r="A151" s="60" t="s">
        <v>371</v>
      </c>
      <c r="B151" s="61" t="s">
        <v>372</v>
      </c>
    </row>
    <row r="152" customFormat="false" ht="15" hidden="false" customHeight="false" outlineLevel="0" collapsed="false">
      <c r="A152" s="60" t="s">
        <v>78</v>
      </c>
      <c r="B152" s="61" t="s">
        <v>373</v>
      </c>
    </row>
    <row r="153" customFormat="false" ht="15" hidden="false" customHeight="false" outlineLevel="0" collapsed="false">
      <c r="A153" s="49" t="s">
        <v>139</v>
      </c>
      <c r="B153" s="29" t="s">
        <v>355</v>
      </c>
      <c r="C153" s="49" t="s">
        <v>303</v>
      </c>
      <c r="D153" s="50" t="n">
        <v>54.61</v>
      </c>
      <c r="E153" s="51" t="n">
        <f aca="false">'Analisa Harga Satuan'!$F$272</f>
        <v>1747048</v>
      </c>
      <c r="F153" s="52" t="n">
        <f aca="false">ROUND(D153*E153,0)</f>
        <v>95406291</v>
      </c>
      <c r="G153" s="49" t="s">
        <v>351</v>
      </c>
      <c r="H153" s="53" t="s">
        <v>305</v>
      </c>
    </row>
    <row r="154" customFormat="false" ht="15" hidden="false" customHeight="false" outlineLevel="0" collapsed="false">
      <c r="A154" s="49" t="s">
        <v>141</v>
      </c>
      <c r="B154" s="29" t="s">
        <v>327</v>
      </c>
      <c r="C154" s="49" t="s">
        <v>328</v>
      </c>
      <c r="D154" s="50" t="n">
        <v>8840.05</v>
      </c>
      <c r="E154" s="51" t="n">
        <f aca="false">'Analisa Harga Satuan'!$F$310</f>
        <v>23191</v>
      </c>
      <c r="F154" s="52" t="n">
        <f aca="false">ROUND(D154*E154,0)</f>
        <v>205009600</v>
      </c>
      <c r="G154" s="49" t="s">
        <v>329</v>
      </c>
      <c r="H154" s="53" t="s">
        <v>305</v>
      </c>
    </row>
    <row r="155" customFormat="false" ht="15" hidden="false" customHeight="false" outlineLevel="0" collapsed="false">
      <c r="A155" s="49" t="s">
        <v>143</v>
      </c>
      <c r="B155" s="29" t="s">
        <v>330</v>
      </c>
      <c r="C155" s="49" t="s">
        <v>331</v>
      </c>
      <c r="D155" s="50" t="n">
        <v>420.08</v>
      </c>
      <c r="E155" s="51" t="n">
        <f aca="false">'Analisa Harga Satuan'!$F$330</f>
        <v>398959</v>
      </c>
      <c r="F155" s="52" t="n">
        <f aca="false">ROUND(D155*E155,0)</f>
        <v>167594697</v>
      </c>
      <c r="G155" s="49" t="s">
        <v>332</v>
      </c>
      <c r="H155" s="53" t="s">
        <v>305</v>
      </c>
    </row>
    <row r="156" customFormat="false" ht="15" hidden="false" customHeight="false" outlineLevel="0" collapsed="false">
      <c r="A156" s="60" t="s">
        <v>93</v>
      </c>
      <c r="B156" s="61" t="s">
        <v>356</v>
      </c>
    </row>
    <row r="157" customFormat="false" ht="15" hidden="false" customHeight="false" outlineLevel="0" collapsed="false">
      <c r="A157" s="49" t="s">
        <v>139</v>
      </c>
      <c r="B157" s="29" t="s">
        <v>355</v>
      </c>
      <c r="C157" s="49" t="s">
        <v>303</v>
      </c>
      <c r="D157" s="50" t="n">
        <v>31.5</v>
      </c>
      <c r="E157" s="51" t="n">
        <f aca="false">'Analisa Harga Satuan'!$F$272</f>
        <v>1747048</v>
      </c>
      <c r="F157" s="52" t="n">
        <f aca="false">ROUND(D157*E157,0)</f>
        <v>55032012</v>
      </c>
      <c r="G157" s="49" t="s">
        <v>351</v>
      </c>
      <c r="H157" s="53" t="s">
        <v>305</v>
      </c>
    </row>
    <row r="158" customFormat="false" ht="15" hidden="false" customHeight="false" outlineLevel="0" collapsed="false">
      <c r="A158" s="49" t="s">
        <v>141</v>
      </c>
      <c r="B158" s="29" t="s">
        <v>327</v>
      </c>
      <c r="C158" s="49" t="s">
        <v>328</v>
      </c>
      <c r="D158" s="50" t="n">
        <v>5695.99</v>
      </c>
      <c r="E158" s="51" t="n">
        <f aca="false">'Analisa Harga Satuan'!$F$310</f>
        <v>23191</v>
      </c>
      <c r="F158" s="52" t="n">
        <f aca="false">ROUND(D158*E158,0)</f>
        <v>132095704</v>
      </c>
      <c r="G158" s="49" t="s">
        <v>329</v>
      </c>
      <c r="H158" s="53" t="s">
        <v>305</v>
      </c>
    </row>
    <row r="159" customFormat="false" ht="15" hidden="false" customHeight="false" outlineLevel="0" collapsed="false">
      <c r="A159" s="49" t="s">
        <v>143</v>
      </c>
      <c r="B159" s="29" t="s">
        <v>330</v>
      </c>
      <c r="C159" s="49" t="s">
        <v>331</v>
      </c>
      <c r="D159" s="50" t="n">
        <v>252</v>
      </c>
      <c r="E159" s="51" t="n">
        <f aca="false">'Analisa Harga Satuan'!$F$330</f>
        <v>398959</v>
      </c>
      <c r="F159" s="52" t="n">
        <f aca="false">ROUND(D159*E159,0)</f>
        <v>100537668</v>
      </c>
      <c r="G159" s="49" t="s">
        <v>332</v>
      </c>
      <c r="H159" s="53" t="s">
        <v>305</v>
      </c>
    </row>
    <row r="160" customFormat="false" ht="15" hidden="false" customHeight="false" outlineLevel="0" collapsed="false">
      <c r="A160" s="60" t="s">
        <v>102</v>
      </c>
      <c r="B160" s="61" t="s">
        <v>374</v>
      </c>
    </row>
    <row r="161" customFormat="false" ht="15" hidden="false" customHeight="false" outlineLevel="0" collapsed="false">
      <c r="A161" s="49" t="s">
        <v>139</v>
      </c>
      <c r="B161" s="29" t="s">
        <v>355</v>
      </c>
      <c r="C161" s="49" t="s">
        <v>303</v>
      </c>
      <c r="D161" s="50" t="n">
        <v>22.36</v>
      </c>
      <c r="E161" s="51" t="n">
        <f aca="false">'Analisa Harga Satuan'!$F$272</f>
        <v>1747048</v>
      </c>
      <c r="F161" s="52" t="n">
        <f aca="false">ROUND(D161*E161,0)</f>
        <v>39063993</v>
      </c>
      <c r="G161" s="49" t="s">
        <v>351</v>
      </c>
      <c r="H161" s="53" t="s">
        <v>305</v>
      </c>
    </row>
    <row r="162" customFormat="false" ht="15" hidden="false" customHeight="false" outlineLevel="0" collapsed="false">
      <c r="A162" s="49" t="s">
        <v>141</v>
      </c>
      <c r="B162" s="29" t="s">
        <v>327</v>
      </c>
      <c r="C162" s="49" t="s">
        <v>328</v>
      </c>
      <c r="D162" s="50" t="n">
        <v>4982.42</v>
      </c>
      <c r="E162" s="51" t="n">
        <f aca="false">'Analisa Harga Satuan'!$F$310</f>
        <v>23191</v>
      </c>
      <c r="F162" s="52" t="n">
        <f aca="false">ROUND(D162*E162,0)</f>
        <v>115547302</v>
      </c>
      <c r="G162" s="49" t="s">
        <v>329</v>
      </c>
      <c r="H162" s="53" t="s">
        <v>305</v>
      </c>
    </row>
    <row r="163" customFormat="false" ht="15" hidden="false" customHeight="false" outlineLevel="0" collapsed="false">
      <c r="A163" s="49" t="s">
        <v>143</v>
      </c>
      <c r="B163" s="29" t="s">
        <v>330</v>
      </c>
      <c r="C163" s="49" t="s">
        <v>331</v>
      </c>
      <c r="D163" s="50" t="n">
        <v>223.6</v>
      </c>
      <c r="E163" s="51" t="n">
        <f aca="false">'Analisa Harga Satuan'!$F$330</f>
        <v>398959</v>
      </c>
      <c r="F163" s="52" t="n">
        <f aca="false">ROUND(D163*E163,0)</f>
        <v>89207232</v>
      </c>
      <c r="G163" s="49" t="s">
        <v>332</v>
      </c>
      <c r="H163" s="53" t="s">
        <v>305</v>
      </c>
    </row>
    <row r="164" customFormat="false" ht="15" hidden="false" customHeight="false" outlineLevel="0" collapsed="false">
      <c r="A164" s="60" t="s">
        <v>111</v>
      </c>
      <c r="B164" s="61" t="s">
        <v>375</v>
      </c>
    </row>
    <row r="165" customFormat="false" ht="15" hidden="false" customHeight="false" outlineLevel="0" collapsed="false">
      <c r="A165" s="49" t="s">
        <v>139</v>
      </c>
      <c r="B165" s="29" t="s">
        <v>355</v>
      </c>
      <c r="C165" s="49" t="s">
        <v>303</v>
      </c>
      <c r="D165" s="50" t="n">
        <v>4.57</v>
      </c>
      <c r="E165" s="51" t="n">
        <f aca="false">'Analisa Harga Satuan'!$F$272</f>
        <v>1747048</v>
      </c>
      <c r="F165" s="52" t="n">
        <f aca="false">ROUND(D165*E165,0)</f>
        <v>7984009</v>
      </c>
      <c r="G165" s="49" t="s">
        <v>351</v>
      </c>
      <c r="H165" s="53" t="s">
        <v>305</v>
      </c>
    </row>
    <row r="166" customFormat="false" ht="15" hidden="false" customHeight="false" outlineLevel="0" collapsed="false">
      <c r="A166" s="49" t="s">
        <v>141</v>
      </c>
      <c r="B166" s="29" t="s">
        <v>327</v>
      </c>
      <c r="C166" s="49" t="s">
        <v>328</v>
      </c>
      <c r="D166" s="50" t="n">
        <v>2397.88</v>
      </c>
      <c r="E166" s="51" t="n">
        <f aca="false">'Analisa Harga Satuan'!$F$310</f>
        <v>23191</v>
      </c>
      <c r="F166" s="52" t="n">
        <f aca="false">ROUND(D166*E166,0)</f>
        <v>55609235</v>
      </c>
      <c r="G166" s="49" t="s">
        <v>329</v>
      </c>
      <c r="H166" s="53" t="s">
        <v>305</v>
      </c>
    </row>
    <row r="167" customFormat="false" ht="15" hidden="false" customHeight="false" outlineLevel="0" collapsed="false">
      <c r="A167" s="49" t="s">
        <v>143</v>
      </c>
      <c r="B167" s="29" t="s">
        <v>330</v>
      </c>
      <c r="C167" s="49" t="s">
        <v>331</v>
      </c>
      <c r="D167" s="50" t="n">
        <v>47.99</v>
      </c>
      <c r="E167" s="51" t="n">
        <f aca="false">'Analisa Harga Satuan'!$F$330</f>
        <v>398959</v>
      </c>
      <c r="F167" s="52" t="n">
        <f aca="false">ROUND(D167*E167,0)</f>
        <v>19146042</v>
      </c>
      <c r="G167" s="49" t="s">
        <v>332</v>
      </c>
      <c r="H167" s="53" t="s">
        <v>305</v>
      </c>
    </row>
    <row r="168" customFormat="false" ht="15" hidden="false" customHeight="false" outlineLevel="0" collapsed="false">
      <c r="A168" s="60" t="s">
        <v>119</v>
      </c>
      <c r="B168" s="61" t="s">
        <v>376</v>
      </c>
    </row>
    <row r="169" customFormat="false" ht="15" hidden="false" customHeight="false" outlineLevel="0" collapsed="false">
      <c r="A169" s="49" t="s">
        <v>139</v>
      </c>
      <c r="B169" s="29" t="s">
        <v>355</v>
      </c>
      <c r="C169" s="49" t="s">
        <v>303</v>
      </c>
      <c r="D169" s="50" t="n">
        <v>7.09</v>
      </c>
      <c r="E169" s="51" t="n">
        <f aca="false">'Analisa Harga Satuan'!$F$272</f>
        <v>1747048</v>
      </c>
      <c r="F169" s="52" t="n">
        <f aca="false">ROUND(D169*E169,0)</f>
        <v>12386570</v>
      </c>
      <c r="G169" s="49" t="s">
        <v>351</v>
      </c>
      <c r="H169" s="53" t="s">
        <v>305</v>
      </c>
    </row>
    <row r="170" customFormat="false" ht="15" hidden="false" customHeight="false" outlineLevel="0" collapsed="false">
      <c r="A170" s="49" t="s">
        <v>141</v>
      </c>
      <c r="B170" s="29" t="s">
        <v>327</v>
      </c>
      <c r="C170" s="49" t="s">
        <v>328</v>
      </c>
      <c r="D170" s="50" t="n">
        <v>2551.87</v>
      </c>
      <c r="E170" s="51" t="n">
        <f aca="false">'Analisa Harga Satuan'!$F$310</f>
        <v>23191</v>
      </c>
      <c r="F170" s="52" t="n">
        <f aca="false">ROUND(D170*E170,0)</f>
        <v>59180417</v>
      </c>
      <c r="G170" s="49" t="s">
        <v>329</v>
      </c>
      <c r="H170" s="53" t="s">
        <v>305</v>
      </c>
    </row>
    <row r="171" customFormat="false" ht="15" hidden="false" customHeight="false" outlineLevel="0" collapsed="false">
      <c r="A171" s="49" t="s">
        <v>143</v>
      </c>
      <c r="B171" s="29" t="s">
        <v>330</v>
      </c>
      <c r="C171" s="49" t="s">
        <v>331</v>
      </c>
      <c r="D171" s="50" t="n">
        <v>94.53</v>
      </c>
      <c r="E171" s="51" t="n">
        <f aca="false">'Analisa Harga Satuan'!$F$330</f>
        <v>398959</v>
      </c>
      <c r="F171" s="52" t="n">
        <f aca="false">ROUND(D171*E171,0)</f>
        <v>37713594</v>
      </c>
      <c r="G171" s="49" t="s">
        <v>332</v>
      </c>
      <c r="H171" s="53" t="s">
        <v>305</v>
      </c>
    </row>
    <row r="172" customFormat="false" ht="15" hidden="false" customHeight="false" outlineLevel="0" collapsed="false">
      <c r="A172" s="60" t="s">
        <v>127</v>
      </c>
      <c r="B172" s="61" t="s">
        <v>377</v>
      </c>
    </row>
    <row r="173" customFormat="false" ht="15" hidden="false" customHeight="false" outlineLevel="0" collapsed="false">
      <c r="A173" s="49" t="s">
        <v>139</v>
      </c>
      <c r="B173" s="29" t="s">
        <v>355</v>
      </c>
      <c r="C173" s="49" t="s">
        <v>303</v>
      </c>
      <c r="D173" s="50" t="n">
        <v>7.21</v>
      </c>
      <c r="E173" s="51" t="n">
        <f aca="false">'Analisa Harga Satuan'!$F$272</f>
        <v>1747048</v>
      </c>
      <c r="F173" s="52" t="n">
        <f aca="false">ROUND(D173*E173,0)</f>
        <v>12596216</v>
      </c>
      <c r="G173" s="49" t="s">
        <v>351</v>
      </c>
      <c r="H173" s="53" t="s">
        <v>305</v>
      </c>
    </row>
    <row r="174" customFormat="false" ht="15" hidden="false" customHeight="false" outlineLevel="0" collapsed="false">
      <c r="A174" s="49" t="s">
        <v>141</v>
      </c>
      <c r="B174" s="29" t="s">
        <v>327</v>
      </c>
      <c r="C174" s="49" t="s">
        <v>328</v>
      </c>
      <c r="D174" s="50" t="n">
        <v>1562.08</v>
      </c>
      <c r="E174" s="51" t="n">
        <f aca="false">'Analisa Harga Satuan'!$F$310</f>
        <v>23191</v>
      </c>
      <c r="F174" s="52" t="n">
        <f aca="false">ROUND(D174*E174,0)</f>
        <v>36226197</v>
      </c>
      <c r="G174" s="49" t="s">
        <v>329</v>
      </c>
      <c r="H174" s="53" t="s">
        <v>305</v>
      </c>
    </row>
    <row r="175" customFormat="false" ht="15" hidden="false" customHeight="false" outlineLevel="0" collapsed="false">
      <c r="A175" s="49" t="s">
        <v>143</v>
      </c>
      <c r="B175" s="29" t="s">
        <v>330</v>
      </c>
      <c r="C175" s="49" t="s">
        <v>331</v>
      </c>
      <c r="D175" s="50" t="n">
        <v>108.15</v>
      </c>
      <c r="E175" s="51" t="n">
        <f aca="false">'Analisa Harga Satuan'!$F$330</f>
        <v>398959</v>
      </c>
      <c r="F175" s="52" t="n">
        <f aca="false">ROUND(D175*E175,0)</f>
        <v>43147416</v>
      </c>
      <c r="G175" s="49" t="s">
        <v>332</v>
      </c>
      <c r="H175" s="53" t="s">
        <v>305</v>
      </c>
    </row>
    <row r="176" customFormat="false" ht="15" hidden="false" customHeight="false" outlineLevel="0" collapsed="false">
      <c r="A176" s="60" t="s">
        <v>137</v>
      </c>
      <c r="B176" s="61" t="s">
        <v>378</v>
      </c>
    </row>
    <row r="177" customFormat="false" ht="15" hidden="false" customHeight="false" outlineLevel="0" collapsed="false">
      <c r="A177" s="49" t="s">
        <v>139</v>
      </c>
      <c r="B177" s="29" t="s">
        <v>355</v>
      </c>
      <c r="C177" s="49" t="s">
        <v>303</v>
      </c>
      <c r="D177" s="50" t="n">
        <v>2.55</v>
      </c>
      <c r="E177" s="51" t="n">
        <f aca="false">'Analisa Harga Satuan'!$F$272</f>
        <v>1747048</v>
      </c>
      <c r="F177" s="52" t="n">
        <f aca="false">ROUND(D177*E177,0)</f>
        <v>4454972</v>
      </c>
      <c r="G177" s="49" t="s">
        <v>351</v>
      </c>
      <c r="H177" s="53" t="s">
        <v>305</v>
      </c>
    </row>
    <row r="178" customFormat="false" ht="15" hidden="false" customHeight="false" outlineLevel="0" collapsed="false">
      <c r="A178" s="49" t="s">
        <v>141</v>
      </c>
      <c r="B178" s="29" t="s">
        <v>327</v>
      </c>
      <c r="C178" s="49" t="s">
        <v>328</v>
      </c>
      <c r="D178" s="50" t="n">
        <v>591.89</v>
      </c>
      <c r="E178" s="51" t="n">
        <f aca="false">'Analisa Harga Satuan'!$F$310</f>
        <v>23191</v>
      </c>
      <c r="F178" s="52" t="n">
        <f aca="false">ROUND(D178*E178,0)</f>
        <v>13726521</v>
      </c>
      <c r="G178" s="49" t="s">
        <v>329</v>
      </c>
      <c r="H178" s="53" t="s">
        <v>305</v>
      </c>
    </row>
    <row r="179" customFormat="false" ht="15" hidden="false" customHeight="false" outlineLevel="0" collapsed="false">
      <c r="A179" s="49" t="s">
        <v>143</v>
      </c>
      <c r="B179" s="29" t="s">
        <v>330</v>
      </c>
      <c r="C179" s="49" t="s">
        <v>331</v>
      </c>
      <c r="D179" s="50" t="n">
        <v>22.1</v>
      </c>
      <c r="E179" s="51" t="n">
        <f aca="false">'Analisa Harga Satuan'!$F$330</f>
        <v>398959</v>
      </c>
      <c r="F179" s="52" t="n">
        <f aca="false">ROUND(D179*E179,0)</f>
        <v>8816994</v>
      </c>
      <c r="G179" s="49" t="s">
        <v>332</v>
      </c>
      <c r="H179" s="53" t="s">
        <v>305</v>
      </c>
    </row>
    <row r="180" customFormat="false" ht="15" hidden="false" customHeight="false" outlineLevel="0" collapsed="false">
      <c r="A180" s="60" t="s">
        <v>364</v>
      </c>
      <c r="B180" s="61" t="s">
        <v>379</v>
      </c>
    </row>
    <row r="181" customFormat="false" ht="15" hidden="false" customHeight="false" outlineLevel="0" collapsed="false">
      <c r="A181" s="49" t="s">
        <v>139</v>
      </c>
      <c r="B181" s="29" t="s">
        <v>355</v>
      </c>
      <c r="C181" s="49" t="s">
        <v>303</v>
      </c>
      <c r="D181" s="50" t="n">
        <v>4.62</v>
      </c>
      <c r="E181" s="51" t="n">
        <f aca="false">'Analisa Harga Satuan'!$F$272</f>
        <v>1747048</v>
      </c>
      <c r="F181" s="52" t="n">
        <f aca="false">ROUND(D181*E181,0)</f>
        <v>8071362</v>
      </c>
      <c r="G181" s="49" t="s">
        <v>351</v>
      </c>
      <c r="H181" s="53" t="s">
        <v>305</v>
      </c>
    </row>
    <row r="182" customFormat="false" ht="15" hidden="false" customHeight="false" outlineLevel="0" collapsed="false">
      <c r="A182" s="49" t="s">
        <v>141</v>
      </c>
      <c r="B182" s="29" t="s">
        <v>327</v>
      </c>
      <c r="C182" s="49" t="s">
        <v>328</v>
      </c>
      <c r="D182" s="50" t="n">
        <v>1103.97</v>
      </c>
      <c r="E182" s="51" t="n">
        <f aca="false">'Analisa Harga Satuan'!$F$310</f>
        <v>23191</v>
      </c>
      <c r="F182" s="52" t="n">
        <f aca="false">ROUND(D182*E182,0)</f>
        <v>25602168</v>
      </c>
      <c r="G182" s="49" t="s">
        <v>329</v>
      </c>
      <c r="H182" s="53" t="s">
        <v>305</v>
      </c>
    </row>
    <row r="183" customFormat="false" ht="15" hidden="false" customHeight="false" outlineLevel="0" collapsed="false">
      <c r="A183" s="49" t="s">
        <v>143</v>
      </c>
      <c r="B183" s="29" t="s">
        <v>330</v>
      </c>
      <c r="C183" s="49" t="s">
        <v>331</v>
      </c>
      <c r="D183" s="50" t="n">
        <v>37.4</v>
      </c>
      <c r="E183" s="51" t="n">
        <f aca="false">'Analisa Harga Satuan'!$F$330</f>
        <v>398959</v>
      </c>
      <c r="F183" s="52" t="n">
        <f aca="false">ROUND(D183*E183,0)</f>
        <v>14921067</v>
      </c>
      <c r="G183" s="49" t="s">
        <v>332</v>
      </c>
      <c r="H183" s="53" t="s">
        <v>305</v>
      </c>
    </row>
    <row r="184" customFormat="false" ht="15" hidden="false" customHeight="false" outlineLevel="0" collapsed="false">
      <c r="A184" s="60" t="s">
        <v>75</v>
      </c>
      <c r="B184" s="61" t="s">
        <v>360</v>
      </c>
    </row>
    <row r="185" customFormat="false" ht="15" hidden="false" customHeight="false" outlineLevel="0" collapsed="false">
      <c r="A185" s="49" t="s">
        <v>139</v>
      </c>
      <c r="B185" s="29" t="s">
        <v>361</v>
      </c>
      <c r="C185" s="49" t="s">
        <v>303</v>
      </c>
      <c r="D185" s="50" t="n">
        <v>0.35</v>
      </c>
      <c r="E185" s="51" t="n">
        <f aca="false">'Analisa Harga Satuan'!$F$250</f>
        <v>1605610</v>
      </c>
      <c r="F185" s="52" t="n">
        <f aca="false">ROUND(D185*E185,0)</f>
        <v>561964</v>
      </c>
      <c r="G185" s="49" t="s">
        <v>362</v>
      </c>
      <c r="H185" s="53" t="s">
        <v>305</v>
      </c>
    </row>
    <row r="186" customFormat="false" ht="15" hidden="false" customHeight="false" outlineLevel="0" collapsed="false">
      <c r="A186" s="49" t="s">
        <v>141</v>
      </c>
      <c r="B186" s="29" t="s">
        <v>327</v>
      </c>
      <c r="C186" s="49" t="s">
        <v>328</v>
      </c>
      <c r="D186" s="50" t="n">
        <v>52.5</v>
      </c>
      <c r="E186" s="51" t="n">
        <f aca="false">'Analisa Harga Satuan'!$F$310</f>
        <v>23191</v>
      </c>
      <c r="F186" s="52" t="n">
        <f aca="false">ROUND(D186*E186,0)</f>
        <v>1217528</v>
      </c>
      <c r="G186" s="49" t="s">
        <v>329</v>
      </c>
      <c r="H186" s="53" t="s">
        <v>305</v>
      </c>
    </row>
    <row r="187" customFormat="false" ht="15" hidden="false" customHeight="false" outlineLevel="0" collapsed="false">
      <c r="A187" s="49" t="s">
        <v>143</v>
      </c>
      <c r="B187" s="29" t="s">
        <v>330</v>
      </c>
      <c r="C187" s="49" t="s">
        <v>331</v>
      </c>
      <c r="D187" s="50" t="n">
        <v>4.45</v>
      </c>
      <c r="E187" s="51" t="n">
        <f aca="false">'Analisa Harga Satuan'!$F$330</f>
        <v>398959</v>
      </c>
      <c r="F187" s="52" t="n">
        <f aca="false">ROUND(D187*E187,0)</f>
        <v>1775368</v>
      </c>
      <c r="G187" s="49" t="s">
        <v>332</v>
      </c>
      <c r="H187" s="53" t="s">
        <v>305</v>
      </c>
    </row>
    <row r="188" customFormat="false" ht="15" hidden="false" customHeight="false" outlineLevel="0" collapsed="false">
      <c r="A188" s="60" t="s">
        <v>380</v>
      </c>
      <c r="B188" s="61" t="s">
        <v>363</v>
      </c>
    </row>
    <row r="189" customFormat="false" ht="15" hidden="false" customHeight="false" outlineLevel="0" collapsed="false">
      <c r="A189" s="49" t="s">
        <v>139</v>
      </c>
      <c r="B189" s="29" t="s">
        <v>361</v>
      </c>
      <c r="C189" s="49" t="s">
        <v>303</v>
      </c>
      <c r="D189" s="50" t="n">
        <v>0.43</v>
      </c>
      <c r="E189" s="51" t="n">
        <f aca="false">'Analisa Harga Satuan'!$F$250</f>
        <v>1605610</v>
      </c>
      <c r="F189" s="52" t="n">
        <f aca="false">ROUND(D189*E189,0)</f>
        <v>690412</v>
      </c>
      <c r="G189" s="49" t="s">
        <v>362</v>
      </c>
      <c r="H189" s="53" t="s">
        <v>305</v>
      </c>
    </row>
    <row r="190" customFormat="false" ht="15" hidden="false" customHeight="false" outlineLevel="0" collapsed="false">
      <c r="A190" s="49" t="s">
        <v>141</v>
      </c>
      <c r="B190" s="29" t="s">
        <v>327</v>
      </c>
      <c r="C190" s="49" t="s">
        <v>328</v>
      </c>
      <c r="D190" s="50" t="n">
        <v>44.8</v>
      </c>
      <c r="E190" s="51" t="n">
        <f aca="false">'Analisa Harga Satuan'!$F$310</f>
        <v>23191</v>
      </c>
      <c r="F190" s="52" t="n">
        <f aca="false">ROUND(D190*E190,0)</f>
        <v>1038957</v>
      </c>
      <c r="G190" s="49" t="s">
        <v>329</v>
      </c>
      <c r="H190" s="53" t="s">
        <v>305</v>
      </c>
    </row>
    <row r="191" customFormat="false" ht="15" hidden="false" customHeight="false" outlineLevel="0" collapsed="false">
      <c r="A191" s="49" t="s">
        <v>143</v>
      </c>
      <c r="B191" s="29" t="s">
        <v>330</v>
      </c>
      <c r="C191" s="49" t="s">
        <v>331</v>
      </c>
      <c r="D191" s="50" t="n">
        <v>9.58</v>
      </c>
      <c r="E191" s="51" t="n">
        <f aca="false">'Analisa Harga Satuan'!$F$330</f>
        <v>398959</v>
      </c>
      <c r="F191" s="52" t="n">
        <f aca="false">ROUND(D191*E191,0)</f>
        <v>3822027</v>
      </c>
      <c r="G191" s="49" t="s">
        <v>332</v>
      </c>
      <c r="H191" s="53" t="s">
        <v>305</v>
      </c>
    </row>
    <row r="192" customFormat="false" ht="15" hidden="false" customHeight="false" outlineLevel="0" collapsed="false">
      <c r="A192" s="60" t="s">
        <v>381</v>
      </c>
      <c r="B192" s="61" t="s">
        <v>365</v>
      </c>
    </row>
    <row r="193" customFormat="false" ht="15" hidden="false" customHeight="false" outlineLevel="0" collapsed="false">
      <c r="A193" s="49" t="s">
        <v>139</v>
      </c>
      <c r="B193" s="29" t="s">
        <v>366</v>
      </c>
      <c r="C193" s="49" t="s">
        <v>367</v>
      </c>
      <c r="D193" s="50" t="n">
        <v>305.78</v>
      </c>
      <c r="E193" s="51" t="n">
        <f aca="false">'Analisa Harga Satuan'!$F$355</f>
        <v>246954</v>
      </c>
      <c r="F193" s="52" t="n">
        <f aca="false">ROUND(D193*E193,0)</f>
        <v>75513594</v>
      </c>
      <c r="G193" s="49" t="s">
        <v>368</v>
      </c>
      <c r="H193" s="53" t="s">
        <v>305</v>
      </c>
    </row>
    <row r="194" customFormat="false" ht="25.5" hidden="false" customHeight="true" outlineLevel="0" collapsed="false">
      <c r="A194" s="49" t="s">
        <v>141</v>
      </c>
      <c r="B194" s="29" t="s">
        <v>369</v>
      </c>
      <c r="C194" s="49" t="s">
        <v>367</v>
      </c>
      <c r="D194" s="50" t="n">
        <v>83.56</v>
      </c>
      <c r="E194" s="51" t="n">
        <f aca="false">'Analisa Harga Satuan'!$F$366</f>
        <v>238292</v>
      </c>
      <c r="F194" s="52" t="n">
        <f aca="false">ROUND(D194*E194,0)</f>
        <v>19911680</v>
      </c>
      <c r="G194" s="49" t="s">
        <v>370</v>
      </c>
      <c r="H194" s="53" t="s">
        <v>305</v>
      </c>
    </row>
    <row r="195" customFormat="false" ht="15" hidden="false" customHeight="false" outlineLevel="0" collapsed="false">
      <c r="A195" s="60" t="s">
        <v>382</v>
      </c>
      <c r="B195" s="61" t="s">
        <v>383</v>
      </c>
    </row>
    <row r="196" customFormat="false" ht="15" hidden="false" customHeight="false" outlineLevel="0" collapsed="false">
      <c r="A196" s="60" t="s">
        <v>78</v>
      </c>
      <c r="B196" s="61" t="s">
        <v>384</v>
      </c>
    </row>
    <row r="197" customFormat="false" ht="15" hidden="false" customHeight="false" outlineLevel="0" collapsed="false">
      <c r="A197" s="49" t="s">
        <v>139</v>
      </c>
      <c r="B197" s="29" t="s">
        <v>355</v>
      </c>
      <c r="C197" s="49" t="s">
        <v>303</v>
      </c>
      <c r="D197" s="50" t="n">
        <v>4.64</v>
      </c>
      <c r="E197" s="51" t="n">
        <f aca="false">'Analisa Harga Satuan'!$F$272</f>
        <v>1747048</v>
      </c>
      <c r="F197" s="52" t="n">
        <f aca="false">ROUND(D197*E197,0)</f>
        <v>8106303</v>
      </c>
      <c r="G197" s="49" t="s">
        <v>351</v>
      </c>
      <c r="H197" s="53" t="s">
        <v>305</v>
      </c>
    </row>
    <row r="198" customFormat="false" ht="15" hidden="false" customHeight="false" outlineLevel="0" collapsed="false">
      <c r="A198" s="49" t="s">
        <v>141</v>
      </c>
      <c r="B198" s="29" t="s">
        <v>327</v>
      </c>
      <c r="C198" s="49" t="s">
        <v>328</v>
      </c>
      <c r="D198" s="50" t="n">
        <v>601.11</v>
      </c>
      <c r="E198" s="51" t="n">
        <f aca="false">'Analisa Harga Satuan'!$F$310</f>
        <v>23191</v>
      </c>
      <c r="F198" s="52" t="n">
        <f aca="false">ROUND(D198*E198,0)</f>
        <v>13940342</v>
      </c>
      <c r="G198" s="49" t="s">
        <v>329</v>
      </c>
      <c r="H198" s="53" t="s">
        <v>305</v>
      </c>
    </row>
    <row r="199" customFormat="false" ht="15" hidden="false" customHeight="false" outlineLevel="0" collapsed="false">
      <c r="A199" s="49" t="s">
        <v>143</v>
      </c>
      <c r="B199" s="29" t="s">
        <v>330</v>
      </c>
      <c r="C199" s="49" t="s">
        <v>331</v>
      </c>
      <c r="D199" s="50" t="n">
        <v>38.67</v>
      </c>
      <c r="E199" s="51" t="n">
        <f aca="false">'Analisa Harga Satuan'!$F$330</f>
        <v>398959</v>
      </c>
      <c r="F199" s="52" t="n">
        <f aca="false">ROUND(D199*E199,0)</f>
        <v>15427745</v>
      </c>
      <c r="G199" s="49" t="s">
        <v>332</v>
      </c>
      <c r="H199" s="53" t="s">
        <v>305</v>
      </c>
    </row>
    <row r="200" customFormat="false" ht="15" hidden="false" customHeight="false" outlineLevel="0" collapsed="false">
      <c r="A200" s="60" t="s">
        <v>93</v>
      </c>
      <c r="B200" s="61" t="s">
        <v>385</v>
      </c>
    </row>
    <row r="201" customFormat="false" ht="15" hidden="false" customHeight="false" outlineLevel="0" collapsed="false">
      <c r="A201" s="49" t="s">
        <v>139</v>
      </c>
      <c r="B201" s="29" t="s">
        <v>355</v>
      </c>
      <c r="C201" s="49" t="s">
        <v>303</v>
      </c>
      <c r="D201" s="50" t="n">
        <v>10.13</v>
      </c>
      <c r="E201" s="51" t="n">
        <f aca="false">'Analisa Harga Satuan'!$F$272</f>
        <v>1747048</v>
      </c>
      <c r="F201" s="52" t="n">
        <f aca="false">ROUND(D201*E201,0)</f>
        <v>17697596</v>
      </c>
      <c r="G201" s="49" t="s">
        <v>351</v>
      </c>
      <c r="H201" s="53" t="s">
        <v>305</v>
      </c>
    </row>
    <row r="202" customFormat="false" ht="15" hidden="false" customHeight="false" outlineLevel="0" collapsed="false">
      <c r="A202" s="49" t="s">
        <v>141</v>
      </c>
      <c r="B202" s="29" t="s">
        <v>327</v>
      </c>
      <c r="C202" s="49" t="s">
        <v>328</v>
      </c>
      <c r="D202" s="50" t="n">
        <v>1418.6</v>
      </c>
      <c r="E202" s="51" t="n">
        <f aca="false">'Analisa Harga Satuan'!$F$310</f>
        <v>23191</v>
      </c>
      <c r="F202" s="52" t="n">
        <f aca="false">ROUND(D202*E202,0)</f>
        <v>32898753</v>
      </c>
      <c r="G202" s="49" t="s">
        <v>329</v>
      </c>
      <c r="H202" s="53" t="s">
        <v>305</v>
      </c>
    </row>
    <row r="203" customFormat="false" ht="15" hidden="false" customHeight="false" outlineLevel="0" collapsed="false">
      <c r="A203" s="49" t="s">
        <v>143</v>
      </c>
      <c r="B203" s="29" t="s">
        <v>330</v>
      </c>
      <c r="C203" s="49" t="s">
        <v>331</v>
      </c>
      <c r="D203" s="50" t="n">
        <v>101.3</v>
      </c>
      <c r="E203" s="51" t="n">
        <f aca="false">'Analisa Harga Satuan'!$F$330</f>
        <v>398959</v>
      </c>
      <c r="F203" s="52" t="n">
        <f aca="false">ROUND(D203*E203,0)</f>
        <v>40414547</v>
      </c>
      <c r="G203" s="49" t="s">
        <v>332</v>
      </c>
      <c r="H203" s="53" t="s">
        <v>305</v>
      </c>
    </row>
    <row r="204" customFormat="false" ht="15" hidden="false" customHeight="false" outlineLevel="0" collapsed="false">
      <c r="A204" s="60" t="s">
        <v>102</v>
      </c>
      <c r="B204" s="61" t="s">
        <v>386</v>
      </c>
    </row>
    <row r="205" customFormat="false" ht="15" hidden="false" customHeight="false" outlineLevel="0" collapsed="false">
      <c r="A205" s="49" t="s">
        <v>139</v>
      </c>
      <c r="B205" s="29" t="s">
        <v>355</v>
      </c>
      <c r="C205" s="49" t="s">
        <v>303</v>
      </c>
      <c r="D205" s="50" t="n">
        <v>4.38</v>
      </c>
      <c r="E205" s="51" t="n">
        <f aca="false">'Analisa Harga Satuan'!$F$272</f>
        <v>1747048</v>
      </c>
      <c r="F205" s="52" t="n">
        <f aca="false">ROUND(D205*E205,0)</f>
        <v>7652070</v>
      </c>
      <c r="G205" s="49" t="s">
        <v>351</v>
      </c>
      <c r="H205" s="53" t="s">
        <v>305</v>
      </c>
    </row>
    <row r="206" customFormat="false" ht="15" hidden="false" customHeight="false" outlineLevel="0" collapsed="false">
      <c r="A206" s="49" t="s">
        <v>141</v>
      </c>
      <c r="B206" s="29" t="s">
        <v>327</v>
      </c>
      <c r="C206" s="49" t="s">
        <v>328</v>
      </c>
      <c r="D206" s="50" t="n">
        <v>957.55</v>
      </c>
      <c r="E206" s="51" t="n">
        <f aca="false">'Analisa Harga Satuan'!$F$310</f>
        <v>23191</v>
      </c>
      <c r="F206" s="52" t="n">
        <f aca="false">ROUND(D206*E206,0)</f>
        <v>22206542</v>
      </c>
      <c r="G206" s="49" t="s">
        <v>329</v>
      </c>
      <c r="H206" s="53" t="s">
        <v>305</v>
      </c>
    </row>
    <row r="207" customFormat="false" ht="15" hidden="false" customHeight="false" outlineLevel="0" collapsed="false">
      <c r="A207" s="49" t="s">
        <v>143</v>
      </c>
      <c r="B207" s="29" t="s">
        <v>330</v>
      </c>
      <c r="C207" s="49" t="s">
        <v>331</v>
      </c>
      <c r="D207" s="50" t="n">
        <v>43.75</v>
      </c>
      <c r="E207" s="51" t="n">
        <f aca="false">'Analisa Harga Satuan'!$F$330</f>
        <v>398959</v>
      </c>
      <c r="F207" s="52" t="n">
        <f aca="false">ROUND(D207*E207,0)</f>
        <v>17454456</v>
      </c>
      <c r="G207" s="49" t="s">
        <v>332</v>
      </c>
      <c r="H207" s="53" t="s">
        <v>305</v>
      </c>
    </row>
    <row r="208" customFormat="false" ht="15" hidden="false" customHeight="false" outlineLevel="0" collapsed="false">
      <c r="A208" s="60" t="s">
        <v>111</v>
      </c>
      <c r="B208" s="61" t="s">
        <v>387</v>
      </c>
    </row>
    <row r="209" customFormat="false" ht="15" hidden="false" customHeight="false" outlineLevel="0" collapsed="false">
      <c r="A209" s="49" t="s">
        <v>139</v>
      </c>
      <c r="B209" s="29" t="s">
        <v>355</v>
      </c>
      <c r="C209" s="49" t="s">
        <v>303</v>
      </c>
      <c r="D209" s="50" t="n">
        <v>18.32</v>
      </c>
      <c r="E209" s="51" t="n">
        <f aca="false">'Analisa Harga Satuan'!$F$272</f>
        <v>1747048</v>
      </c>
      <c r="F209" s="52" t="n">
        <f aca="false">ROUND(D209*E209,0)</f>
        <v>32005919</v>
      </c>
      <c r="G209" s="49" t="s">
        <v>351</v>
      </c>
      <c r="H209" s="53" t="s">
        <v>305</v>
      </c>
    </row>
    <row r="210" customFormat="false" ht="15" hidden="false" customHeight="false" outlineLevel="0" collapsed="false">
      <c r="A210" s="49" t="s">
        <v>141</v>
      </c>
      <c r="B210" s="29" t="s">
        <v>327</v>
      </c>
      <c r="C210" s="49" t="s">
        <v>328</v>
      </c>
      <c r="D210" s="50" t="n">
        <v>3650.22</v>
      </c>
      <c r="E210" s="51" t="n">
        <f aca="false">'Analisa Harga Satuan'!$F$310</f>
        <v>23191</v>
      </c>
      <c r="F210" s="52" t="n">
        <f aca="false">ROUND(D210*E210,0)</f>
        <v>84652252</v>
      </c>
      <c r="G210" s="49" t="s">
        <v>329</v>
      </c>
      <c r="H210" s="53" t="s">
        <v>305</v>
      </c>
    </row>
    <row r="211" customFormat="false" ht="15" hidden="false" customHeight="false" outlineLevel="0" collapsed="false">
      <c r="A211" s="49" t="s">
        <v>143</v>
      </c>
      <c r="B211" s="29" t="s">
        <v>330</v>
      </c>
      <c r="C211" s="49" t="s">
        <v>331</v>
      </c>
      <c r="D211" s="50" t="n">
        <v>192.36</v>
      </c>
      <c r="E211" s="51" t="n">
        <f aca="false">'Analisa Harga Satuan'!$F$330</f>
        <v>398959</v>
      </c>
      <c r="F211" s="52" t="n">
        <f aca="false">ROUND(D211*E211,0)</f>
        <v>76743753</v>
      </c>
      <c r="G211" s="49" t="s">
        <v>332</v>
      </c>
      <c r="H211" s="53" t="s">
        <v>305</v>
      </c>
    </row>
    <row r="212" customFormat="false" ht="15" hidden="false" customHeight="false" outlineLevel="0" collapsed="false">
      <c r="A212" s="60" t="s">
        <v>119</v>
      </c>
      <c r="B212" s="61" t="s">
        <v>388</v>
      </c>
    </row>
    <row r="213" customFormat="false" ht="15" hidden="false" customHeight="false" outlineLevel="0" collapsed="false">
      <c r="A213" s="49" t="s">
        <v>139</v>
      </c>
      <c r="B213" s="29" t="s">
        <v>355</v>
      </c>
      <c r="C213" s="49" t="s">
        <v>303</v>
      </c>
      <c r="D213" s="50" t="n">
        <v>0.39</v>
      </c>
      <c r="E213" s="51" t="n">
        <f aca="false">'Analisa Harga Satuan'!$F$272</f>
        <v>1747048</v>
      </c>
      <c r="F213" s="52" t="n">
        <f aca="false">ROUND(D213*E213,0)</f>
        <v>681349</v>
      </c>
      <c r="G213" s="49" t="s">
        <v>351</v>
      </c>
      <c r="H213" s="53" t="s">
        <v>305</v>
      </c>
    </row>
    <row r="214" customFormat="false" ht="15" hidden="false" customHeight="false" outlineLevel="0" collapsed="false">
      <c r="A214" s="49" t="s">
        <v>141</v>
      </c>
      <c r="B214" s="29" t="s">
        <v>327</v>
      </c>
      <c r="C214" s="49" t="s">
        <v>328</v>
      </c>
      <c r="D214" s="50" t="n">
        <v>85.49</v>
      </c>
      <c r="E214" s="51" t="n">
        <f aca="false">'Analisa Harga Satuan'!$F$310</f>
        <v>23191</v>
      </c>
      <c r="F214" s="52" t="n">
        <f aca="false">ROUND(D214*E214,0)</f>
        <v>1982599</v>
      </c>
      <c r="G214" s="49" t="s">
        <v>329</v>
      </c>
      <c r="H214" s="53" t="s">
        <v>305</v>
      </c>
    </row>
    <row r="215" customFormat="false" ht="15" hidden="false" customHeight="false" outlineLevel="0" collapsed="false">
      <c r="A215" s="49" t="s">
        <v>143</v>
      </c>
      <c r="B215" s="29" t="s">
        <v>330</v>
      </c>
      <c r="C215" s="49" t="s">
        <v>331</v>
      </c>
      <c r="D215" s="50" t="n">
        <v>5.2</v>
      </c>
      <c r="E215" s="51" t="n">
        <f aca="false">'Analisa Harga Satuan'!$F$330</f>
        <v>398959</v>
      </c>
      <c r="F215" s="52" t="n">
        <f aca="false">ROUND(D215*E215,0)</f>
        <v>2074587</v>
      </c>
      <c r="G215" s="49" t="s">
        <v>332</v>
      </c>
      <c r="H215" s="53" t="s">
        <v>305</v>
      </c>
    </row>
    <row r="216" customFormat="false" ht="15" hidden="false" customHeight="false" outlineLevel="0" collapsed="false">
      <c r="A216" s="60" t="s">
        <v>127</v>
      </c>
      <c r="B216" s="61" t="s">
        <v>389</v>
      </c>
    </row>
    <row r="217" customFormat="false" ht="15" hidden="false" customHeight="false" outlineLevel="0" collapsed="false">
      <c r="A217" s="49" t="s">
        <v>139</v>
      </c>
      <c r="B217" s="29" t="s">
        <v>355</v>
      </c>
      <c r="C217" s="49" t="s">
        <v>303</v>
      </c>
      <c r="D217" s="50" t="n">
        <v>5.31</v>
      </c>
      <c r="E217" s="51" t="n">
        <f aca="false">'Analisa Harga Satuan'!$F$272</f>
        <v>1747048</v>
      </c>
      <c r="F217" s="52" t="n">
        <f aca="false">ROUND(D217*E217,0)</f>
        <v>9276825</v>
      </c>
      <c r="G217" s="49" t="s">
        <v>351</v>
      </c>
      <c r="H217" s="53" t="s">
        <v>305</v>
      </c>
    </row>
    <row r="218" customFormat="false" ht="15" hidden="false" customHeight="false" outlineLevel="0" collapsed="false">
      <c r="A218" s="49" t="s">
        <v>141</v>
      </c>
      <c r="B218" s="29" t="s">
        <v>327</v>
      </c>
      <c r="C218" s="49" t="s">
        <v>328</v>
      </c>
      <c r="D218" s="50" t="n">
        <v>633.98</v>
      </c>
      <c r="E218" s="51" t="n">
        <f aca="false">'Analisa Harga Satuan'!$F$310</f>
        <v>23191</v>
      </c>
      <c r="F218" s="52" t="n">
        <f aca="false">ROUND(D218*E218,0)</f>
        <v>14702630</v>
      </c>
      <c r="G218" s="49" t="s">
        <v>329</v>
      </c>
      <c r="H218" s="53" t="s">
        <v>305</v>
      </c>
    </row>
    <row r="219" customFormat="false" ht="15" hidden="false" customHeight="false" outlineLevel="0" collapsed="false">
      <c r="A219" s="49" t="s">
        <v>143</v>
      </c>
      <c r="B219" s="29" t="s">
        <v>330</v>
      </c>
      <c r="C219" s="49" t="s">
        <v>331</v>
      </c>
      <c r="D219" s="50" t="n">
        <v>78.97</v>
      </c>
      <c r="E219" s="51" t="n">
        <f aca="false">'Analisa Harga Satuan'!$F$330</f>
        <v>398959</v>
      </c>
      <c r="F219" s="52" t="n">
        <f aca="false">ROUND(D219*E219,0)</f>
        <v>31505792</v>
      </c>
      <c r="G219" s="49" t="s">
        <v>332</v>
      </c>
      <c r="H219" s="53" t="s">
        <v>305</v>
      </c>
    </row>
    <row r="220" customFormat="false" ht="15" hidden="false" customHeight="false" outlineLevel="0" collapsed="false">
      <c r="A220" s="60" t="s">
        <v>137</v>
      </c>
      <c r="B220" s="61" t="s">
        <v>390</v>
      </c>
    </row>
    <row r="221" customFormat="false" ht="15" hidden="false" customHeight="false" outlineLevel="0" collapsed="false">
      <c r="A221" s="49" t="s">
        <v>139</v>
      </c>
      <c r="B221" s="29" t="s">
        <v>355</v>
      </c>
      <c r="C221" s="49" t="s">
        <v>303</v>
      </c>
      <c r="D221" s="50" t="n">
        <v>1.82</v>
      </c>
      <c r="E221" s="51" t="n">
        <f aca="false">'Analisa Harga Satuan'!$F$272</f>
        <v>1747048</v>
      </c>
      <c r="F221" s="52" t="n">
        <f aca="false">ROUND(D221*E221,0)</f>
        <v>3179627</v>
      </c>
      <c r="G221" s="49" t="s">
        <v>351</v>
      </c>
      <c r="H221" s="53" t="s">
        <v>305</v>
      </c>
    </row>
    <row r="222" customFormat="false" ht="15" hidden="false" customHeight="false" outlineLevel="0" collapsed="false">
      <c r="A222" s="49" t="s">
        <v>141</v>
      </c>
      <c r="B222" s="29" t="s">
        <v>327</v>
      </c>
      <c r="C222" s="49" t="s">
        <v>328</v>
      </c>
      <c r="D222" s="50" t="n">
        <v>308.31</v>
      </c>
      <c r="E222" s="51" t="n">
        <f aca="false">'Analisa Harga Satuan'!$F$310</f>
        <v>23191</v>
      </c>
      <c r="F222" s="52" t="n">
        <f aca="false">ROUND(D222*E222,0)</f>
        <v>7150017</v>
      </c>
      <c r="G222" s="49" t="s">
        <v>329</v>
      </c>
      <c r="H222" s="53" t="s">
        <v>305</v>
      </c>
    </row>
    <row r="223" customFormat="false" ht="15" hidden="false" customHeight="false" outlineLevel="0" collapsed="false">
      <c r="A223" s="49" t="s">
        <v>143</v>
      </c>
      <c r="B223" s="29" t="s">
        <v>330</v>
      </c>
      <c r="C223" s="49" t="s">
        <v>331</v>
      </c>
      <c r="D223" s="50" t="n">
        <v>28.82</v>
      </c>
      <c r="E223" s="51" t="n">
        <f aca="false">'Analisa Harga Satuan'!$F$330</f>
        <v>398959</v>
      </c>
      <c r="F223" s="52" t="n">
        <f aca="false">ROUND(D223*E223,0)</f>
        <v>11497998</v>
      </c>
      <c r="G223" s="49" t="s">
        <v>332</v>
      </c>
      <c r="H223" s="53" t="s">
        <v>305</v>
      </c>
    </row>
    <row r="224" customFormat="false" ht="15" hidden="false" customHeight="false" outlineLevel="0" collapsed="false">
      <c r="A224" s="60" t="s">
        <v>364</v>
      </c>
      <c r="B224" s="61" t="s">
        <v>365</v>
      </c>
    </row>
    <row r="225" customFormat="false" ht="15" hidden="false" customHeight="false" outlineLevel="0" collapsed="false">
      <c r="A225" s="49" t="s">
        <v>139</v>
      </c>
      <c r="B225" s="29" t="s">
        <v>366</v>
      </c>
      <c r="C225" s="49" t="s">
        <v>367</v>
      </c>
      <c r="D225" s="50" t="n">
        <v>103.11</v>
      </c>
      <c r="E225" s="51" t="n">
        <f aca="false">'Analisa Harga Satuan'!$F$355</f>
        <v>246954</v>
      </c>
      <c r="F225" s="52" t="n">
        <f aca="false">ROUND(D225*E225,0)</f>
        <v>25463427</v>
      </c>
      <c r="G225" s="49" t="s">
        <v>368</v>
      </c>
      <c r="H225" s="53" t="s">
        <v>305</v>
      </c>
    </row>
    <row r="226" customFormat="false" ht="25.5" hidden="false" customHeight="true" outlineLevel="0" collapsed="false">
      <c r="A226" s="49" t="s">
        <v>141</v>
      </c>
      <c r="B226" s="29" t="s">
        <v>369</v>
      </c>
      <c r="C226" s="49" t="s">
        <v>367</v>
      </c>
      <c r="D226" s="50" t="n">
        <v>288.89</v>
      </c>
      <c r="E226" s="51" t="n">
        <f aca="false">'Analisa Harga Satuan'!$F$366</f>
        <v>238292</v>
      </c>
      <c r="F226" s="52" t="n">
        <f aca="false">ROUND(D226*E226,0)</f>
        <v>68840176</v>
      </c>
      <c r="G226" s="49" t="s">
        <v>370</v>
      </c>
      <c r="H226" s="53" t="s">
        <v>305</v>
      </c>
    </row>
    <row r="227" customFormat="false" ht="15" hidden="false" customHeight="false" outlineLevel="0" collapsed="false">
      <c r="A227" s="55"/>
      <c r="B227" s="56" t="s">
        <v>391</v>
      </c>
      <c r="C227" s="55"/>
      <c r="D227" s="55"/>
      <c r="E227" s="55"/>
      <c r="F227" s="27" t="n">
        <f aca="false">SUM(F86:F226)</f>
        <v>4859770070</v>
      </c>
      <c r="G227" s="55"/>
      <c r="H227" s="55"/>
    </row>
    <row r="228" customFormat="false" ht="15" hidden="false" customHeight="false" outlineLevel="0" collapsed="false">
      <c r="A228" s="46" t="s">
        <v>84</v>
      </c>
      <c r="B228" s="47" t="s">
        <v>85</v>
      </c>
      <c r="C228" s="48"/>
      <c r="D228" s="48"/>
      <c r="E228" s="48"/>
      <c r="F228" s="48"/>
      <c r="G228" s="48"/>
      <c r="H228" s="48"/>
    </row>
    <row r="229" customFormat="false" ht="15" hidden="false" customHeight="false" outlineLevel="0" collapsed="false">
      <c r="A229" s="60" t="s">
        <v>392</v>
      </c>
      <c r="B229" s="61" t="s">
        <v>393</v>
      </c>
    </row>
    <row r="230" customFormat="false" ht="15" hidden="false" customHeight="false" outlineLevel="0" collapsed="false">
      <c r="A230" s="60" t="s">
        <v>78</v>
      </c>
      <c r="B230" s="61" t="s">
        <v>394</v>
      </c>
    </row>
    <row r="231" customFormat="false" ht="15" hidden="false" customHeight="false" outlineLevel="0" collapsed="false">
      <c r="A231" s="49" t="s">
        <v>139</v>
      </c>
      <c r="B231" s="29" t="s">
        <v>395</v>
      </c>
      <c r="C231" s="49" t="s">
        <v>331</v>
      </c>
      <c r="D231" s="50" t="n">
        <v>641.33</v>
      </c>
      <c r="E231" s="51" t="n">
        <f aca="false">'Analisa Harga Satuan'!$F$416</f>
        <v>265023</v>
      </c>
      <c r="F231" s="52" t="n">
        <f aca="false">ROUND(D231*E231,0)</f>
        <v>169967201</v>
      </c>
      <c r="G231" s="49" t="s">
        <v>396</v>
      </c>
      <c r="H231" s="53" t="s">
        <v>305</v>
      </c>
    </row>
    <row r="232" customFormat="false" ht="15" hidden="false" customHeight="false" outlineLevel="0" collapsed="false">
      <c r="A232" s="49" t="s">
        <v>141</v>
      </c>
      <c r="B232" s="29" t="s">
        <v>397</v>
      </c>
      <c r="C232" s="49" t="s">
        <v>328</v>
      </c>
      <c r="D232" s="50" t="n">
        <v>159.8</v>
      </c>
      <c r="E232" s="51" t="n">
        <f aca="false">'Analisa Harga Satuan'!$F$310</f>
        <v>23191</v>
      </c>
      <c r="F232" s="52" t="n">
        <f aca="false">ROUND(D232*E232,0)</f>
        <v>3705922</v>
      </c>
      <c r="G232" s="49" t="s">
        <v>329</v>
      </c>
      <c r="H232" s="53" t="s">
        <v>305</v>
      </c>
    </row>
    <row r="233" customFormat="false" ht="15" hidden="false" customHeight="false" outlineLevel="0" collapsed="false">
      <c r="A233" s="49" t="s">
        <v>143</v>
      </c>
      <c r="B233" s="29" t="s">
        <v>398</v>
      </c>
      <c r="C233" s="49" t="s">
        <v>331</v>
      </c>
      <c r="D233" s="50" t="n">
        <v>1134.78</v>
      </c>
      <c r="E233" s="51" t="n">
        <f aca="false">'Analisa Harga Satuan'!$F$432</f>
        <v>103703</v>
      </c>
      <c r="F233" s="52" t="n">
        <f aca="false">ROUND(D233*E233,0)</f>
        <v>117680090</v>
      </c>
      <c r="G233" s="49" t="s">
        <v>399</v>
      </c>
      <c r="H233" s="53" t="s">
        <v>305</v>
      </c>
    </row>
    <row r="234" customFormat="false" ht="15" hidden="false" customHeight="false" outlineLevel="0" collapsed="false">
      <c r="A234" s="49" t="s">
        <v>145</v>
      </c>
      <c r="B234" s="29" t="s">
        <v>400</v>
      </c>
      <c r="C234" s="49" t="s">
        <v>331</v>
      </c>
      <c r="D234" s="50" t="n">
        <v>64.35</v>
      </c>
      <c r="E234" s="51" t="n">
        <f aca="false">'Analisa Harga Satuan'!$F$448</f>
        <v>107987</v>
      </c>
      <c r="F234" s="52" t="n">
        <f aca="false">ROUND(D234*E234,0)</f>
        <v>6948963</v>
      </c>
      <c r="G234" s="49" t="s">
        <v>401</v>
      </c>
      <c r="H234" s="53" t="s">
        <v>305</v>
      </c>
    </row>
    <row r="235" customFormat="false" ht="15" hidden="false" customHeight="false" outlineLevel="0" collapsed="false">
      <c r="A235" s="49" t="s">
        <v>147</v>
      </c>
      <c r="B235" s="29" t="s">
        <v>402</v>
      </c>
      <c r="C235" s="49" t="s">
        <v>331</v>
      </c>
      <c r="D235" s="50" t="n">
        <v>1134.78</v>
      </c>
      <c r="E235" s="51" t="n">
        <f aca="false">'Analisa Harga Satuan'!$F$479</f>
        <v>58982</v>
      </c>
      <c r="F235" s="52" t="n">
        <f aca="false">ROUND(D235*E235,0)</f>
        <v>66931594</v>
      </c>
      <c r="G235" s="49" t="s">
        <v>403</v>
      </c>
      <c r="H235" s="53" t="s">
        <v>305</v>
      </c>
    </row>
    <row r="236" customFormat="false" ht="15" hidden="false" customHeight="false" outlineLevel="0" collapsed="false">
      <c r="A236" s="49" t="s">
        <v>149</v>
      </c>
      <c r="B236" s="29" t="s">
        <v>404</v>
      </c>
      <c r="C236" s="49" t="s">
        <v>331</v>
      </c>
      <c r="D236" s="50" t="n">
        <v>147.88</v>
      </c>
      <c r="E236" s="51" t="n">
        <f aca="false">'Analisa Harga Satuan'!$F$513</f>
        <v>436755</v>
      </c>
      <c r="F236" s="52" t="n">
        <f aca="false">ROUND(D236*E236,0)</f>
        <v>64587329</v>
      </c>
      <c r="G236" s="49" t="s">
        <v>405</v>
      </c>
      <c r="H236" s="53" t="s">
        <v>305</v>
      </c>
    </row>
    <row r="237" customFormat="false" ht="15" hidden="false" customHeight="false" outlineLevel="0" collapsed="false">
      <c r="A237" s="60" t="s">
        <v>93</v>
      </c>
      <c r="B237" s="61" t="s">
        <v>406</v>
      </c>
    </row>
    <row r="238" customFormat="false" ht="15" hidden="false" customHeight="false" outlineLevel="0" collapsed="false">
      <c r="A238" s="49" t="s">
        <v>139</v>
      </c>
      <c r="B238" s="29" t="s">
        <v>395</v>
      </c>
      <c r="C238" s="49" t="s">
        <v>331</v>
      </c>
      <c r="D238" s="50" t="n">
        <v>833.22</v>
      </c>
      <c r="E238" s="51" t="n">
        <f aca="false">'Analisa Harga Satuan'!$F$416</f>
        <v>265023</v>
      </c>
      <c r="F238" s="52" t="n">
        <f aca="false">ROUND(D238*E238,0)</f>
        <v>220822464</v>
      </c>
      <c r="G238" s="49" t="s">
        <v>396</v>
      </c>
      <c r="H238" s="53" t="s">
        <v>305</v>
      </c>
    </row>
    <row r="239" customFormat="false" ht="15" hidden="false" customHeight="false" outlineLevel="0" collapsed="false">
      <c r="A239" s="49" t="s">
        <v>141</v>
      </c>
      <c r="B239" s="29" t="s">
        <v>397</v>
      </c>
      <c r="C239" s="49" t="s">
        <v>328</v>
      </c>
      <c r="D239" s="50" t="n">
        <v>182.15</v>
      </c>
      <c r="E239" s="51" t="n">
        <f aca="false">'Analisa Harga Satuan'!$F$310</f>
        <v>23191</v>
      </c>
      <c r="F239" s="52" t="n">
        <f aca="false">ROUND(D239*E239,0)</f>
        <v>4224241</v>
      </c>
      <c r="G239" s="49" t="s">
        <v>329</v>
      </c>
      <c r="H239" s="53" t="s">
        <v>305</v>
      </c>
    </row>
    <row r="240" customFormat="false" ht="15" hidden="false" customHeight="false" outlineLevel="0" collapsed="false">
      <c r="A240" s="49" t="s">
        <v>143</v>
      </c>
      <c r="B240" s="29" t="s">
        <v>398</v>
      </c>
      <c r="C240" s="49" t="s">
        <v>331</v>
      </c>
      <c r="D240" s="50" t="n">
        <v>1486.95</v>
      </c>
      <c r="E240" s="51" t="n">
        <f aca="false">'Analisa Harga Satuan'!$F$432</f>
        <v>103703</v>
      </c>
      <c r="F240" s="52" t="n">
        <f aca="false">ROUND(D240*E240,0)</f>
        <v>154201176</v>
      </c>
      <c r="G240" s="49" t="s">
        <v>399</v>
      </c>
      <c r="H240" s="53" t="s">
        <v>305</v>
      </c>
    </row>
    <row r="241" customFormat="false" ht="15" hidden="false" customHeight="false" outlineLevel="0" collapsed="false">
      <c r="A241" s="49" t="s">
        <v>145</v>
      </c>
      <c r="B241" s="29" t="s">
        <v>400</v>
      </c>
      <c r="C241" s="49" t="s">
        <v>331</v>
      </c>
      <c r="D241" s="50" t="n">
        <v>69.75</v>
      </c>
      <c r="E241" s="51" t="n">
        <f aca="false">'Analisa Harga Satuan'!$F$448</f>
        <v>107987</v>
      </c>
      <c r="F241" s="52" t="n">
        <f aca="false">ROUND(D241*E241,0)</f>
        <v>7532093</v>
      </c>
      <c r="G241" s="49" t="s">
        <v>401</v>
      </c>
      <c r="H241" s="53" t="s">
        <v>305</v>
      </c>
    </row>
    <row r="242" customFormat="false" ht="15" hidden="false" customHeight="false" outlineLevel="0" collapsed="false">
      <c r="A242" s="49" t="s">
        <v>147</v>
      </c>
      <c r="B242" s="29" t="s">
        <v>402</v>
      </c>
      <c r="C242" s="49" t="s">
        <v>331</v>
      </c>
      <c r="D242" s="50" t="n">
        <v>1486.95</v>
      </c>
      <c r="E242" s="51" t="n">
        <f aca="false">'Analisa Harga Satuan'!$F$479</f>
        <v>58982</v>
      </c>
      <c r="F242" s="52" t="n">
        <f aca="false">ROUND(D242*E242,0)</f>
        <v>87703285</v>
      </c>
      <c r="G242" s="49" t="s">
        <v>403</v>
      </c>
      <c r="H242" s="53" t="s">
        <v>305</v>
      </c>
    </row>
    <row r="243" customFormat="false" ht="15" hidden="false" customHeight="false" outlineLevel="0" collapsed="false">
      <c r="A243" s="49" t="s">
        <v>149</v>
      </c>
      <c r="B243" s="29" t="s">
        <v>404</v>
      </c>
      <c r="C243" s="49" t="s">
        <v>331</v>
      </c>
      <c r="D243" s="50" t="n">
        <v>179.49</v>
      </c>
      <c r="E243" s="51" t="n">
        <f aca="false">'Analisa Harga Satuan'!$F$513</f>
        <v>436755</v>
      </c>
      <c r="F243" s="52" t="n">
        <f aca="false">ROUND(D243*E243,0)</f>
        <v>78393155</v>
      </c>
      <c r="G243" s="49" t="s">
        <v>405</v>
      </c>
      <c r="H243" s="53" t="s">
        <v>305</v>
      </c>
    </row>
    <row r="244" customFormat="false" ht="15" hidden="false" customHeight="false" outlineLevel="0" collapsed="false">
      <c r="A244" s="60" t="s">
        <v>102</v>
      </c>
      <c r="B244" s="61" t="s">
        <v>407</v>
      </c>
    </row>
    <row r="245" customFormat="false" ht="15" hidden="false" customHeight="false" outlineLevel="0" collapsed="false">
      <c r="A245" s="49" t="s">
        <v>139</v>
      </c>
      <c r="B245" s="29" t="s">
        <v>395</v>
      </c>
      <c r="C245" s="49" t="s">
        <v>331</v>
      </c>
      <c r="D245" s="50" t="n">
        <v>259.96</v>
      </c>
      <c r="E245" s="51" t="n">
        <f aca="false">'Analisa Harga Satuan'!$F$416</f>
        <v>265023</v>
      </c>
      <c r="F245" s="52" t="n">
        <f aca="false">ROUND(D245*E245,0)</f>
        <v>68895379</v>
      </c>
      <c r="G245" s="49" t="s">
        <v>396</v>
      </c>
      <c r="H245" s="53" t="s">
        <v>305</v>
      </c>
    </row>
    <row r="246" customFormat="false" ht="15" hidden="false" customHeight="false" outlineLevel="0" collapsed="false">
      <c r="A246" s="49" t="s">
        <v>141</v>
      </c>
      <c r="B246" s="29" t="s">
        <v>397</v>
      </c>
      <c r="C246" s="49" t="s">
        <v>328</v>
      </c>
      <c r="D246" s="50" t="n">
        <v>101.74</v>
      </c>
      <c r="E246" s="51" t="n">
        <f aca="false">'Analisa Harga Satuan'!$F$310</f>
        <v>23191</v>
      </c>
      <c r="F246" s="52" t="n">
        <f aca="false">ROUND(D246*E246,0)</f>
        <v>2359452</v>
      </c>
      <c r="G246" s="49" t="s">
        <v>329</v>
      </c>
      <c r="H246" s="53" t="s">
        <v>305</v>
      </c>
    </row>
    <row r="247" customFormat="false" ht="15" hidden="false" customHeight="false" outlineLevel="0" collapsed="false">
      <c r="A247" s="49" t="s">
        <v>143</v>
      </c>
      <c r="B247" s="29" t="s">
        <v>398</v>
      </c>
      <c r="C247" s="49" t="s">
        <v>331</v>
      </c>
      <c r="D247" s="50" t="n">
        <v>519.92</v>
      </c>
      <c r="E247" s="51" t="n">
        <f aca="false">'Analisa Harga Satuan'!$F$432</f>
        <v>103703</v>
      </c>
      <c r="F247" s="52" t="n">
        <f aca="false">ROUND(D247*E247,0)</f>
        <v>53917264</v>
      </c>
      <c r="G247" s="49" t="s">
        <v>399</v>
      </c>
      <c r="H247" s="53" t="s">
        <v>305</v>
      </c>
    </row>
    <row r="248" customFormat="false" ht="15" hidden="false" customHeight="false" outlineLevel="0" collapsed="false">
      <c r="A248" s="49" t="s">
        <v>145</v>
      </c>
      <c r="B248" s="29" t="s">
        <v>402</v>
      </c>
      <c r="C248" s="49" t="s">
        <v>331</v>
      </c>
      <c r="D248" s="50" t="n">
        <v>519.92</v>
      </c>
      <c r="E248" s="51" t="n">
        <f aca="false">'Analisa Harga Satuan'!$F$479</f>
        <v>58982</v>
      </c>
      <c r="F248" s="52" t="n">
        <f aca="false">ROUND(D248*E248,0)</f>
        <v>30665921</v>
      </c>
      <c r="G248" s="49" t="s">
        <v>403</v>
      </c>
      <c r="H248" s="53" t="s">
        <v>305</v>
      </c>
    </row>
    <row r="249" customFormat="false" ht="15" hidden="false" customHeight="false" outlineLevel="0" collapsed="false">
      <c r="A249" s="60" t="s">
        <v>408</v>
      </c>
      <c r="B249" s="61" t="s">
        <v>409</v>
      </c>
    </row>
    <row r="250" customFormat="false" ht="25.5" hidden="false" customHeight="true" outlineLevel="0" collapsed="false">
      <c r="A250" s="49" t="s">
        <v>139</v>
      </c>
      <c r="B250" s="29" t="s">
        <v>410</v>
      </c>
      <c r="C250" s="49" t="s">
        <v>331</v>
      </c>
      <c r="D250" s="50" t="n">
        <v>805.35</v>
      </c>
      <c r="E250" s="51" t="n">
        <f aca="false">'Analisa Harga Satuan'!$H$842</f>
        <v>715000</v>
      </c>
      <c r="F250" s="52" t="n">
        <f aca="false">ROUND(D250*E250,0)</f>
        <v>575825250</v>
      </c>
      <c r="G250" s="49" t="s">
        <v>411</v>
      </c>
      <c r="H250" s="53" t="s">
        <v>181</v>
      </c>
    </row>
    <row r="251" customFormat="false" ht="25.5" hidden="false" customHeight="true" outlineLevel="0" collapsed="false">
      <c r="A251" s="49" t="s">
        <v>141</v>
      </c>
      <c r="B251" s="29" t="s">
        <v>412</v>
      </c>
      <c r="C251" s="49" t="s">
        <v>331</v>
      </c>
      <c r="D251" s="50" t="n">
        <v>56.36</v>
      </c>
      <c r="E251" s="51" t="n">
        <f aca="false">'Analisa Harga Satuan'!$H$842</f>
        <v>715000</v>
      </c>
      <c r="F251" s="52" t="n">
        <f aca="false">ROUND(D251*E251,0)</f>
        <v>40297400</v>
      </c>
      <c r="G251" s="49" t="s">
        <v>411</v>
      </c>
      <c r="H251" s="53" t="s">
        <v>181</v>
      </c>
    </row>
    <row r="252" customFormat="false" ht="15" hidden="false" customHeight="false" outlineLevel="0" collapsed="false">
      <c r="A252" s="49" t="s">
        <v>143</v>
      </c>
      <c r="B252" s="29" t="s">
        <v>413</v>
      </c>
      <c r="C252" s="49" t="s">
        <v>183</v>
      </c>
      <c r="D252" s="50" t="n">
        <v>1</v>
      </c>
      <c r="E252" s="51" t="n">
        <f aca="false">'Analisa Harga Satuan'!$H$843</f>
        <v>181500000</v>
      </c>
      <c r="F252" s="52" t="n">
        <f aca="false">ROUND(D252*E252,0)</f>
        <v>181500000</v>
      </c>
      <c r="G252" s="49" t="s">
        <v>414</v>
      </c>
      <c r="H252" s="53" t="s">
        <v>189</v>
      </c>
    </row>
    <row r="253" customFormat="false" ht="25.5" hidden="false" customHeight="true" outlineLevel="0" collapsed="false">
      <c r="A253" s="49" t="s">
        <v>145</v>
      </c>
      <c r="B253" s="29" t="s">
        <v>415</v>
      </c>
      <c r="C253" s="49" t="s">
        <v>183</v>
      </c>
      <c r="D253" s="50" t="n">
        <v>1</v>
      </c>
      <c r="E253" s="51" t="n">
        <f aca="false">'Analisa Harga Satuan'!$H$844</f>
        <v>214500000</v>
      </c>
      <c r="F253" s="52" t="n">
        <f aca="false">ROUND(D253*E253,0)</f>
        <v>214500000</v>
      </c>
      <c r="G253" s="49" t="s">
        <v>416</v>
      </c>
      <c r="H253" s="53" t="s">
        <v>189</v>
      </c>
    </row>
    <row r="254" customFormat="false" ht="25.5" hidden="false" customHeight="true" outlineLevel="0" collapsed="false">
      <c r="A254" s="49" t="s">
        <v>147</v>
      </c>
      <c r="B254" s="29" t="s">
        <v>417</v>
      </c>
      <c r="C254" s="49" t="s">
        <v>183</v>
      </c>
      <c r="D254" s="50" t="n">
        <v>1</v>
      </c>
      <c r="E254" s="51" t="n">
        <f aca="false">'Analisa Harga Satuan'!$H$845</f>
        <v>181500000</v>
      </c>
      <c r="F254" s="52" t="n">
        <f aca="false">ROUND(D254*E254,0)</f>
        <v>181500000</v>
      </c>
      <c r="G254" s="49" t="s">
        <v>418</v>
      </c>
      <c r="H254" s="53" t="s">
        <v>189</v>
      </c>
    </row>
    <row r="255" customFormat="false" ht="15" hidden="false" customHeight="false" outlineLevel="0" collapsed="false">
      <c r="A255" s="49" t="s">
        <v>149</v>
      </c>
      <c r="B255" s="29" t="s">
        <v>419</v>
      </c>
      <c r="C255" s="49" t="s">
        <v>183</v>
      </c>
      <c r="D255" s="50" t="n">
        <v>2</v>
      </c>
      <c r="E255" s="51" t="n">
        <f aca="false">'Analisa Harga Satuan'!$H$846</f>
        <v>132000000</v>
      </c>
      <c r="F255" s="52" t="n">
        <f aca="false">ROUND(D255*E255,0)</f>
        <v>264000000</v>
      </c>
      <c r="G255" s="49" t="s">
        <v>420</v>
      </c>
      <c r="H255" s="53" t="s">
        <v>189</v>
      </c>
    </row>
    <row r="256" customFormat="false" ht="15" hidden="false" customHeight="false" outlineLevel="0" collapsed="false">
      <c r="A256" s="49" t="s">
        <v>151</v>
      </c>
      <c r="B256" s="29" t="s">
        <v>421</v>
      </c>
      <c r="C256" s="49" t="s">
        <v>183</v>
      </c>
      <c r="D256" s="50" t="n">
        <v>2</v>
      </c>
      <c r="E256" s="51" t="n">
        <f aca="false">'Analisa Harga Satuan'!$H$847</f>
        <v>104500000</v>
      </c>
      <c r="F256" s="52" t="n">
        <f aca="false">ROUND(D256*E256,0)</f>
        <v>209000000</v>
      </c>
      <c r="G256" s="49" t="s">
        <v>422</v>
      </c>
      <c r="H256" s="53" t="s">
        <v>189</v>
      </c>
    </row>
    <row r="257" customFormat="false" ht="15" hidden="false" customHeight="false" outlineLevel="0" collapsed="false">
      <c r="A257" s="49" t="s">
        <v>423</v>
      </c>
      <c r="B257" s="29" t="s">
        <v>424</v>
      </c>
      <c r="C257" s="49" t="s">
        <v>183</v>
      </c>
      <c r="D257" s="50" t="n">
        <v>1</v>
      </c>
      <c r="E257" s="51" t="n">
        <f aca="false">'Analisa Harga Satuan'!$H$848</f>
        <v>66000000</v>
      </c>
      <c r="F257" s="52" t="n">
        <f aca="false">ROUND(D257*E257,0)</f>
        <v>66000000</v>
      </c>
      <c r="G257" s="49" t="s">
        <v>425</v>
      </c>
      <c r="H257" s="53" t="s">
        <v>189</v>
      </c>
    </row>
    <row r="258" customFormat="false" ht="25.5" hidden="false" customHeight="true" outlineLevel="0" collapsed="false">
      <c r="A258" s="49" t="s">
        <v>208</v>
      </c>
      <c r="B258" s="29" t="s">
        <v>426</v>
      </c>
      <c r="C258" s="49" t="s">
        <v>183</v>
      </c>
      <c r="D258" s="50" t="n">
        <v>1</v>
      </c>
      <c r="E258" s="51" t="n">
        <f aca="false">'Analisa Harga Satuan'!$H$849</f>
        <v>93500000</v>
      </c>
      <c r="F258" s="52" t="n">
        <f aca="false">ROUND(D258*E258,0)</f>
        <v>93500000</v>
      </c>
      <c r="G258" s="49" t="s">
        <v>427</v>
      </c>
      <c r="H258" s="53" t="s">
        <v>189</v>
      </c>
    </row>
    <row r="259" customFormat="false" ht="15" hidden="false" customHeight="false" outlineLevel="0" collapsed="false">
      <c r="A259" s="49" t="s">
        <v>217</v>
      </c>
      <c r="B259" s="29" t="s">
        <v>428</v>
      </c>
      <c r="C259" s="49" t="s">
        <v>331</v>
      </c>
      <c r="D259" s="50" t="n">
        <v>7.29</v>
      </c>
      <c r="E259" s="51" t="n">
        <f aca="false">'Analisa Harga Satuan'!$H$850</f>
        <v>4950000</v>
      </c>
      <c r="F259" s="52" t="n">
        <f aca="false">ROUND(D259*E259,0)</f>
        <v>36085500</v>
      </c>
      <c r="G259" s="49" t="s">
        <v>429</v>
      </c>
      <c r="H259" s="53" t="s">
        <v>181</v>
      </c>
    </row>
    <row r="260" customFormat="false" ht="15" hidden="false" customHeight="false" outlineLevel="0" collapsed="false">
      <c r="A260" s="49" t="s">
        <v>221</v>
      </c>
      <c r="B260" s="29" t="s">
        <v>430</v>
      </c>
      <c r="C260" s="49" t="s">
        <v>431</v>
      </c>
      <c r="D260" s="50" t="n">
        <v>6</v>
      </c>
      <c r="E260" s="51" t="n">
        <f aca="false">'Analisa Harga Satuan'!$H$851</f>
        <v>2541000</v>
      </c>
      <c r="F260" s="52" t="n">
        <f aca="false">ROUND(D260*E260,0)</f>
        <v>15246000</v>
      </c>
      <c r="G260" s="49" t="s">
        <v>432</v>
      </c>
      <c r="H260" s="53" t="s">
        <v>181</v>
      </c>
    </row>
    <row r="261" customFormat="false" ht="15" hidden="false" customHeight="false" outlineLevel="0" collapsed="false">
      <c r="A261" s="60" t="s">
        <v>433</v>
      </c>
      <c r="B261" s="61" t="s">
        <v>434</v>
      </c>
    </row>
    <row r="262" customFormat="false" ht="15" hidden="false" customHeight="false" outlineLevel="0" collapsed="false">
      <c r="A262" s="49" t="s">
        <v>139</v>
      </c>
      <c r="B262" s="29" t="s">
        <v>430</v>
      </c>
      <c r="C262" s="49" t="s">
        <v>431</v>
      </c>
      <c r="D262" s="50" t="n">
        <v>10.32</v>
      </c>
      <c r="E262" s="51" t="n">
        <f aca="false">'Analisa Harga Satuan'!$H$851</f>
        <v>2541000</v>
      </c>
      <c r="F262" s="52" t="n">
        <f aca="false">ROUND(D262*E262,0)</f>
        <v>26223120</v>
      </c>
      <c r="G262" s="49" t="s">
        <v>432</v>
      </c>
      <c r="H262" s="53" t="s">
        <v>181</v>
      </c>
    </row>
    <row r="263" customFormat="false" ht="15" hidden="false" customHeight="false" outlineLevel="0" collapsed="false">
      <c r="A263" s="60" t="s">
        <v>435</v>
      </c>
      <c r="B263" s="61" t="s">
        <v>436</v>
      </c>
    </row>
    <row r="264" customFormat="false" ht="15" hidden="false" customHeight="false" outlineLevel="0" collapsed="false">
      <c r="A264" s="60" t="s">
        <v>78</v>
      </c>
      <c r="B264" s="61" t="s">
        <v>394</v>
      </c>
    </row>
    <row r="265" customFormat="false" ht="15" hidden="false" customHeight="false" outlineLevel="0" collapsed="false">
      <c r="A265" s="49" t="s">
        <v>139</v>
      </c>
      <c r="B265" s="29" t="s">
        <v>437</v>
      </c>
      <c r="C265" s="49" t="s">
        <v>367</v>
      </c>
      <c r="D265" s="50" t="n">
        <v>46</v>
      </c>
      <c r="E265" s="51" t="n">
        <f aca="false">'Analisa Harga Satuan'!$F$601</f>
        <v>240515</v>
      </c>
      <c r="F265" s="52" t="n">
        <f aca="false">ROUND(D265*E265,0)</f>
        <v>11063690</v>
      </c>
      <c r="G265" s="49" t="s">
        <v>438</v>
      </c>
      <c r="H265" s="53" t="s">
        <v>305</v>
      </c>
    </row>
    <row r="266" customFormat="false" ht="25.5" hidden="false" customHeight="true" outlineLevel="0" collapsed="false">
      <c r="A266" s="49" t="s">
        <v>141</v>
      </c>
      <c r="B266" s="29" t="s">
        <v>439</v>
      </c>
      <c r="C266" s="49" t="s">
        <v>331</v>
      </c>
      <c r="D266" s="50" t="n">
        <v>422.71</v>
      </c>
      <c r="E266" s="51" t="n">
        <f aca="false">'Analisa Harga Satuan'!$F$532</f>
        <v>513931</v>
      </c>
      <c r="F266" s="52" t="n">
        <f aca="false">ROUND(D266*E266,0)</f>
        <v>217243773</v>
      </c>
      <c r="G266" s="49" t="s">
        <v>440</v>
      </c>
      <c r="H266" s="53" t="s">
        <v>305</v>
      </c>
    </row>
    <row r="267" customFormat="false" ht="25.5" hidden="false" customHeight="true" outlineLevel="0" collapsed="false">
      <c r="A267" s="49" t="s">
        <v>143</v>
      </c>
      <c r="B267" s="29" t="s">
        <v>441</v>
      </c>
      <c r="C267" s="49" t="s">
        <v>331</v>
      </c>
      <c r="D267" s="50" t="n">
        <v>34.5</v>
      </c>
      <c r="E267" s="51" t="n">
        <f aca="false">'Analisa Harga Satuan'!$F$551</f>
        <v>467731</v>
      </c>
      <c r="F267" s="52" t="n">
        <f aca="false">ROUND(D267*E267,0)</f>
        <v>16136720</v>
      </c>
      <c r="G267" s="49" t="s">
        <v>442</v>
      </c>
      <c r="H267" s="53" t="s">
        <v>305</v>
      </c>
    </row>
    <row r="268" customFormat="false" ht="25.5" hidden="false" customHeight="true" outlineLevel="0" collapsed="false">
      <c r="A268" s="49" t="s">
        <v>145</v>
      </c>
      <c r="B268" s="29" t="s">
        <v>443</v>
      </c>
      <c r="C268" s="49" t="s">
        <v>331</v>
      </c>
      <c r="D268" s="50" t="n">
        <v>33.9</v>
      </c>
      <c r="E268" s="51" t="n">
        <f aca="false">'Analisa Harga Satuan'!$F$570</f>
        <v>444631</v>
      </c>
      <c r="F268" s="52" t="n">
        <f aca="false">ROUND(D268*E268,0)</f>
        <v>15072991</v>
      </c>
      <c r="G268" s="49" t="s">
        <v>444</v>
      </c>
      <c r="H268" s="53" t="s">
        <v>305</v>
      </c>
    </row>
    <row r="269" customFormat="false" ht="15" hidden="false" customHeight="false" outlineLevel="0" collapsed="false">
      <c r="A269" s="49" t="s">
        <v>147</v>
      </c>
      <c r="B269" s="29" t="s">
        <v>445</v>
      </c>
      <c r="C269" s="49" t="s">
        <v>367</v>
      </c>
      <c r="D269" s="50" t="n">
        <v>251.83</v>
      </c>
      <c r="E269" s="51" t="n">
        <f aca="false">'Analisa Harga Satuan'!$F$586</f>
        <v>63745</v>
      </c>
      <c r="F269" s="52" t="n">
        <f aca="false">ROUND(D269*E269,0)</f>
        <v>16052903</v>
      </c>
      <c r="G269" s="49" t="s">
        <v>446</v>
      </c>
      <c r="H269" s="53" t="s">
        <v>305</v>
      </c>
    </row>
    <row r="270" customFormat="false" ht="15" hidden="false" customHeight="false" outlineLevel="0" collapsed="false">
      <c r="A270" s="60" t="s">
        <v>93</v>
      </c>
      <c r="B270" s="61" t="s">
        <v>406</v>
      </c>
    </row>
    <row r="271" customFormat="false" ht="25.5" hidden="false" customHeight="true" outlineLevel="0" collapsed="false">
      <c r="A271" s="49" t="s">
        <v>139</v>
      </c>
      <c r="B271" s="29" t="s">
        <v>447</v>
      </c>
      <c r="C271" s="49" t="s">
        <v>331</v>
      </c>
      <c r="D271" s="50" t="n">
        <v>427.15</v>
      </c>
      <c r="E271" s="51" t="n">
        <f aca="false">'Analisa Harga Satuan'!$F$532</f>
        <v>513931</v>
      </c>
      <c r="F271" s="52" t="n">
        <f aca="false">ROUND(D271*E271,0)</f>
        <v>219525627</v>
      </c>
      <c r="G271" s="49" t="s">
        <v>440</v>
      </c>
      <c r="H271" s="53" t="s">
        <v>305</v>
      </c>
    </row>
    <row r="272" customFormat="false" ht="25.5" hidden="false" customHeight="true" outlineLevel="0" collapsed="false">
      <c r="A272" s="49" t="s">
        <v>141</v>
      </c>
      <c r="B272" s="29" t="s">
        <v>443</v>
      </c>
      <c r="C272" s="49" t="s">
        <v>331</v>
      </c>
      <c r="D272" s="50" t="n">
        <v>36.6</v>
      </c>
      <c r="E272" s="51" t="n">
        <f aca="false">'Analisa Harga Satuan'!$F$570</f>
        <v>444631</v>
      </c>
      <c r="F272" s="52" t="n">
        <f aca="false">ROUND(D272*E272,0)</f>
        <v>16273495</v>
      </c>
      <c r="G272" s="49" t="s">
        <v>444</v>
      </c>
      <c r="H272" s="53" t="s">
        <v>305</v>
      </c>
    </row>
    <row r="273" customFormat="false" ht="15" hidden="false" customHeight="false" outlineLevel="0" collapsed="false">
      <c r="A273" s="49" t="s">
        <v>143</v>
      </c>
      <c r="B273" s="29" t="s">
        <v>445</v>
      </c>
      <c r="C273" s="49" t="s">
        <v>367</v>
      </c>
      <c r="D273" s="50" t="n">
        <v>322.71</v>
      </c>
      <c r="E273" s="51" t="n">
        <f aca="false">'Analisa Harga Satuan'!$F$586</f>
        <v>63745</v>
      </c>
      <c r="F273" s="52" t="n">
        <f aca="false">ROUND(D273*E273,0)</f>
        <v>20571149</v>
      </c>
      <c r="G273" s="49" t="s">
        <v>446</v>
      </c>
      <c r="H273" s="53" t="s">
        <v>305</v>
      </c>
    </row>
    <row r="274" customFormat="false" ht="15" hidden="false" customHeight="false" outlineLevel="0" collapsed="false">
      <c r="A274" s="60" t="s">
        <v>448</v>
      </c>
      <c r="B274" s="61" t="s">
        <v>449</v>
      </c>
    </row>
    <row r="275" customFormat="false" ht="15" hidden="false" customHeight="false" outlineLevel="0" collapsed="false">
      <c r="A275" s="49" t="s">
        <v>139</v>
      </c>
      <c r="B275" s="29" t="s">
        <v>450</v>
      </c>
      <c r="C275" s="49" t="s">
        <v>331</v>
      </c>
      <c r="D275" s="50" t="n">
        <v>1258.37</v>
      </c>
      <c r="E275" s="51" t="n">
        <f aca="false">'Analisa Harga Satuan'!$F$616</f>
        <v>226710</v>
      </c>
      <c r="F275" s="52" t="n">
        <f aca="false">ROUND(D275*E275,0)</f>
        <v>285285063</v>
      </c>
      <c r="G275" s="49" t="s">
        <v>451</v>
      </c>
      <c r="H275" s="53" t="s">
        <v>305</v>
      </c>
    </row>
    <row r="276" customFormat="false" ht="15" hidden="false" customHeight="false" outlineLevel="0" collapsed="false">
      <c r="A276" s="60" t="s">
        <v>452</v>
      </c>
      <c r="B276" s="61" t="s">
        <v>453</v>
      </c>
    </row>
    <row r="277" customFormat="false" ht="15" hidden="false" customHeight="false" outlineLevel="0" collapsed="false">
      <c r="B277" s="54" t="s">
        <v>394</v>
      </c>
    </row>
    <row r="278" customFormat="false" ht="15" hidden="false" customHeight="false" outlineLevel="0" collapsed="false">
      <c r="A278" s="49" t="s">
        <v>139</v>
      </c>
      <c r="B278" s="29" t="s">
        <v>454</v>
      </c>
      <c r="C278" s="49" t="s">
        <v>183</v>
      </c>
      <c r="D278" s="50" t="n">
        <v>1</v>
      </c>
      <c r="E278" s="51" t="n">
        <f aca="false">'Analisa Harga Satuan'!$H$852</f>
        <v>19602000</v>
      </c>
      <c r="F278" s="52" t="n">
        <f aca="false">ROUND(D278*E278,0)</f>
        <v>19602000</v>
      </c>
      <c r="G278" s="49" t="s">
        <v>455</v>
      </c>
      <c r="H278" s="53" t="s">
        <v>189</v>
      </c>
    </row>
    <row r="279" customFormat="false" ht="15" hidden="false" customHeight="false" outlineLevel="0" collapsed="false">
      <c r="A279" s="49" t="s">
        <v>141</v>
      </c>
      <c r="B279" s="29" t="s">
        <v>456</v>
      </c>
      <c r="C279" s="49" t="s">
        <v>183</v>
      </c>
      <c r="D279" s="50" t="n">
        <v>2</v>
      </c>
      <c r="E279" s="51" t="n">
        <f aca="false">'Analisa Harga Satuan'!$H$853</f>
        <v>17226000</v>
      </c>
      <c r="F279" s="52" t="n">
        <f aca="false">ROUND(D279*E279,0)</f>
        <v>34452000</v>
      </c>
      <c r="G279" s="49" t="s">
        <v>457</v>
      </c>
      <c r="H279" s="53" t="s">
        <v>189</v>
      </c>
    </row>
    <row r="280" customFormat="false" ht="15" hidden="false" customHeight="false" outlineLevel="0" collapsed="false">
      <c r="A280" s="49" t="s">
        <v>143</v>
      </c>
      <c r="B280" s="29" t="s">
        <v>458</v>
      </c>
      <c r="C280" s="49" t="s">
        <v>183</v>
      </c>
      <c r="D280" s="50" t="n">
        <v>6</v>
      </c>
      <c r="E280" s="51" t="n">
        <f aca="false">'Analisa Harga Satuan'!$H$854</f>
        <v>11286000</v>
      </c>
      <c r="F280" s="52" t="n">
        <f aca="false">ROUND(D280*E280,0)</f>
        <v>67716000</v>
      </c>
      <c r="G280" s="49" t="s">
        <v>459</v>
      </c>
      <c r="H280" s="53" t="s">
        <v>189</v>
      </c>
    </row>
    <row r="281" customFormat="false" ht="15" hidden="false" customHeight="false" outlineLevel="0" collapsed="false">
      <c r="A281" s="49" t="s">
        <v>145</v>
      </c>
      <c r="B281" s="29" t="s">
        <v>460</v>
      </c>
      <c r="C281" s="49" t="s">
        <v>183</v>
      </c>
      <c r="D281" s="50" t="n">
        <v>1</v>
      </c>
      <c r="E281" s="51" t="n">
        <f aca="false">'Analisa Harga Satuan'!$H$855</f>
        <v>5049000</v>
      </c>
      <c r="F281" s="52" t="n">
        <f aca="false">ROUND(D281*E281,0)</f>
        <v>5049000</v>
      </c>
      <c r="G281" s="49" t="s">
        <v>461</v>
      </c>
      <c r="H281" s="53" t="s">
        <v>189</v>
      </c>
    </row>
    <row r="282" customFormat="false" ht="15" hidden="false" customHeight="false" outlineLevel="0" collapsed="false">
      <c r="A282" s="49" t="s">
        <v>147</v>
      </c>
      <c r="B282" s="29" t="s">
        <v>462</v>
      </c>
      <c r="C282" s="49" t="s">
        <v>183</v>
      </c>
      <c r="D282" s="50" t="n">
        <v>3</v>
      </c>
      <c r="E282" s="51" t="n">
        <f aca="false">'Analisa Harga Satuan'!$H$856</f>
        <v>4276800</v>
      </c>
      <c r="F282" s="52" t="n">
        <f aca="false">ROUND(D282*E282,0)</f>
        <v>12830400</v>
      </c>
      <c r="G282" s="49" t="s">
        <v>463</v>
      </c>
      <c r="H282" s="53" t="s">
        <v>189</v>
      </c>
    </row>
    <row r="283" customFormat="false" ht="15" hidden="false" customHeight="false" outlineLevel="0" collapsed="false">
      <c r="A283" s="49" t="s">
        <v>149</v>
      </c>
      <c r="B283" s="29" t="s">
        <v>464</v>
      </c>
      <c r="C283" s="49" t="s">
        <v>183</v>
      </c>
      <c r="D283" s="50" t="n">
        <v>3</v>
      </c>
      <c r="E283" s="51" t="n">
        <f aca="false">'Analisa Harga Satuan'!$H$857</f>
        <v>2791800</v>
      </c>
      <c r="F283" s="52" t="n">
        <f aca="false">ROUND(D283*E283,0)</f>
        <v>8375400</v>
      </c>
      <c r="G283" s="49" t="s">
        <v>465</v>
      </c>
      <c r="H283" s="53" t="s">
        <v>189</v>
      </c>
    </row>
    <row r="284" customFormat="false" ht="15" hidden="false" customHeight="false" outlineLevel="0" collapsed="false">
      <c r="A284" s="49" t="s">
        <v>151</v>
      </c>
      <c r="B284" s="29" t="s">
        <v>466</v>
      </c>
      <c r="C284" s="49" t="s">
        <v>183</v>
      </c>
      <c r="D284" s="50" t="n">
        <v>5</v>
      </c>
      <c r="E284" s="51" t="n">
        <f aca="false">'Analisa Harga Satuan'!$H$858</f>
        <v>3682800</v>
      </c>
      <c r="F284" s="52" t="n">
        <f aca="false">ROUND(D284*E284,0)</f>
        <v>18414000</v>
      </c>
      <c r="G284" s="49" t="s">
        <v>467</v>
      </c>
      <c r="H284" s="53" t="s">
        <v>189</v>
      </c>
    </row>
    <row r="285" customFormat="false" ht="15" hidden="false" customHeight="false" outlineLevel="0" collapsed="false">
      <c r="A285" s="49" t="s">
        <v>423</v>
      </c>
      <c r="B285" s="29" t="s">
        <v>468</v>
      </c>
      <c r="C285" s="49" t="s">
        <v>183</v>
      </c>
      <c r="D285" s="50" t="n">
        <v>1</v>
      </c>
      <c r="E285" s="51" t="n">
        <f aca="false">'Analisa Harga Satuan'!$H$859</f>
        <v>2613600</v>
      </c>
      <c r="F285" s="52" t="n">
        <f aca="false">ROUND(D285*E285,0)</f>
        <v>2613600</v>
      </c>
      <c r="G285" s="49" t="s">
        <v>469</v>
      </c>
      <c r="H285" s="53" t="s">
        <v>189</v>
      </c>
    </row>
    <row r="286" customFormat="false" ht="15" hidden="false" customHeight="false" outlineLevel="0" collapsed="false">
      <c r="A286" s="49" t="s">
        <v>208</v>
      </c>
      <c r="B286" s="29" t="s">
        <v>470</v>
      </c>
      <c r="C286" s="49" t="s">
        <v>183</v>
      </c>
      <c r="D286" s="50" t="n">
        <v>3</v>
      </c>
      <c r="E286" s="51" t="n">
        <f aca="false">'Analisa Harga Satuan'!$H$860</f>
        <v>3326400</v>
      </c>
      <c r="F286" s="52" t="n">
        <f aca="false">ROUND(D286*E286,0)</f>
        <v>9979200</v>
      </c>
      <c r="G286" s="49" t="s">
        <v>471</v>
      </c>
      <c r="H286" s="53" t="s">
        <v>189</v>
      </c>
    </row>
    <row r="287" customFormat="false" ht="15" hidden="false" customHeight="false" outlineLevel="0" collapsed="false">
      <c r="A287" s="49" t="s">
        <v>217</v>
      </c>
      <c r="B287" s="29" t="s">
        <v>472</v>
      </c>
      <c r="C287" s="49" t="s">
        <v>183</v>
      </c>
      <c r="D287" s="50" t="n">
        <v>2</v>
      </c>
      <c r="E287" s="51" t="n">
        <f aca="false">'Analisa Harga Satuan'!$H$861</f>
        <v>1009800</v>
      </c>
      <c r="F287" s="52" t="n">
        <f aca="false">ROUND(D287*E287,0)</f>
        <v>2019600</v>
      </c>
      <c r="G287" s="49" t="s">
        <v>473</v>
      </c>
      <c r="H287" s="53" t="s">
        <v>189</v>
      </c>
    </row>
    <row r="288" customFormat="false" ht="15" hidden="false" customHeight="false" outlineLevel="0" collapsed="false">
      <c r="A288" s="49" t="s">
        <v>221</v>
      </c>
      <c r="B288" s="29" t="s">
        <v>474</v>
      </c>
      <c r="C288" s="49" t="s">
        <v>183</v>
      </c>
      <c r="D288" s="50" t="n">
        <v>2</v>
      </c>
      <c r="E288" s="51" t="n">
        <f aca="false">'Analisa Harga Satuan'!$H$862</f>
        <v>772200</v>
      </c>
      <c r="F288" s="52" t="n">
        <f aca="false">ROUND(D288*E288,0)</f>
        <v>1544400</v>
      </c>
      <c r="G288" s="49" t="s">
        <v>475</v>
      </c>
      <c r="H288" s="53" t="s">
        <v>189</v>
      </c>
    </row>
    <row r="289" customFormat="false" ht="15" hidden="false" customHeight="false" outlineLevel="0" collapsed="false">
      <c r="B289" s="54" t="s">
        <v>406</v>
      </c>
    </row>
    <row r="290" customFormat="false" ht="15" hidden="false" customHeight="false" outlineLevel="0" collapsed="false">
      <c r="A290" s="49" t="s">
        <v>139</v>
      </c>
      <c r="B290" s="29" t="s">
        <v>458</v>
      </c>
      <c r="C290" s="49" t="s">
        <v>183</v>
      </c>
      <c r="D290" s="50" t="n">
        <v>6</v>
      </c>
      <c r="E290" s="51" t="n">
        <f aca="false">'Analisa Harga Satuan'!$H$854</f>
        <v>11286000</v>
      </c>
      <c r="F290" s="52" t="n">
        <f aca="false">ROUND(D290*E290,0)</f>
        <v>67716000</v>
      </c>
      <c r="G290" s="49" t="s">
        <v>459</v>
      </c>
      <c r="H290" s="53" t="s">
        <v>189</v>
      </c>
    </row>
    <row r="291" customFormat="false" ht="15" hidden="false" customHeight="false" outlineLevel="0" collapsed="false">
      <c r="A291" s="49" t="s">
        <v>141</v>
      </c>
      <c r="B291" s="29" t="s">
        <v>460</v>
      </c>
      <c r="C291" s="49" t="s">
        <v>183</v>
      </c>
      <c r="D291" s="50" t="n">
        <v>4</v>
      </c>
      <c r="E291" s="51" t="n">
        <f aca="false">'Analisa Harga Satuan'!$H$855</f>
        <v>5049000</v>
      </c>
      <c r="F291" s="52" t="n">
        <f aca="false">ROUND(D291*E291,0)</f>
        <v>20196000</v>
      </c>
      <c r="G291" s="49" t="s">
        <v>461</v>
      </c>
      <c r="H291" s="53" t="s">
        <v>189</v>
      </c>
    </row>
    <row r="292" customFormat="false" ht="15" hidden="false" customHeight="false" outlineLevel="0" collapsed="false">
      <c r="A292" s="49" t="s">
        <v>143</v>
      </c>
      <c r="B292" s="29" t="s">
        <v>462</v>
      </c>
      <c r="C292" s="49" t="s">
        <v>183</v>
      </c>
      <c r="D292" s="50" t="n">
        <v>3</v>
      </c>
      <c r="E292" s="51" t="n">
        <f aca="false">'Analisa Harga Satuan'!$H$856</f>
        <v>4276800</v>
      </c>
      <c r="F292" s="52" t="n">
        <f aca="false">ROUND(D292*E292,0)</f>
        <v>12830400</v>
      </c>
      <c r="G292" s="49" t="s">
        <v>463</v>
      </c>
      <c r="H292" s="53" t="s">
        <v>189</v>
      </c>
    </row>
    <row r="293" customFormat="false" ht="15" hidden="false" customHeight="false" outlineLevel="0" collapsed="false">
      <c r="A293" s="49" t="s">
        <v>145</v>
      </c>
      <c r="B293" s="29" t="s">
        <v>464</v>
      </c>
      <c r="C293" s="49" t="s">
        <v>183</v>
      </c>
      <c r="D293" s="50" t="n">
        <v>4</v>
      </c>
      <c r="E293" s="51" t="n">
        <f aca="false">'Analisa Harga Satuan'!$H$857</f>
        <v>2791800</v>
      </c>
      <c r="F293" s="52" t="n">
        <f aca="false">ROUND(D293*E293,0)</f>
        <v>11167200</v>
      </c>
      <c r="G293" s="49" t="s">
        <v>465</v>
      </c>
      <c r="H293" s="53" t="s">
        <v>189</v>
      </c>
    </row>
    <row r="294" customFormat="false" ht="15" hidden="false" customHeight="false" outlineLevel="0" collapsed="false">
      <c r="A294" s="49" t="s">
        <v>147</v>
      </c>
      <c r="B294" s="29" t="s">
        <v>466</v>
      </c>
      <c r="C294" s="49" t="s">
        <v>183</v>
      </c>
      <c r="D294" s="50" t="n">
        <v>6</v>
      </c>
      <c r="E294" s="51" t="n">
        <f aca="false">'Analisa Harga Satuan'!$H$858</f>
        <v>3682800</v>
      </c>
      <c r="F294" s="52" t="n">
        <f aca="false">ROUND(D294*E294,0)</f>
        <v>22096800</v>
      </c>
      <c r="G294" s="49" t="s">
        <v>467</v>
      </c>
      <c r="H294" s="53" t="s">
        <v>189</v>
      </c>
    </row>
    <row r="295" customFormat="false" ht="15" hidden="false" customHeight="false" outlineLevel="0" collapsed="false">
      <c r="A295" s="49" t="s">
        <v>149</v>
      </c>
      <c r="B295" s="29" t="s">
        <v>476</v>
      </c>
      <c r="C295" s="49" t="s">
        <v>183</v>
      </c>
      <c r="D295" s="50" t="n">
        <v>5</v>
      </c>
      <c r="E295" s="51" t="n">
        <f aca="false">'Analisa Harga Satuan'!$H$863</f>
        <v>3564000</v>
      </c>
      <c r="F295" s="52" t="n">
        <f aca="false">ROUND(D295*E295,0)</f>
        <v>17820000</v>
      </c>
      <c r="G295" s="49" t="s">
        <v>477</v>
      </c>
      <c r="H295" s="53" t="s">
        <v>189</v>
      </c>
    </row>
    <row r="296" customFormat="false" ht="15" hidden="false" customHeight="false" outlineLevel="0" collapsed="false">
      <c r="A296" s="49" t="s">
        <v>151</v>
      </c>
      <c r="B296" s="29" t="s">
        <v>468</v>
      </c>
      <c r="C296" s="49" t="s">
        <v>183</v>
      </c>
      <c r="D296" s="50" t="n">
        <v>1</v>
      </c>
      <c r="E296" s="51" t="n">
        <f aca="false">'Analisa Harga Satuan'!$H$859</f>
        <v>2613600</v>
      </c>
      <c r="F296" s="52" t="n">
        <f aca="false">ROUND(D296*E296,0)</f>
        <v>2613600</v>
      </c>
      <c r="G296" s="49" t="s">
        <v>469</v>
      </c>
      <c r="H296" s="53" t="s">
        <v>189</v>
      </c>
    </row>
    <row r="297" customFormat="false" ht="15" hidden="false" customHeight="false" outlineLevel="0" collapsed="false">
      <c r="A297" s="49" t="s">
        <v>423</v>
      </c>
      <c r="B297" s="29" t="s">
        <v>470</v>
      </c>
      <c r="C297" s="49" t="s">
        <v>183</v>
      </c>
      <c r="D297" s="50" t="n">
        <v>10</v>
      </c>
      <c r="E297" s="51" t="n">
        <f aca="false">'Analisa Harga Satuan'!$H$860</f>
        <v>3326400</v>
      </c>
      <c r="F297" s="52" t="n">
        <f aca="false">ROUND(D297*E297,0)</f>
        <v>33264000</v>
      </c>
      <c r="G297" s="49" t="s">
        <v>471</v>
      </c>
      <c r="H297" s="53" t="s">
        <v>189</v>
      </c>
    </row>
    <row r="298" customFormat="false" ht="15" hidden="false" customHeight="false" outlineLevel="0" collapsed="false">
      <c r="A298" s="49" t="s">
        <v>208</v>
      </c>
      <c r="B298" s="29" t="s">
        <v>472</v>
      </c>
      <c r="C298" s="49" t="s">
        <v>183</v>
      </c>
      <c r="D298" s="50" t="n">
        <v>2</v>
      </c>
      <c r="E298" s="51" t="n">
        <f aca="false">'Analisa Harga Satuan'!$H$861</f>
        <v>1009800</v>
      </c>
      <c r="F298" s="52" t="n">
        <f aca="false">ROUND(D298*E298,0)</f>
        <v>2019600</v>
      </c>
      <c r="G298" s="49" t="s">
        <v>473</v>
      </c>
      <c r="H298" s="53" t="s">
        <v>189</v>
      </c>
    </row>
    <row r="299" customFormat="false" ht="15" hidden="false" customHeight="false" outlineLevel="0" collapsed="false">
      <c r="A299" s="49" t="s">
        <v>217</v>
      </c>
      <c r="B299" s="29" t="s">
        <v>474</v>
      </c>
      <c r="C299" s="49" t="s">
        <v>183</v>
      </c>
      <c r="D299" s="50" t="n">
        <v>3</v>
      </c>
      <c r="E299" s="51" t="n">
        <f aca="false">'Analisa Harga Satuan'!$H$862</f>
        <v>772200</v>
      </c>
      <c r="F299" s="52" t="n">
        <f aca="false">ROUND(D299*E299,0)</f>
        <v>2316600</v>
      </c>
      <c r="G299" s="49" t="s">
        <v>475</v>
      </c>
      <c r="H299" s="53" t="s">
        <v>189</v>
      </c>
    </row>
    <row r="300" customFormat="false" ht="15" hidden="false" customHeight="false" outlineLevel="0" collapsed="false">
      <c r="A300" s="60" t="s">
        <v>478</v>
      </c>
      <c r="B300" s="61" t="s">
        <v>479</v>
      </c>
    </row>
    <row r="301" customFormat="false" ht="15" hidden="false" customHeight="false" outlineLevel="0" collapsed="false">
      <c r="A301" s="60" t="s">
        <v>78</v>
      </c>
      <c r="B301" s="61" t="s">
        <v>480</v>
      </c>
    </row>
    <row r="302" customFormat="false" ht="15" hidden="false" customHeight="false" outlineLevel="0" collapsed="false">
      <c r="B302" s="54" t="s">
        <v>394</v>
      </c>
    </row>
    <row r="303" customFormat="false" ht="15" hidden="false" customHeight="false" outlineLevel="0" collapsed="false">
      <c r="A303" s="49" t="s">
        <v>139</v>
      </c>
      <c r="B303" s="29" t="s">
        <v>481</v>
      </c>
      <c r="C303" s="49" t="s">
        <v>331</v>
      </c>
      <c r="D303" s="50" t="n">
        <v>613.01</v>
      </c>
      <c r="E303" s="51" t="n">
        <f aca="false">'Analisa Harga Satuan'!$F$631</f>
        <v>113025</v>
      </c>
      <c r="F303" s="52" t="n">
        <f aca="false">ROUND(D303*E303,0)</f>
        <v>69285455</v>
      </c>
      <c r="G303" s="49" t="s">
        <v>482</v>
      </c>
      <c r="H303" s="53" t="s">
        <v>305</v>
      </c>
    </row>
    <row r="304" customFormat="false" ht="15" hidden="false" customHeight="false" outlineLevel="0" collapsed="false">
      <c r="A304" s="49" t="s">
        <v>141</v>
      </c>
      <c r="B304" s="29" t="s">
        <v>483</v>
      </c>
      <c r="C304" s="49" t="s">
        <v>331</v>
      </c>
      <c r="D304" s="50" t="n">
        <v>433.88</v>
      </c>
      <c r="E304" s="51" t="n">
        <f aca="false">'Analisa Harga Satuan'!$F$647</f>
        <v>99605</v>
      </c>
      <c r="F304" s="52" t="n">
        <f aca="false">ROUND(D304*E304,0)</f>
        <v>43216617</v>
      </c>
      <c r="G304" s="49" t="s">
        <v>484</v>
      </c>
      <c r="H304" s="53" t="s">
        <v>305</v>
      </c>
    </row>
    <row r="305" customFormat="false" ht="15" hidden="false" customHeight="false" outlineLevel="0" collapsed="false">
      <c r="A305" s="49" t="s">
        <v>143</v>
      </c>
      <c r="B305" s="29" t="s">
        <v>485</v>
      </c>
      <c r="C305" s="49" t="s">
        <v>331</v>
      </c>
      <c r="D305" s="50" t="n">
        <v>179.13</v>
      </c>
      <c r="E305" s="51" t="n">
        <f aca="false">'Analisa Harga Satuan'!$F$663</f>
        <v>157850</v>
      </c>
      <c r="F305" s="52" t="n">
        <f aca="false">ROUND(D305*E305,0)</f>
        <v>28275671</v>
      </c>
      <c r="G305" s="49" t="s">
        <v>486</v>
      </c>
      <c r="H305" s="53" t="s">
        <v>305</v>
      </c>
    </row>
    <row r="306" customFormat="false" ht="15" hidden="false" customHeight="false" outlineLevel="0" collapsed="false">
      <c r="B306" s="54" t="s">
        <v>406</v>
      </c>
    </row>
    <row r="307" customFormat="false" ht="15" hidden="false" customHeight="false" outlineLevel="0" collapsed="false">
      <c r="A307" s="49" t="s">
        <v>139</v>
      </c>
      <c r="B307" s="29" t="s">
        <v>481</v>
      </c>
      <c r="C307" s="49" t="s">
        <v>331</v>
      </c>
      <c r="D307" s="50" t="n">
        <v>635.53</v>
      </c>
      <c r="E307" s="51" t="n">
        <f aca="false">'Analisa Harga Satuan'!$F$631</f>
        <v>113025</v>
      </c>
      <c r="F307" s="52" t="n">
        <f aca="false">ROUND(D307*E307,0)</f>
        <v>71830778</v>
      </c>
      <c r="G307" s="49" t="s">
        <v>482</v>
      </c>
      <c r="H307" s="53" t="s">
        <v>305</v>
      </c>
    </row>
    <row r="308" customFormat="false" ht="15" hidden="false" customHeight="false" outlineLevel="0" collapsed="false">
      <c r="A308" s="49" t="s">
        <v>141</v>
      </c>
      <c r="B308" s="29" t="s">
        <v>483</v>
      </c>
      <c r="C308" s="49" t="s">
        <v>331</v>
      </c>
      <c r="D308" s="50" t="n">
        <v>595.34</v>
      </c>
      <c r="E308" s="51" t="n">
        <f aca="false">'Analisa Harga Satuan'!$F$647</f>
        <v>99605</v>
      </c>
      <c r="F308" s="52" t="n">
        <f aca="false">ROUND(D308*E308,0)</f>
        <v>59298841</v>
      </c>
      <c r="G308" s="49" t="s">
        <v>484</v>
      </c>
      <c r="H308" s="53" t="s">
        <v>305</v>
      </c>
    </row>
    <row r="309" customFormat="false" ht="15" hidden="false" customHeight="false" outlineLevel="0" collapsed="false">
      <c r="A309" s="49" t="s">
        <v>143</v>
      </c>
      <c r="B309" s="29" t="s">
        <v>485</v>
      </c>
      <c r="C309" s="49" t="s">
        <v>331</v>
      </c>
      <c r="D309" s="50" t="n">
        <v>40.19</v>
      </c>
      <c r="E309" s="51" t="n">
        <f aca="false">'Analisa Harga Satuan'!$F$663</f>
        <v>157850</v>
      </c>
      <c r="F309" s="52" t="n">
        <f aca="false">ROUND(D309*E309,0)</f>
        <v>6343992</v>
      </c>
      <c r="G309" s="49" t="s">
        <v>486</v>
      </c>
      <c r="H309" s="53" t="s">
        <v>305</v>
      </c>
    </row>
    <row r="310" customFormat="false" ht="15" hidden="false" customHeight="false" outlineLevel="0" collapsed="false">
      <c r="B310" s="54" t="s">
        <v>487</v>
      </c>
    </row>
    <row r="311" customFormat="false" ht="15" hidden="false" customHeight="false" outlineLevel="0" collapsed="false">
      <c r="A311" s="49" t="s">
        <v>139</v>
      </c>
      <c r="B311" s="29" t="s">
        <v>481</v>
      </c>
      <c r="C311" s="49" t="s">
        <v>331</v>
      </c>
      <c r="D311" s="50" t="n">
        <v>28.22</v>
      </c>
      <c r="E311" s="51" t="n">
        <f aca="false">'Analisa Harga Satuan'!$F$631</f>
        <v>113025</v>
      </c>
      <c r="F311" s="52" t="n">
        <f aca="false">ROUND(D311*E311,0)</f>
        <v>3189566</v>
      </c>
      <c r="G311" s="49" t="s">
        <v>482</v>
      </c>
      <c r="H311" s="53" t="s">
        <v>305</v>
      </c>
    </row>
    <row r="312" customFormat="false" ht="15" hidden="false" customHeight="false" outlineLevel="0" collapsed="false">
      <c r="A312" s="49" t="s">
        <v>141</v>
      </c>
      <c r="B312" s="29" t="s">
        <v>485</v>
      </c>
      <c r="C312" s="49" t="s">
        <v>331</v>
      </c>
      <c r="D312" s="50" t="n">
        <v>28.22</v>
      </c>
      <c r="E312" s="51" t="n">
        <f aca="false">'Analisa Harga Satuan'!$F$663</f>
        <v>157850</v>
      </c>
      <c r="F312" s="52" t="n">
        <f aca="false">ROUND(D312*E312,0)</f>
        <v>4454527</v>
      </c>
      <c r="G312" s="49" t="s">
        <v>486</v>
      </c>
      <c r="H312" s="53" t="s">
        <v>305</v>
      </c>
    </row>
    <row r="313" customFormat="false" ht="15" hidden="false" customHeight="false" outlineLevel="0" collapsed="false">
      <c r="A313" s="60" t="s">
        <v>93</v>
      </c>
      <c r="B313" s="61" t="s">
        <v>488</v>
      </c>
    </row>
    <row r="314" customFormat="false" ht="15" hidden="false" customHeight="false" outlineLevel="0" collapsed="false">
      <c r="A314" s="49" t="s">
        <v>139</v>
      </c>
      <c r="B314" s="29" t="s">
        <v>489</v>
      </c>
      <c r="C314" s="49" t="s">
        <v>331</v>
      </c>
      <c r="D314" s="50" t="n">
        <v>99.88</v>
      </c>
      <c r="E314" s="51" t="n">
        <f aca="false">'Analisa Harga Satuan'!$F$678</f>
        <v>78914</v>
      </c>
      <c r="F314" s="52" t="n">
        <f aca="false">ROUND(D314*E314,0)</f>
        <v>7881930</v>
      </c>
      <c r="G314" s="49" t="s">
        <v>490</v>
      </c>
      <c r="H314" s="53" t="s">
        <v>305</v>
      </c>
    </row>
    <row r="315" customFormat="false" ht="15" hidden="false" customHeight="false" outlineLevel="0" collapsed="false">
      <c r="A315" s="49" t="s">
        <v>141</v>
      </c>
      <c r="B315" s="29" t="s">
        <v>491</v>
      </c>
      <c r="C315" s="49" t="s">
        <v>331</v>
      </c>
      <c r="D315" s="50" t="n">
        <v>99.88</v>
      </c>
      <c r="E315" s="51" t="n">
        <f aca="false">'Analisa Harga Satuan'!$F$693</f>
        <v>187220</v>
      </c>
      <c r="F315" s="52" t="n">
        <f aca="false">ROUND(D315*E315,0)</f>
        <v>18699534</v>
      </c>
      <c r="G315" s="49" t="s">
        <v>492</v>
      </c>
      <c r="H315" s="53" t="s">
        <v>305</v>
      </c>
    </row>
    <row r="316" customFormat="false" ht="15" hidden="false" customHeight="false" outlineLevel="0" collapsed="false">
      <c r="A316" s="49" t="s">
        <v>143</v>
      </c>
      <c r="B316" s="29" t="s">
        <v>493</v>
      </c>
      <c r="C316" s="49" t="s">
        <v>331</v>
      </c>
      <c r="D316" s="50" t="n">
        <v>424.92</v>
      </c>
      <c r="E316" s="51" t="n">
        <f aca="false">'Analisa Harga Satuan'!$H$864</f>
        <v>268125</v>
      </c>
      <c r="F316" s="52" t="n">
        <f aca="false">ROUND(D316*E316,0)</f>
        <v>113931675</v>
      </c>
      <c r="G316" s="49" t="s">
        <v>494</v>
      </c>
      <c r="H316" s="53" t="s">
        <v>181</v>
      </c>
    </row>
    <row r="317" customFormat="false" ht="15" hidden="false" customHeight="false" outlineLevel="0" collapsed="false">
      <c r="A317" s="49" t="s">
        <v>145</v>
      </c>
      <c r="B317" s="29" t="s">
        <v>495</v>
      </c>
      <c r="C317" s="49" t="s">
        <v>367</v>
      </c>
      <c r="D317" s="50" t="n">
        <v>23.8</v>
      </c>
      <c r="E317" s="51" t="n">
        <f aca="false">'Analisa Harga Satuan'!$H$865</f>
        <v>199375</v>
      </c>
      <c r="F317" s="52" t="n">
        <f aca="false">ROUND(D317*E317,0)</f>
        <v>4745125</v>
      </c>
      <c r="G317" s="49" t="s">
        <v>496</v>
      </c>
      <c r="H317" s="53" t="s">
        <v>181</v>
      </c>
    </row>
    <row r="318" customFormat="false" ht="15" hidden="false" customHeight="false" outlineLevel="0" collapsed="false">
      <c r="A318" s="49" t="s">
        <v>147</v>
      </c>
      <c r="B318" s="29" t="s">
        <v>497</v>
      </c>
      <c r="C318" s="49" t="s">
        <v>431</v>
      </c>
      <c r="D318" s="50" t="n">
        <v>54.95</v>
      </c>
      <c r="E318" s="51" t="n">
        <f aca="false">'Analisa Harga Satuan'!$H$866</f>
        <v>125400</v>
      </c>
      <c r="F318" s="52" t="n">
        <f aca="false">ROUND(D318*E318,0)</f>
        <v>6890730</v>
      </c>
      <c r="G318" s="49" t="s">
        <v>498</v>
      </c>
      <c r="H318" s="53" t="s">
        <v>181</v>
      </c>
    </row>
    <row r="319" customFormat="false" ht="15" hidden="false" customHeight="false" outlineLevel="0" collapsed="false">
      <c r="A319" s="60" t="s">
        <v>499</v>
      </c>
      <c r="B319" s="61" t="s">
        <v>500</v>
      </c>
    </row>
    <row r="320" customFormat="false" ht="15" hidden="false" customHeight="false" outlineLevel="0" collapsed="false">
      <c r="A320" s="49" t="s">
        <v>139</v>
      </c>
      <c r="B320" s="29" t="s">
        <v>501</v>
      </c>
      <c r="C320" s="49" t="s">
        <v>331</v>
      </c>
      <c r="D320" s="50" t="n">
        <v>2403.62</v>
      </c>
      <c r="E320" s="51" t="n">
        <f aca="false">'Analisa Harga Satuan'!$F$711</f>
        <v>38744</v>
      </c>
      <c r="F320" s="52" t="n">
        <f aca="false">ROUND(D320*E320,0)</f>
        <v>93125853</v>
      </c>
      <c r="G320" s="49" t="s">
        <v>502</v>
      </c>
      <c r="H320" s="53" t="s">
        <v>305</v>
      </c>
    </row>
    <row r="321" customFormat="false" ht="15" hidden="false" customHeight="false" outlineLevel="0" collapsed="false">
      <c r="A321" s="49" t="s">
        <v>141</v>
      </c>
      <c r="B321" s="29" t="s">
        <v>503</v>
      </c>
      <c r="C321" s="49" t="s">
        <v>331</v>
      </c>
      <c r="D321" s="50" t="n">
        <v>738.03</v>
      </c>
      <c r="E321" s="51" t="n">
        <f aca="false">'Analisa Harga Satuan'!$F$729</f>
        <v>47896</v>
      </c>
      <c r="F321" s="52" t="n">
        <f aca="false">ROUND(D321*E321,0)</f>
        <v>35348685</v>
      </c>
      <c r="G321" s="49" t="s">
        <v>504</v>
      </c>
      <c r="H321" s="53" t="s">
        <v>305</v>
      </c>
    </row>
    <row r="322" customFormat="false" ht="15" hidden="false" customHeight="false" outlineLevel="0" collapsed="false">
      <c r="A322" s="49" t="s">
        <v>143</v>
      </c>
      <c r="B322" s="29" t="s">
        <v>505</v>
      </c>
      <c r="C322" s="49" t="s">
        <v>331</v>
      </c>
      <c r="D322" s="50" t="n">
        <v>1455.89</v>
      </c>
      <c r="E322" s="51" t="n">
        <f aca="false">'Analisa Harga Satuan'!$F$746</f>
        <v>28932</v>
      </c>
      <c r="F322" s="52" t="n">
        <f aca="false">ROUND(D322*E322,0)</f>
        <v>42121809</v>
      </c>
      <c r="G322" s="49" t="s">
        <v>506</v>
      </c>
      <c r="H322" s="53" t="s">
        <v>305</v>
      </c>
    </row>
    <row r="323" customFormat="false" ht="15" hidden="false" customHeight="false" outlineLevel="0" collapsed="false">
      <c r="A323" s="60" t="s">
        <v>507</v>
      </c>
      <c r="B323" s="61" t="s">
        <v>508</v>
      </c>
    </row>
    <row r="324" customFormat="false" ht="15" hidden="false" customHeight="false" outlineLevel="0" collapsed="false">
      <c r="A324" s="49" t="s">
        <v>139</v>
      </c>
      <c r="B324" s="29" t="s">
        <v>509</v>
      </c>
      <c r="C324" s="49" t="s">
        <v>331</v>
      </c>
      <c r="D324" s="50" t="n">
        <v>111.29</v>
      </c>
      <c r="E324" s="51" t="n">
        <f aca="false">'Analisa Harga Satuan'!$F$383</f>
        <v>247478</v>
      </c>
      <c r="F324" s="52" t="n">
        <f aca="false">ROUND(D324*E324,0)</f>
        <v>27541827</v>
      </c>
      <c r="G324" s="49" t="s">
        <v>510</v>
      </c>
      <c r="H324" s="53" t="s">
        <v>305</v>
      </c>
    </row>
    <row r="325" customFormat="false" ht="15" hidden="false" customHeight="false" outlineLevel="0" collapsed="false">
      <c r="A325" s="49" t="s">
        <v>141</v>
      </c>
      <c r="B325" s="29" t="s">
        <v>511</v>
      </c>
      <c r="C325" s="49" t="s">
        <v>331</v>
      </c>
      <c r="D325" s="50" t="n">
        <v>111.29</v>
      </c>
      <c r="E325" s="51" t="n">
        <f aca="false">'Analisa Harga Satuan'!$F$432</f>
        <v>103703</v>
      </c>
      <c r="F325" s="52" t="n">
        <f aca="false">ROUND(D325*E325,0)</f>
        <v>11541107</v>
      </c>
      <c r="G325" s="49" t="s">
        <v>399</v>
      </c>
      <c r="H325" s="53" t="s">
        <v>305</v>
      </c>
    </row>
    <row r="326" customFormat="false" ht="15" hidden="false" customHeight="false" outlineLevel="0" collapsed="false">
      <c r="A326" s="49" t="s">
        <v>143</v>
      </c>
      <c r="B326" s="29" t="s">
        <v>512</v>
      </c>
      <c r="C326" s="49" t="s">
        <v>331</v>
      </c>
      <c r="D326" s="50" t="n">
        <v>111.29</v>
      </c>
      <c r="E326" s="51" t="n">
        <f aca="false">'Analisa Harga Satuan'!$F$479</f>
        <v>58982</v>
      </c>
      <c r="F326" s="52" t="n">
        <f aca="false">ROUND(D326*E326,0)</f>
        <v>6564107</v>
      </c>
      <c r="G326" s="49" t="s">
        <v>403</v>
      </c>
      <c r="H326" s="53" t="s">
        <v>305</v>
      </c>
    </row>
    <row r="327" customFormat="false" ht="15" hidden="false" customHeight="false" outlineLevel="0" collapsed="false">
      <c r="A327" s="49" t="s">
        <v>145</v>
      </c>
      <c r="B327" s="29" t="s">
        <v>513</v>
      </c>
      <c r="C327" s="49" t="s">
        <v>206</v>
      </c>
      <c r="D327" s="50" t="n">
        <v>4</v>
      </c>
      <c r="E327" s="51" t="n">
        <f aca="false">'Analisa Harga Satuan'!$H$867</f>
        <v>1518000</v>
      </c>
      <c r="F327" s="52" t="n">
        <f aca="false">ROUND(D327*E327,0)</f>
        <v>6072000</v>
      </c>
      <c r="G327" s="49" t="s">
        <v>514</v>
      </c>
      <c r="H327" s="53" t="s">
        <v>181</v>
      </c>
    </row>
    <row r="328" customFormat="false" ht="15" hidden="false" customHeight="false" outlineLevel="0" collapsed="false">
      <c r="A328" s="49" t="s">
        <v>147</v>
      </c>
      <c r="B328" s="29" t="s">
        <v>310</v>
      </c>
      <c r="C328" s="49" t="s">
        <v>331</v>
      </c>
      <c r="D328" s="50" t="n">
        <v>1.95</v>
      </c>
      <c r="E328" s="51" t="n">
        <f aca="false">'Analisa Harga Satuan'!$F$798</f>
        <v>23568</v>
      </c>
      <c r="F328" s="52" t="n">
        <f aca="false">ROUND(D328*E328,0)</f>
        <v>45958</v>
      </c>
      <c r="G328" s="49" t="s">
        <v>515</v>
      </c>
      <c r="H328" s="53" t="s">
        <v>305</v>
      </c>
    </row>
    <row r="329" customFormat="false" ht="15" hidden="false" customHeight="false" outlineLevel="0" collapsed="false">
      <c r="A329" s="49" t="s">
        <v>149</v>
      </c>
      <c r="B329" s="29" t="s">
        <v>516</v>
      </c>
      <c r="C329" s="49" t="s">
        <v>303</v>
      </c>
      <c r="D329" s="50" t="n">
        <v>2.55</v>
      </c>
      <c r="E329" s="51" t="n">
        <f aca="false">'Analisa Harga Satuan'!$F$228</f>
        <v>1386820</v>
      </c>
      <c r="F329" s="52" t="n">
        <f aca="false">ROUND(D329*E329,0)</f>
        <v>3536391</v>
      </c>
      <c r="G329" s="49" t="s">
        <v>324</v>
      </c>
      <c r="H329" s="53" t="s">
        <v>305</v>
      </c>
    </row>
    <row r="330" customFormat="false" ht="15" hidden="false" customHeight="false" outlineLevel="0" collapsed="false">
      <c r="A330" s="49" t="s">
        <v>151</v>
      </c>
      <c r="B330" s="29" t="s">
        <v>366</v>
      </c>
      <c r="C330" s="49" t="s">
        <v>367</v>
      </c>
      <c r="D330" s="50" t="n">
        <v>41.11</v>
      </c>
      <c r="E330" s="51" t="n">
        <f aca="false">'Analisa Harga Satuan'!$F$355</f>
        <v>246954</v>
      </c>
      <c r="F330" s="52" t="n">
        <f aca="false">ROUND(D330*E330,0)</f>
        <v>10152279</v>
      </c>
      <c r="G330" s="49" t="s">
        <v>368</v>
      </c>
      <c r="H330" s="53" t="s">
        <v>305</v>
      </c>
    </row>
    <row r="331" customFormat="false" ht="25.5" hidden="false" customHeight="true" outlineLevel="0" collapsed="false">
      <c r="A331" s="49" t="s">
        <v>423</v>
      </c>
      <c r="B331" s="29" t="s">
        <v>369</v>
      </c>
      <c r="C331" s="49" t="s">
        <v>367</v>
      </c>
      <c r="D331" s="50" t="n">
        <v>306.98</v>
      </c>
      <c r="E331" s="51" t="n">
        <f aca="false">'Analisa Harga Satuan'!$F$366</f>
        <v>238292</v>
      </c>
      <c r="F331" s="52" t="n">
        <f aca="false">ROUND(D331*E331,0)</f>
        <v>73150878</v>
      </c>
      <c r="G331" s="49" t="s">
        <v>370</v>
      </c>
      <c r="H331" s="53" t="s">
        <v>305</v>
      </c>
    </row>
    <row r="332" customFormat="false" ht="15" hidden="false" customHeight="false" outlineLevel="0" collapsed="false">
      <c r="A332" s="55"/>
      <c r="B332" s="56" t="s">
        <v>517</v>
      </c>
      <c r="C332" s="55"/>
      <c r="D332" s="55"/>
      <c r="E332" s="55"/>
      <c r="F332" s="27" t="n">
        <f aca="false">SUM(F229:F331)</f>
        <v>4981319345</v>
      </c>
      <c r="G332" s="55"/>
      <c r="H332" s="55"/>
    </row>
    <row r="333" customFormat="false" ht="15" hidden="false" customHeight="false" outlineLevel="0" collapsed="false">
      <c r="A333" s="46" t="s">
        <v>86</v>
      </c>
      <c r="B333" s="47" t="s">
        <v>87</v>
      </c>
      <c r="C333" s="48"/>
      <c r="D333" s="48"/>
      <c r="E333" s="48"/>
      <c r="F333" s="48"/>
      <c r="G333" s="48"/>
      <c r="H333" s="48"/>
    </row>
    <row r="334" customFormat="false" ht="15" hidden="false" customHeight="false" outlineLevel="0" collapsed="false">
      <c r="A334" s="60" t="s">
        <v>78</v>
      </c>
      <c r="B334" s="61" t="s">
        <v>518</v>
      </c>
    </row>
    <row r="335" customFormat="false" ht="15" hidden="false" customHeight="false" outlineLevel="0" collapsed="false">
      <c r="A335" s="49" t="s">
        <v>139</v>
      </c>
      <c r="B335" s="29" t="s">
        <v>519</v>
      </c>
      <c r="C335" s="49" t="s">
        <v>520</v>
      </c>
      <c r="D335" s="50" t="n">
        <v>5</v>
      </c>
      <c r="E335" s="51" t="n">
        <f aca="false">'Analisa Harga Satuan'!$H$868</f>
        <v>715000</v>
      </c>
      <c r="F335" s="52" t="n">
        <f aca="false">ROUND(D335*E335,0)</f>
        <v>3575000</v>
      </c>
      <c r="G335" s="49" t="s">
        <v>521</v>
      </c>
      <c r="H335" s="53" t="s">
        <v>181</v>
      </c>
    </row>
    <row r="336" customFormat="false" ht="15" hidden="false" customHeight="false" outlineLevel="0" collapsed="false">
      <c r="A336" s="49" t="s">
        <v>141</v>
      </c>
      <c r="B336" s="29" t="s">
        <v>522</v>
      </c>
      <c r="C336" s="49" t="s">
        <v>520</v>
      </c>
      <c r="D336" s="50" t="n">
        <v>4</v>
      </c>
      <c r="E336" s="51" t="n">
        <f aca="false">'Analisa Harga Satuan'!$H$868</f>
        <v>715000</v>
      </c>
      <c r="F336" s="52" t="n">
        <f aca="false">ROUND(D336*E336,0)</f>
        <v>2860000</v>
      </c>
      <c r="G336" s="49" t="s">
        <v>521</v>
      </c>
      <c r="H336" s="53" t="s">
        <v>181</v>
      </c>
    </row>
    <row r="337" customFormat="false" ht="15" hidden="false" customHeight="false" outlineLevel="0" collapsed="false">
      <c r="A337" s="60" t="s">
        <v>523</v>
      </c>
      <c r="B337" s="61" t="s">
        <v>524</v>
      </c>
    </row>
    <row r="338" customFormat="false" ht="15" hidden="false" customHeight="false" outlineLevel="0" collapsed="false">
      <c r="A338" s="60" t="s">
        <v>78</v>
      </c>
      <c r="B338" s="61" t="s">
        <v>525</v>
      </c>
    </row>
    <row r="339" customFormat="false" ht="15" hidden="false" customHeight="false" outlineLevel="0" collapsed="false">
      <c r="A339" s="49" t="s">
        <v>139</v>
      </c>
      <c r="B339" s="29" t="s">
        <v>526</v>
      </c>
      <c r="C339" s="49" t="s">
        <v>520</v>
      </c>
      <c r="D339" s="50" t="n">
        <v>1</v>
      </c>
      <c r="E339" s="51" t="n">
        <f aca="false">'Analisa Harga Satuan'!$H$869</f>
        <v>8580000</v>
      </c>
      <c r="F339" s="52" t="n">
        <f aca="false">ROUND(D339*E339,0)</f>
        <v>8580000</v>
      </c>
      <c r="G339" s="49" t="s">
        <v>527</v>
      </c>
      <c r="H339" s="53" t="s">
        <v>181</v>
      </c>
    </row>
    <row r="340" customFormat="false" ht="15" hidden="false" customHeight="false" outlineLevel="0" collapsed="false">
      <c r="A340" s="49" t="s">
        <v>141</v>
      </c>
      <c r="B340" s="29" t="s">
        <v>528</v>
      </c>
      <c r="C340" s="49" t="s">
        <v>520</v>
      </c>
      <c r="D340" s="50" t="n">
        <v>2</v>
      </c>
      <c r="E340" s="51" t="n">
        <f aca="false">'Analisa Harga Satuan'!$H$870</f>
        <v>10120000</v>
      </c>
      <c r="F340" s="52" t="n">
        <f aca="false">ROUND(D340*E340,0)</f>
        <v>20240000</v>
      </c>
      <c r="G340" s="49" t="s">
        <v>529</v>
      </c>
      <c r="H340" s="53" t="s">
        <v>181</v>
      </c>
    </row>
    <row r="341" customFormat="false" ht="15" hidden="false" customHeight="false" outlineLevel="0" collapsed="false">
      <c r="A341" s="49" t="s">
        <v>143</v>
      </c>
      <c r="B341" s="29" t="s">
        <v>530</v>
      </c>
      <c r="C341" s="49" t="s">
        <v>520</v>
      </c>
      <c r="D341" s="50" t="n">
        <v>1</v>
      </c>
      <c r="E341" s="51" t="n">
        <f aca="false">'Analisa Harga Satuan'!$H$871</f>
        <v>12980000</v>
      </c>
      <c r="F341" s="52" t="n">
        <f aca="false">ROUND(D341*E341,0)</f>
        <v>12980000</v>
      </c>
      <c r="G341" s="49" t="s">
        <v>531</v>
      </c>
      <c r="H341" s="53" t="s">
        <v>181</v>
      </c>
    </row>
    <row r="342" customFormat="false" ht="15" hidden="false" customHeight="false" outlineLevel="0" collapsed="false">
      <c r="A342" s="49" t="s">
        <v>145</v>
      </c>
      <c r="B342" s="29" t="s">
        <v>532</v>
      </c>
      <c r="C342" s="49" t="s">
        <v>520</v>
      </c>
      <c r="D342" s="50" t="n">
        <v>2</v>
      </c>
      <c r="E342" s="51" t="n">
        <f aca="false">'Analisa Harga Satuan'!$H$872</f>
        <v>13750000</v>
      </c>
      <c r="F342" s="52" t="n">
        <f aca="false">ROUND(D342*E342,0)</f>
        <v>27500000</v>
      </c>
      <c r="G342" s="49" t="s">
        <v>533</v>
      </c>
      <c r="H342" s="53" t="s">
        <v>181</v>
      </c>
    </row>
    <row r="343" customFormat="false" ht="15" hidden="false" customHeight="false" outlineLevel="0" collapsed="false">
      <c r="A343" s="49" t="s">
        <v>147</v>
      </c>
      <c r="B343" s="29" t="s">
        <v>534</v>
      </c>
      <c r="C343" s="49" t="s">
        <v>520</v>
      </c>
      <c r="D343" s="50" t="n">
        <v>1</v>
      </c>
      <c r="E343" s="51" t="n">
        <f aca="false">'Analisa Harga Satuan'!$H$873</f>
        <v>15950000</v>
      </c>
      <c r="F343" s="52" t="n">
        <f aca="false">ROUND(D343*E343,0)</f>
        <v>15950000</v>
      </c>
      <c r="G343" s="49" t="s">
        <v>535</v>
      </c>
      <c r="H343" s="53" t="s">
        <v>181</v>
      </c>
    </row>
    <row r="344" customFormat="false" ht="15" hidden="false" customHeight="false" outlineLevel="0" collapsed="false">
      <c r="A344" s="49" t="s">
        <v>149</v>
      </c>
      <c r="B344" s="29" t="s">
        <v>536</v>
      </c>
      <c r="C344" s="49" t="s">
        <v>520</v>
      </c>
      <c r="D344" s="50" t="n">
        <v>3</v>
      </c>
      <c r="E344" s="51" t="n">
        <f aca="false">'Analisa Harga Satuan'!$H$874</f>
        <v>19250000</v>
      </c>
      <c r="F344" s="52" t="n">
        <f aca="false">ROUND(D344*E344,0)</f>
        <v>57750000</v>
      </c>
      <c r="G344" s="49" t="s">
        <v>537</v>
      </c>
      <c r="H344" s="53" t="s">
        <v>181</v>
      </c>
    </row>
    <row r="345" customFormat="false" ht="15" hidden="false" customHeight="false" outlineLevel="0" collapsed="false">
      <c r="A345" s="60" t="s">
        <v>93</v>
      </c>
      <c r="B345" s="61" t="s">
        <v>538</v>
      </c>
    </row>
    <row r="346" customFormat="false" ht="15" hidden="false" customHeight="false" outlineLevel="0" collapsed="false">
      <c r="A346" s="49" t="s">
        <v>139</v>
      </c>
      <c r="B346" s="29" t="s">
        <v>526</v>
      </c>
      <c r="C346" s="49" t="s">
        <v>520</v>
      </c>
      <c r="D346" s="50" t="n">
        <v>3</v>
      </c>
      <c r="E346" s="51" t="n">
        <f aca="false">'Analisa Harga Satuan'!$H$869</f>
        <v>8580000</v>
      </c>
      <c r="F346" s="52" t="n">
        <f aca="false">ROUND(D346*E346,0)</f>
        <v>25740000</v>
      </c>
      <c r="G346" s="49" t="s">
        <v>527</v>
      </c>
      <c r="H346" s="53" t="s">
        <v>181</v>
      </c>
    </row>
    <row r="347" customFormat="false" ht="15" hidden="false" customHeight="false" outlineLevel="0" collapsed="false">
      <c r="A347" s="49" t="s">
        <v>141</v>
      </c>
      <c r="B347" s="29" t="s">
        <v>528</v>
      </c>
      <c r="C347" s="49" t="s">
        <v>520</v>
      </c>
      <c r="D347" s="50" t="n">
        <v>2</v>
      </c>
      <c r="E347" s="51" t="n">
        <f aca="false">'Analisa Harga Satuan'!$H$870</f>
        <v>10120000</v>
      </c>
      <c r="F347" s="52" t="n">
        <f aca="false">ROUND(D347*E347,0)</f>
        <v>20240000</v>
      </c>
      <c r="G347" s="49" t="s">
        <v>529</v>
      </c>
      <c r="H347" s="53" t="s">
        <v>181</v>
      </c>
    </row>
    <row r="348" customFormat="false" ht="15" hidden="false" customHeight="false" outlineLevel="0" collapsed="false">
      <c r="A348" s="49" t="s">
        <v>143</v>
      </c>
      <c r="B348" s="29" t="s">
        <v>539</v>
      </c>
      <c r="C348" s="49" t="s">
        <v>520</v>
      </c>
      <c r="D348" s="50" t="n">
        <v>1</v>
      </c>
      <c r="E348" s="51" t="n">
        <f aca="false">'Analisa Harga Satuan'!$H$875</f>
        <v>11550000</v>
      </c>
      <c r="F348" s="52" t="n">
        <f aca="false">ROUND(D348*E348,0)</f>
        <v>11550000</v>
      </c>
      <c r="G348" s="49" t="s">
        <v>540</v>
      </c>
      <c r="H348" s="53" t="s">
        <v>181</v>
      </c>
    </row>
    <row r="349" customFormat="false" ht="15" hidden="false" customHeight="false" outlineLevel="0" collapsed="false">
      <c r="A349" s="49" t="s">
        <v>145</v>
      </c>
      <c r="B349" s="29" t="s">
        <v>534</v>
      </c>
      <c r="C349" s="49" t="s">
        <v>520</v>
      </c>
      <c r="D349" s="50" t="n">
        <v>1</v>
      </c>
      <c r="E349" s="51" t="n">
        <f aca="false">'Analisa Harga Satuan'!$H$873</f>
        <v>15950000</v>
      </c>
      <c r="F349" s="52" t="n">
        <f aca="false">ROUND(D349*E349,0)</f>
        <v>15950000</v>
      </c>
      <c r="G349" s="49" t="s">
        <v>535</v>
      </c>
      <c r="H349" s="53" t="s">
        <v>181</v>
      </c>
    </row>
    <row r="350" customFormat="false" ht="15" hidden="false" customHeight="false" outlineLevel="0" collapsed="false">
      <c r="A350" s="49" t="s">
        <v>147</v>
      </c>
      <c r="B350" s="29" t="s">
        <v>541</v>
      </c>
      <c r="C350" s="49" t="s">
        <v>520</v>
      </c>
      <c r="D350" s="50" t="n">
        <v>3</v>
      </c>
      <c r="E350" s="51" t="n">
        <f aca="false">'Analisa Harga Satuan'!$H$876</f>
        <v>21450000</v>
      </c>
      <c r="F350" s="52" t="n">
        <f aca="false">ROUND(D350*E350,0)</f>
        <v>64350000</v>
      </c>
      <c r="G350" s="49" t="s">
        <v>542</v>
      </c>
      <c r="H350" s="53" t="s">
        <v>181</v>
      </c>
    </row>
    <row r="351" customFormat="false" ht="15" hidden="false" customHeight="false" outlineLevel="0" collapsed="false">
      <c r="A351" s="49" t="s">
        <v>149</v>
      </c>
      <c r="B351" s="29" t="s">
        <v>543</v>
      </c>
      <c r="C351" s="49" t="s">
        <v>520</v>
      </c>
      <c r="D351" s="50" t="n">
        <v>1</v>
      </c>
      <c r="E351" s="51" t="n">
        <f aca="false">'Analisa Harga Satuan'!$H$877</f>
        <v>23650000</v>
      </c>
      <c r="F351" s="52" t="n">
        <f aca="false">ROUND(D351*E351,0)</f>
        <v>23650000</v>
      </c>
      <c r="G351" s="49" t="s">
        <v>544</v>
      </c>
      <c r="H351" s="53" t="s">
        <v>181</v>
      </c>
    </row>
    <row r="352" customFormat="false" ht="15" hidden="false" customHeight="false" outlineLevel="0" collapsed="false">
      <c r="A352" s="60" t="s">
        <v>102</v>
      </c>
      <c r="B352" s="61" t="s">
        <v>545</v>
      </c>
    </row>
    <row r="353" customFormat="false" ht="15" hidden="false" customHeight="false" outlineLevel="0" collapsed="false">
      <c r="A353" s="49" t="s">
        <v>139</v>
      </c>
      <c r="B353" s="29" t="s">
        <v>546</v>
      </c>
      <c r="C353" s="49" t="s">
        <v>520</v>
      </c>
      <c r="D353" s="50" t="n">
        <v>2</v>
      </c>
      <c r="E353" s="51" t="n">
        <f aca="false">'Analisa Harga Satuan'!$H$878</f>
        <v>10450000</v>
      </c>
      <c r="F353" s="52" t="n">
        <f aca="false">ROUND(D353*E353,0)</f>
        <v>20900000</v>
      </c>
      <c r="G353" s="49" t="s">
        <v>547</v>
      </c>
      <c r="H353" s="53" t="s">
        <v>181</v>
      </c>
    </row>
    <row r="354" customFormat="false" ht="15" hidden="false" customHeight="false" outlineLevel="0" collapsed="false">
      <c r="A354" s="60" t="s">
        <v>102</v>
      </c>
      <c r="B354" s="61" t="s">
        <v>548</v>
      </c>
    </row>
    <row r="355" customFormat="false" ht="15" hidden="false" customHeight="false" outlineLevel="0" collapsed="false">
      <c r="A355" s="49" t="s">
        <v>139</v>
      </c>
      <c r="B355" s="29" t="s">
        <v>549</v>
      </c>
      <c r="C355" s="49" t="s">
        <v>520</v>
      </c>
      <c r="D355" s="50" t="n">
        <v>1</v>
      </c>
      <c r="E355" s="51" t="n">
        <f aca="false">'Analisa Harga Satuan'!$H$879</f>
        <v>313500000</v>
      </c>
      <c r="F355" s="52" t="n">
        <f aca="false">ROUND(D355*E355,0)</f>
        <v>313500000</v>
      </c>
      <c r="G355" s="49" t="s">
        <v>550</v>
      </c>
      <c r="H355" s="53" t="s">
        <v>181</v>
      </c>
    </row>
    <row r="356" customFormat="false" ht="15" hidden="false" customHeight="false" outlineLevel="0" collapsed="false">
      <c r="A356" s="49" t="s">
        <v>141</v>
      </c>
      <c r="B356" s="29" t="s">
        <v>551</v>
      </c>
      <c r="C356" s="49" t="s">
        <v>520</v>
      </c>
      <c r="D356" s="50" t="n">
        <v>1</v>
      </c>
      <c r="E356" s="51" t="n">
        <f aca="false">'Analisa Harga Satuan'!$H$880</f>
        <v>346500000</v>
      </c>
      <c r="F356" s="52" t="n">
        <f aca="false">ROUND(D356*E356,0)</f>
        <v>346500000</v>
      </c>
      <c r="G356" s="49" t="s">
        <v>552</v>
      </c>
      <c r="H356" s="53" t="s">
        <v>181</v>
      </c>
    </row>
    <row r="357" customFormat="false" ht="15" hidden="false" customHeight="false" outlineLevel="0" collapsed="false">
      <c r="A357" s="60" t="s">
        <v>111</v>
      </c>
      <c r="B357" s="61" t="s">
        <v>553</v>
      </c>
    </row>
    <row r="358" customFormat="false" ht="15" hidden="false" customHeight="false" outlineLevel="0" collapsed="false">
      <c r="B358" s="54" t="s">
        <v>554</v>
      </c>
    </row>
    <row r="359" customFormat="false" ht="15" hidden="false" customHeight="false" outlineLevel="0" collapsed="false">
      <c r="A359" s="49" t="s">
        <v>139</v>
      </c>
      <c r="B359" s="29" t="s">
        <v>555</v>
      </c>
      <c r="C359" s="49" t="s">
        <v>520</v>
      </c>
      <c r="D359" s="50" t="n">
        <v>20</v>
      </c>
      <c r="E359" s="51" t="n">
        <f aca="false">'Analisa Harga Satuan'!$H$881</f>
        <v>2035000</v>
      </c>
      <c r="F359" s="52" t="n">
        <f aca="false">ROUND(D359*E359,0)</f>
        <v>40700000</v>
      </c>
      <c r="G359" s="49" t="s">
        <v>556</v>
      </c>
      <c r="H359" s="53" t="s">
        <v>181</v>
      </c>
    </row>
    <row r="360" customFormat="false" ht="15" hidden="false" customHeight="false" outlineLevel="0" collapsed="false">
      <c r="A360" s="49" t="s">
        <v>141</v>
      </c>
      <c r="B360" s="29" t="s">
        <v>557</v>
      </c>
      <c r="C360" s="49" t="s">
        <v>520</v>
      </c>
      <c r="D360" s="50" t="n">
        <v>11</v>
      </c>
      <c r="E360" s="51" t="n">
        <f aca="false">'Analisa Harga Satuan'!$H$882</f>
        <v>1045000</v>
      </c>
      <c r="F360" s="52" t="n">
        <f aca="false">ROUND(D360*E360,0)</f>
        <v>11495000</v>
      </c>
      <c r="G360" s="49" t="s">
        <v>558</v>
      </c>
      <c r="H360" s="53" t="s">
        <v>181</v>
      </c>
    </row>
    <row r="361" customFormat="false" ht="15" hidden="false" customHeight="false" outlineLevel="0" collapsed="false">
      <c r="A361" s="49" t="s">
        <v>143</v>
      </c>
      <c r="B361" s="29" t="s">
        <v>559</v>
      </c>
      <c r="C361" s="49" t="s">
        <v>520</v>
      </c>
      <c r="D361" s="50" t="n">
        <v>10</v>
      </c>
      <c r="E361" s="51" t="n">
        <f aca="false">'Analisa Harga Satuan'!$H$883</f>
        <v>1375000</v>
      </c>
      <c r="F361" s="52" t="n">
        <f aca="false">ROUND(D361*E361,0)</f>
        <v>13750000</v>
      </c>
      <c r="G361" s="49" t="s">
        <v>560</v>
      </c>
      <c r="H361" s="53" t="s">
        <v>181</v>
      </c>
    </row>
    <row r="362" customFormat="false" ht="15" hidden="false" customHeight="false" outlineLevel="0" collapsed="false">
      <c r="A362" s="49" t="s">
        <v>145</v>
      </c>
      <c r="B362" s="29" t="s">
        <v>561</v>
      </c>
      <c r="C362" s="49" t="s">
        <v>520</v>
      </c>
      <c r="D362" s="50" t="n">
        <v>1</v>
      </c>
      <c r="E362" s="51" t="n">
        <f aca="false">'Analisa Harga Satuan'!$H$884</f>
        <v>9350000</v>
      </c>
      <c r="F362" s="52" t="n">
        <f aca="false">ROUND(D362*E362,0)</f>
        <v>9350000</v>
      </c>
      <c r="G362" s="49" t="s">
        <v>562</v>
      </c>
      <c r="H362" s="53" t="s">
        <v>181</v>
      </c>
    </row>
    <row r="363" customFormat="false" ht="15" hidden="false" customHeight="false" outlineLevel="0" collapsed="false">
      <c r="A363" s="60" t="s">
        <v>78</v>
      </c>
      <c r="B363" s="61" t="s">
        <v>563</v>
      </c>
    </row>
    <row r="364" customFormat="false" ht="15" hidden="false" customHeight="false" outlineLevel="0" collapsed="false">
      <c r="B364" s="54" t="s">
        <v>564</v>
      </c>
    </row>
    <row r="365" customFormat="false" ht="15" hidden="false" customHeight="false" outlineLevel="0" collapsed="false">
      <c r="A365" s="49" t="s">
        <v>139</v>
      </c>
      <c r="B365" s="29" t="s">
        <v>565</v>
      </c>
      <c r="C365" s="49" t="s">
        <v>183</v>
      </c>
      <c r="D365" s="50" t="n">
        <v>2</v>
      </c>
      <c r="E365" s="51" t="n">
        <f aca="false">'Analisa Harga Satuan'!$H$885</f>
        <v>9350000</v>
      </c>
      <c r="F365" s="52" t="n">
        <f aca="false">ROUND(D365*E365,0)</f>
        <v>18700000</v>
      </c>
      <c r="G365" s="49" t="s">
        <v>566</v>
      </c>
      <c r="H365" s="53" t="s">
        <v>181</v>
      </c>
    </row>
    <row r="366" customFormat="false" ht="25.5" hidden="false" customHeight="true" outlineLevel="0" collapsed="false">
      <c r="A366" s="49" t="s">
        <v>141</v>
      </c>
      <c r="B366" s="29" t="s">
        <v>567</v>
      </c>
      <c r="C366" s="49" t="s">
        <v>568</v>
      </c>
      <c r="D366" s="50" t="n">
        <v>2</v>
      </c>
      <c r="E366" s="51" t="n">
        <f aca="false">'Analisa Harga Satuan'!$H$886</f>
        <v>3135000</v>
      </c>
      <c r="F366" s="52" t="n">
        <f aca="false">ROUND(D366*E366,0)</f>
        <v>6270000</v>
      </c>
      <c r="G366" s="49" t="s">
        <v>569</v>
      </c>
      <c r="H366" s="53" t="s">
        <v>181</v>
      </c>
    </row>
    <row r="367" customFormat="false" ht="15" hidden="false" customHeight="false" outlineLevel="0" collapsed="false">
      <c r="A367" s="49" t="s">
        <v>143</v>
      </c>
      <c r="B367" s="29" t="s">
        <v>570</v>
      </c>
      <c r="C367" s="49" t="s">
        <v>431</v>
      </c>
      <c r="D367" s="50" t="n">
        <v>20</v>
      </c>
      <c r="E367" s="51" t="n">
        <f aca="false">'Analisa Harga Satuan'!$H$887</f>
        <v>313500</v>
      </c>
      <c r="F367" s="52" t="n">
        <f aca="false">ROUND(D367*E367,0)</f>
        <v>6270000</v>
      </c>
      <c r="G367" s="49" t="s">
        <v>571</v>
      </c>
      <c r="H367" s="53" t="s">
        <v>181</v>
      </c>
    </row>
    <row r="368" customFormat="false" ht="15" hidden="false" customHeight="false" outlineLevel="0" collapsed="false">
      <c r="B368" s="54" t="s">
        <v>572</v>
      </c>
    </row>
    <row r="369" customFormat="false" ht="15" hidden="false" customHeight="false" outlineLevel="0" collapsed="false">
      <c r="A369" s="49" t="s">
        <v>139</v>
      </c>
      <c r="B369" s="29" t="s">
        <v>573</v>
      </c>
      <c r="C369" s="49" t="s">
        <v>520</v>
      </c>
      <c r="D369" s="50" t="n">
        <v>10</v>
      </c>
      <c r="E369" s="51" t="n">
        <f aca="false">'Analisa Harga Satuan'!$H$888</f>
        <v>1375000</v>
      </c>
      <c r="F369" s="52" t="n">
        <f aca="false">ROUND(D369*E369,0)</f>
        <v>13750000</v>
      </c>
      <c r="G369" s="49" t="s">
        <v>574</v>
      </c>
      <c r="H369" s="53" t="s">
        <v>181</v>
      </c>
    </row>
    <row r="370" customFormat="false" ht="15" hidden="false" customHeight="false" outlineLevel="0" collapsed="false">
      <c r="A370" s="49" t="s">
        <v>141</v>
      </c>
      <c r="B370" s="29" t="s">
        <v>575</v>
      </c>
      <c r="C370" s="49" t="s">
        <v>520</v>
      </c>
      <c r="D370" s="50" t="n">
        <v>11</v>
      </c>
      <c r="E370" s="51" t="n">
        <f aca="false">'Analisa Harga Satuan'!$H$889</f>
        <v>1815000</v>
      </c>
      <c r="F370" s="52" t="n">
        <f aca="false">ROUND(D370*E370,0)</f>
        <v>19965000</v>
      </c>
      <c r="G370" s="49" t="s">
        <v>576</v>
      </c>
      <c r="H370" s="53" t="s">
        <v>181</v>
      </c>
    </row>
    <row r="371" customFormat="false" ht="15" hidden="false" customHeight="false" outlineLevel="0" collapsed="false">
      <c r="B371" s="54" t="s">
        <v>577</v>
      </c>
    </row>
    <row r="372" customFormat="false" ht="15" hidden="false" customHeight="false" outlineLevel="0" collapsed="false">
      <c r="A372" s="49" t="s">
        <v>139</v>
      </c>
      <c r="B372" s="29" t="s">
        <v>578</v>
      </c>
      <c r="C372" s="49" t="s">
        <v>520</v>
      </c>
      <c r="D372" s="50" t="n">
        <v>1</v>
      </c>
      <c r="E372" s="51" t="n">
        <f aca="false">'Analisa Harga Satuan'!$H$890</f>
        <v>715000</v>
      </c>
      <c r="F372" s="52" t="n">
        <f aca="false">ROUND(D372*E372,0)</f>
        <v>715000</v>
      </c>
      <c r="G372" s="49" t="s">
        <v>579</v>
      </c>
      <c r="H372" s="53" t="s">
        <v>181</v>
      </c>
    </row>
    <row r="373" customFormat="false" ht="15" hidden="false" customHeight="false" outlineLevel="0" collapsed="false">
      <c r="B373" s="54" t="s">
        <v>580</v>
      </c>
    </row>
    <row r="374" customFormat="false" ht="25.5" hidden="false" customHeight="true" outlineLevel="0" collapsed="false">
      <c r="A374" s="49" t="s">
        <v>139</v>
      </c>
      <c r="B374" s="29" t="s">
        <v>581</v>
      </c>
      <c r="C374" s="49" t="s">
        <v>520</v>
      </c>
      <c r="D374" s="50" t="n">
        <v>2</v>
      </c>
      <c r="E374" s="51" t="n">
        <f aca="false">'Analisa Harga Satuan'!$H$891</f>
        <v>2035000</v>
      </c>
      <c r="F374" s="52" t="n">
        <f aca="false">ROUND(D374*E374,0)</f>
        <v>4070000</v>
      </c>
      <c r="G374" s="49" t="s">
        <v>582</v>
      </c>
      <c r="H374" s="53" t="s">
        <v>181</v>
      </c>
    </row>
    <row r="375" customFormat="false" ht="15" hidden="false" customHeight="false" outlineLevel="0" collapsed="false">
      <c r="A375" s="60" t="s">
        <v>93</v>
      </c>
      <c r="B375" s="61" t="s">
        <v>583</v>
      </c>
    </row>
    <row r="376" customFormat="false" ht="15" hidden="false" customHeight="false" outlineLevel="0" collapsed="false">
      <c r="B376" s="54" t="s">
        <v>584</v>
      </c>
    </row>
    <row r="377" customFormat="false" ht="25.5" hidden="false" customHeight="true" outlineLevel="0" collapsed="false">
      <c r="A377" s="49" t="s">
        <v>139</v>
      </c>
      <c r="B377" s="29" t="s">
        <v>585</v>
      </c>
      <c r="C377" s="49" t="s">
        <v>431</v>
      </c>
      <c r="D377" s="50" t="n">
        <v>45</v>
      </c>
      <c r="E377" s="51" t="n">
        <f aca="false">'Analisa Harga Satuan'!$H$892</f>
        <v>269500</v>
      </c>
      <c r="F377" s="52" t="n">
        <f aca="false">ROUND(D377*E377,0)</f>
        <v>12127500</v>
      </c>
      <c r="G377" s="49" t="s">
        <v>586</v>
      </c>
      <c r="H377" s="53" t="s">
        <v>181</v>
      </c>
    </row>
    <row r="378" customFormat="false" ht="15" hidden="false" customHeight="false" outlineLevel="0" collapsed="false">
      <c r="B378" s="54" t="s">
        <v>587</v>
      </c>
    </row>
    <row r="379" customFormat="false" ht="25.5" hidden="false" customHeight="true" outlineLevel="0" collapsed="false">
      <c r="B379" s="54" t="s">
        <v>588</v>
      </c>
    </row>
    <row r="380" customFormat="false" ht="25.5" hidden="false" customHeight="true" outlineLevel="0" collapsed="false">
      <c r="A380" s="49" t="s">
        <v>139</v>
      </c>
      <c r="B380" s="29" t="s">
        <v>589</v>
      </c>
      <c r="C380" s="49" t="s">
        <v>431</v>
      </c>
      <c r="D380" s="50" t="n">
        <v>75</v>
      </c>
      <c r="E380" s="51" t="n">
        <f aca="false">'Analisa Harga Satuan'!$H$893</f>
        <v>104500</v>
      </c>
      <c r="F380" s="52" t="n">
        <f aca="false">ROUND(D380*E380,0)</f>
        <v>7837500</v>
      </c>
      <c r="G380" s="49" t="s">
        <v>590</v>
      </c>
      <c r="H380" s="53" t="s">
        <v>181</v>
      </c>
    </row>
    <row r="381" customFormat="false" ht="25.5" hidden="false" customHeight="true" outlineLevel="0" collapsed="false">
      <c r="A381" s="49" t="s">
        <v>141</v>
      </c>
      <c r="B381" s="29" t="s">
        <v>591</v>
      </c>
      <c r="C381" s="49" t="s">
        <v>431</v>
      </c>
      <c r="D381" s="50" t="n">
        <v>75</v>
      </c>
      <c r="E381" s="51" t="n">
        <f aca="false">'Analisa Harga Satuan'!$H$894</f>
        <v>137500</v>
      </c>
      <c r="F381" s="52" t="n">
        <f aca="false">ROUND(D381*E381,0)</f>
        <v>10312500</v>
      </c>
      <c r="G381" s="49" t="s">
        <v>592</v>
      </c>
      <c r="H381" s="53" t="s">
        <v>181</v>
      </c>
    </row>
    <row r="382" customFormat="false" ht="25.5" hidden="false" customHeight="true" outlineLevel="0" collapsed="false">
      <c r="A382" s="49" t="s">
        <v>143</v>
      </c>
      <c r="B382" s="29" t="s">
        <v>593</v>
      </c>
      <c r="C382" s="49" t="s">
        <v>431</v>
      </c>
      <c r="D382" s="50" t="n">
        <v>90</v>
      </c>
      <c r="E382" s="51" t="n">
        <f aca="false">'Analisa Harga Satuan'!$H$895</f>
        <v>170500</v>
      </c>
      <c r="F382" s="52" t="n">
        <f aca="false">ROUND(D382*E382,0)</f>
        <v>15345000</v>
      </c>
      <c r="G382" s="49" t="s">
        <v>594</v>
      </c>
      <c r="H382" s="53" t="s">
        <v>181</v>
      </c>
    </row>
    <row r="383" customFormat="false" ht="25.5" hidden="false" customHeight="true" outlineLevel="0" collapsed="false">
      <c r="A383" s="49" t="s">
        <v>145</v>
      </c>
      <c r="B383" s="29" t="s">
        <v>595</v>
      </c>
      <c r="C383" s="49" t="s">
        <v>431</v>
      </c>
      <c r="D383" s="50" t="n">
        <v>90</v>
      </c>
      <c r="E383" s="51" t="n">
        <f aca="false">'Analisa Harga Satuan'!$H$896</f>
        <v>203500</v>
      </c>
      <c r="F383" s="52" t="n">
        <f aca="false">ROUND(D383*E383,0)</f>
        <v>18315000</v>
      </c>
      <c r="G383" s="49" t="s">
        <v>596</v>
      </c>
      <c r="H383" s="53" t="s">
        <v>181</v>
      </c>
    </row>
    <row r="384" customFormat="false" ht="25.5" hidden="false" customHeight="true" outlineLevel="0" collapsed="false">
      <c r="A384" s="49" t="s">
        <v>147</v>
      </c>
      <c r="B384" s="29" t="s">
        <v>597</v>
      </c>
      <c r="C384" s="49" t="s">
        <v>431</v>
      </c>
      <c r="D384" s="50" t="n">
        <v>15</v>
      </c>
      <c r="E384" s="51" t="n">
        <f aca="false">'Analisa Harga Satuan'!$H$897</f>
        <v>258500</v>
      </c>
      <c r="F384" s="52" t="n">
        <f aca="false">ROUND(D384*E384,0)</f>
        <v>3877500</v>
      </c>
      <c r="G384" s="49" t="s">
        <v>598</v>
      </c>
      <c r="H384" s="53" t="s">
        <v>181</v>
      </c>
    </row>
    <row r="385" customFormat="false" ht="25.5" hidden="false" customHeight="true" outlineLevel="0" collapsed="false">
      <c r="A385" s="49" t="s">
        <v>149</v>
      </c>
      <c r="B385" s="29" t="s">
        <v>599</v>
      </c>
      <c r="C385" s="49" t="s">
        <v>431</v>
      </c>
      <c r="D385" s="50" t="n">
        <v>18</v>
      </c>
      <c r="E385" s="51" t="n">
        <f aca="false">'Analisa Harga Satuan'!$H$898</f>
        <v>313500</v>
      </c>
      <c r="F385" s="52" t="n">
        <f aca="false">ROUND(D385*E385,0)</f>
        <v>5643000</v>
      </c>
      <c r="G385" s="49" t="s">
        <v>600</v>
      </c>
      <c r="H385" s="53" t="s">
        <v>181</v>
      </c>
    </row>
    <row r="386" customFormat="false" ht="25.5" hidden="false" customHeight="true" outlineLevel="0" collapsed="false">
      <c r="A386" s="49" t="s">
        <v>151</v>
      </c>
      <c r="B386" s="29" t="s">
        <v>601</v>
      </c>
      <c r="C386" s="49" t="s">
        <v>431</v>
      </c>
      <c r="D386" s="50" t="n">
        <v>53</v>
      </c>
      <c r="E386" s="51" t="n">
        <f aca="false">'Analisa Harga Satuan'!$H$899</f>
        <v>401500</v>
      </c>
      <c r="F386" s="52" t="n">
        <f aca="false">ROUND(D386*E386,0)</f>
        <v>21279500</v>
      </c>
      <c r="G386" s="49" t="s">
        <v>602</v>
      </c>
      <c r="H386" s="53" t="s">
        <v>181</v>
      </c>
    </row>
    <row r="387" customFormat="false" ht="15" hidden="false" customHeight="false" outlineLevel="0" collapsed="false">
      <c r="A387" s="49" t="s">
        <v>423</v>
      </c>
      <c r="B387" s="29" t="s">
        <v>603</v>
      </c>
      <c r="C387" s="49" t="s">
        <v>183</v>
      </c>
      <c r="D387" s="50" t="n">
        <v>20</v>
      </c>
      <c r="E387" s="51" t="n">
        <f aca="false">'Analisa Harga Satuan'!$H$900</f>
        <v>715000</v>
      </c>
      <c r="F387" s="52" t="n">
        <f aca="false">ROUND(D387*E387,0)</f>
        <v>14300000</v>
      </c>
      <c r="G387" s="49" t="s">
        <v>604</v>
      </c>
      <c r="H387" s="53" t="s">
        <v>181</v>
      </c>
    </row>
    <row r="388" customFormat="false" ht="15" hidden="false" customHeight="false" outlineLevel="0" collapsed="false">
      <c r="A388" s="60" t="s">
        <v>102</v>
      </c>
      <c r="B388" s="61" t="s">
        <v>605</v>
      </c>
    </row>
    <row r="389" customFormat="false" ht="25.5" hidden="false" customHeight="true" outlineLevel="0" collapsed="false">
      <c r="B389" s="54" t="s">
        <v>606</v>
      </c>
    </row>
    <row r="390" customFormat="false" ht="25.5" hidden="false" customHeight="true" outlineLevel="0" collapsed="false">
      <c r="A390" s="49" t="s">
        <v>139</v>
      </c>
      <c r="B390" s="29" t="s">
        <v>607</v>
      </c>
      <c r="C390" s="49" t="s">
        <v>431</v>
      </c>
      <c r="D390" s="50" t="n">
        <v>80</v>
      </c>
      <c r="E390" s="51" t="n">
        <f aca="false">'Analisa Harga Satuan'!$H$901</f>
        <v>57200</v>
      </c>
      <c r="F390" s="52" t="n">
        <f aca="false">ROUND(D390*E390,0)</f>
        <v>4576000</v>
      </c>
      <c r="G390" s="49" t="s">
        <v>608</v>
      </c>
      <c r="H390" s="53" t="s">
        <v>181</v>
      </c>
    </row>
    <row r="391" customFormat="false" ht="25.5" hidden="false" customHeight="true" outlineLevel="0" collapsed="false">
      <c r="A391" s="49" t="s">
        <v>141</v>
      </c>
      <c r="B391" s="29" t="s">
        <v>609</v>
      </c>
      <c r="C391" s="49" t="s">
        <v>431</v>
      </c>
      <c r="D391" s="50" t="n">
        <v>56</v>
      </c>
      <c r="E391" s="51" t="n">
        <f aca="false">'Analisa Harga Satuan'!$H$902</f>
        <v>74800</v>
      </c>
      <c r="F391" s="52" t="n">
        <f aca="false">ROUND(D391*E391,0)</f>
        <v>4188800</v>
      </c>
      <c r="G391" s="49" t="s">
        <v>610</v>
      </c>
      <c r="H391" s="53" t="s">
        <v>181</v>
      </c>
    </row>
    <row r="392" customFormat="false" ht="15" hidden="false" customHeight="false" outlineLevel="0" collapsed="false">
      <c r="A392" s="49" t="s">
        <v>143</v>
      </c>
      <c r="B392" s="29" t="s">
        <v>611</v>
      </c>
      <c r="C392" s="49" t="s">
        <v>431</v>
      </c>
      <c r="D392" s="50" t="n">
        <v>92</v>
      </c>
      <c r="E392" s="51" t="n">
        <f aca="false">'Analisa Harga Satuan'!$H$903</f>
        <v>107800</v>
      </c>
      <c r="F392" s="52" t="n">
        <f aca="false">ROUND(D392*E392,0)</f>
        <v>9917600</v>
      </c>
      <c r="G392" s="49" t="s">
        <v>612</v>
      </c>
      <c r="H392" s="53" t="s">
        <v>181</v>
      </c>
    </row>
    <row r="393" customFormat="false" ht="15" hidden="false" customHeight="false" outlineLevel="0" collapsed="false">
      <c r="A393" s="60" t="s">
        <v>111</v>
      </c>
      <c r="B393" s="61" t="s">
        <v>613</v>
      </c>
    </row>
    <row r="394" customFormat="false" ht="15" hidden="false" customHeight="false" outlineLevel="0" collapsed="false">
      <c r="B394" s="54" t="s">
        <v>614</v>
      </c>
    </row>
    <row r="395" customFormat="false" ht="25.5" hidden="false" customHeight="true" outlineLevel="0" collapsed="false">
      <c r="A395" s="49" t="s">
        <v>139</v>
      </c>
      <c r="B395" s="29" t="s">
        <v>615</v>
      </c>
      <c r="C395" s="49" t="s">
        <v>183</v>
      </c>
      <c r="D395" s="50" t="n">
        <v>234</v>
      </c>
      <c r="E395" s="51" t="n">
        <f aca="false">'Analisa Harga Satuan'!$H$904</f>
        <v>203500</v>
      </c>
      <c r="F395" s="52" t="n">
        <f aca="false">ROUND(D395*E395,0)</f>
        <v>47619000</v>
      </c>
      <c r="G395" s="49" t="s">
        <v>616</v>
      </c>
      <c r="H395" s="53" t="s">
        <v>181</v>
      </c>
    </row>
    <row r="396" customFormat="false" ht="25.5" hidden="false" customHeight="true" outlineLevel="0" collapsed="false">
      <c r="A396" s="49" t="s">
        <v>141</v>
      </c>
      <c r="B396" s="29" t="s">
        <v>617</v>
      </c>
      <c r="C396" s="49" t="s">
        <v>183</v>
      </c>
      <c r="D396" s="50" t="n">
        <v>17</v>
      </c>
      <c r="E396" s="51" t="n">
        <f aca="false">'Analisa Harga Satuan'!$H$905</f>
        <v>247500</v>
      </c>
      <c r="F396" s="52" t="n">
        <f aca="false">ROUND(D396*E396,0)</f>
        <v>4207500</v>
      </c>
      <c r="G396" s="49" t="s">
        <v>618</v>
      </c>
      <c r="H396" s="53" t="s">
        <v>181</v>
      </c>
    </row>
    <row r="397" customFormat="false" ht="15" hidden="false" customHeight="false" outlineLevel="0" collapsed="false">
      <c r="B397" s="54" t="s">
        <v>619</v>
      </c>
    </row>
    <row r="398" customFormat="false" ht="25.5" hidden="false" customHeight="true" outlineLevel="0" collapsed="false">
      <c r="A398" s="49" t="s">
        <v>139</v>
      </c>
      <c r="B398" s="29" t="s">
        <v>620</v>
      </c>
      <c r="C398" s="49" t="s">
        <v>183</v>
      </c>
      <c r="D398" s="50" t="n">
        <v>137</v>
      </c>
      <c r="E398" s="51" t="n">
        <f aca="false">'Analisa Harga Satuan'!$H$906</f>
        <v>137500</v>
      </c>
      <c r="F398" s="52" t="n">
        <f aca="false">ROUND(D398*E398,0)</f>
        <v>18837500</v>
      </c>
      <c r="G398" s="49" t="s">
        <v>621</v>
      </c>
      <c r="H398" s="53" t="s">
        <v>181</v>
      </c>
    </row>
    <row r="399" customFormat="false" ht="25.5" hidden="false" customHeight="true" outlineLevel="0" collapsed="false">
      <c r="A399" s="49" t="s">
        <v>141</v>
      </c>
      <c r="B399" s="29" t="s">
        <v>622</v>
      </c>
      <c r="C399" s="49" t="s">
        <v>183</v>
      </c>
      <c r="D399" s="50" t="n">
        <v>45</v>
      </c>
      <c r="E399" s="51" t="n">
        <f aca="false">'Analisa Harga Satuan'!$H$907</f>
        <v>104500</v>
      </c>
      <c r="F399" s="52" t="n">
        <f aca="false">ROUND(D399*E399,0)</f>
        <v>4702500</v>
      </c>
      <c r="G399" s="49" t="s">
        <v>623</v>
      </c>
      <c r="H399" s="53" t="s">
        <v>181</v>
      </c>
    </row>
    <row r="400" customFormat="false" ht="25.5" hidden="false" customHeight="true" outlineLevel="0" collapsed="false">
      <c r="A400" s="49" t="s">
        <v>143</v>
      </c>
      <c r="B400" s="29" t="s">
        <v>624</v>
      </c>
      <c r="C400" s="49" t="s">
        <v>183</v>
      </c>
      <c r="D400" s="50" t="n">
        <v>8</v>
      </c>
      <c r="E400" s="51" t="n">
        <f aca="false">'Analisa Harga Satuan'!$H$908</f>
        <v>181500</v>
      </c>
      <c r="F400" s="52" t="n">
        <f aca="false">ROUND(D400*E400,0)</f>
        <v>1452000</v>
      </c>
      <c r="G400" s="49" t="s">
        <v>625</v>
      </c>
      <c r="H400" s="53" t="s">
        <v>181</v>
      </c>
    </row>
    <row r="401" customFormat="false" ht="15" hidden="false" customHeight="false" outlineLevel="0" collapsed="false">
      <c r="A401" s="60" t="s">
        <v>111</v>
      </c>
      <c r="B401" s="61" t="s">
        <v>626</v>
      </c>
    </row>
    <row r="402" customFormat="false" ht="15" hidden="false" customHeight="false" outlineLevel="0" collapsed="false">
      <c r="B402" s="54" t="s">
        <v>627</v>
      </c>
    </row>
    <row r="403" customFormat="false" ht="25.5" hidden="false" customHeight="true" outlineLevel="0" collapsed="false">
      <c r="A403" s="49" t="s">
        <v>139</v>
      </c>
      <c r="B403" s="29" t="s">
        <v>628</v>
      </c>
      <c r="C403" s="49" t="s">
        <v>431</v>
      </c>
      <c r="D403" s="50" t="n">
        <v>5</v>
      </c>
      <c r="E403" s="51" t="n">
        <f aca="false">'Analisa Harga Satuan'!$H$909</f>
        <v>649000</v>
      </c>
      <c r="F403" s="52" t="n">
        <f aca="false">ROUND(D403*E403,0)</f>
        <v>3245000</v>
      </c>
      <c r="G403" s="49" t="s">
        <v>629</v>
      </c>
      <c r="H403" s="53" t="s">
        <v>181</v>
      </c>
    </row>
    <row r="404" customFormat="false" ht="25.5" hidden="false" customHeight="true" outlineLevel="0" collapsed="false">
      <c r="A404" s="49" t="s">
        <v>139</v>
      </c>
      <c r="B404" s="29" t="s">
        <v>630</v>
      </c>
      <c r="C404" s="49" t="s">
        <v>431</v>
      </c>
      <c r="D404" s="50" t="n">
        <v>5</v>
      </c>
      <c r="E404" s="51" t="n">
        <f aca="false">'Analisa Harga Satuan'!$H$910</f>
        <v>484000</v>
      </c>
      <c r="F404" s="52" t="n">
        <f aca="false">ROUND(D404*E404,0)</f>
        <v>2420000</v>
      </c>
      <c r="G404" s="49" t="s">
        <v>631</v>
      </c>
      <c r="H404" s="53" t="s">
        <v>181</v>
      </c>
    </row>
    <row r="405" customFormat="false" ht="25.5" hidden="false" customHeight="true" outlineLevel="0" collapsed="false">
      <c r="A405" s="49" t="s">
        <v>139</v>
      </c>
      <c r="B405" s="29" t="s">
        <v>632</v>
      </c>
      <c r="C405" s="49" t="s">
        <v>431</v>
      </c>
      <c r="D405" s="50" t="n">
        <v>80</v>
      </c>
      <c r="E405" s="51" t="n">
        <f aca="false">'Analisa Harga Satuan'!$H$911</f>
        <v>363000</v>
      </c>
      <c r="F405" s="52" t="n">
        <f aca="false">ROUND(D405*E405,0)</f>
        <v>29040000</v>
      </c>
      <c r="G405" s="49" t="s">
        <v>633</v>
      </c>
      <c r="H405" s="53" t="s">
        <v>181</v>
      </c>
    </row>
    <row r="406" customFormat="false" ht="15" hidden="false" customHeight="false" outlineLevel="0" collapsed="false">
      <c r="B406" s="54" t="s">
        <v>634</v>
      </c>
    </row>
    <row r="407" customFormat="false" ht="25.5" hidden="false" customHeight="true" outlineLevel="0" collapsed="false">
      <c r="A407" s="49" t="s">
        <v>139</v>
      </c>
      <c r="B407" s="29" t="s">
        <v>635</v>
      </c>
      <c r="C407" s="49" t="s">
        <v>431</v>
      </c>
      <c r="D407" s="50" t="n">
        <v>700</v>
      </c>
      <c r="E407" s="51" t="n">
        <f aca="false">'Analisa Harga Satuan'!$H$912</f>
        <v>35200</v>
      </c>
      <c r="F407" s="52" t="n">
        <f aca="false">ROUND(D407*E407,0)</f>
        <v>24640000</v>
      </c>
      <c r="G407" s="49" t="s">
        <v>636</v>
      </c>
      <c r="H407" s="53" t="s">
        <v>181</v>
      </c>
    </row>
    <row r="408" customFormat="false" ht="25.5" hidden="false" customHeight="true" outlineLevel="0" collapsed="false">
      <c r="A408" s="49" t="s">
        <v>141</v>
      </c>
      <c r="B408" s="29" t="s">
        <v>637</v>
      </c>
      <c r="C408" s="49" t="s">
        <v>431</v>
      </c>
      <c r="D408" s="50" t="n">
        <v>350</v>
      </c>
      <c r="E408" s="51" t="n">
        <f aca="false">'Analisa Harga Satuan'!$H$913</f>
        <v>74800</v>
      </c>
      <c r="F408" s="52" t="n">
        <f aca="false">ROUND(D408*E408,0)</f>
        <v>26180000</v>
      </c>
      <c r="G408" s="49" t="s">
        <v>638</v>
      </c>
      <c r="H408" s="53" t="s">
        <v>181</v>
      </c>
    </row>
    <row r="409" customFormat="false" ht="15" hidden="false" customHeight="false" outlineLevel="0" collapsed="false">
      <c r="A409" s="60" t="s">
        <v>127</v>
      </c>
      <c r="B409" s="61" t="s">
        <v>639</v>
      </c>
    </row>
    <row r="410" customFormat="false" ht="15" hidden="false" customHeight="false" outlineLevel="0" collapsed="false">
      <c r="B410" s="54" t="s">
        <v>640</v>
      </c>
    </row>
    <row r="411" customFormat="false" ht="15" hidden="false" customHeight="false" outlineLevel="0" collapsed="false">
      <c r="A411" s="49" t="s">
        <v>139</v>
      </c>
      <c r="B411" s="29" t="s">
        <v>641</v>
      </c>
      <c r="C411" s="49" t="s">
        <v>642</v>
      </c>
      <c r="D411" s="50" t="n">
        <v>2</v>
      </c>
      <c r="E411" s="51" t="n">
        <f aca="false">'Analisa Harga Satuan'!$H$914</f>
        <v>104500</v>
      </c>
      <c r="F411" s="52" t="n">
        <f aca="false">ROUND(D411*E411,0)</f>
        <v>209000</v>
      </c>
      <c r="G411" s="49" t="s">
        <v>643</v>
      </c>
      <c r="H411" s="53" t="s">
        <v>181</v>
      </c>
    </row>
    <row r="412" customFormat="false" ht="15" hidden="false" customHeight="false" outlineLevel="0" collapsed="false">
      <c r="A412" s="49" t="s">
        <v>141</v>
      </c>
      <c r="B412" s="29" t="s">
        <v>644</v>
      </c>
      <c r="C412" s="49" t="s">
        <v>179</v>
      </c>
      <c r="D412" s="50" t="n">
        <v>1</v>
      </c>
      <c r="E412" s="51" t="n">
        <f aca="false">'Analisa Harga Satuan'!$H$915</f>
        <v>3850000</v>
      </c>
      <c r="F412" s="52" t="n">
        <f aca="false">ROUND(D412*E412,0)</f>
        <v>3850000</v>
      </c>
      <c r="G412" s="49" t="s">
        <v>645</v>
      </c>
      <c r="H412" s="53" t="s">
        <v>181</v>
      </c>
    </row>
    <row r="413" customFormat="false" ht="25.5" hidden="false" customHeight="true" outlineLevel="0" collapsed="false">
      <c r="A413" s="49" t="s">
        <v>143</v>
      </c>
      <c r="B413" s="29" t="s">
        <v>646</v>
      </c>
      <c r="C413" s="49" t="s">
        <v>179</v>
      </c>
      <c r="D413" s="50" t="n">
        <v>1</v>
      </c>
      <c r="E413" s="51" t="n">
        <f aca="false">'Analisa Harga Satuan'!$H$916</f>
        <v>9350000</v>
      </c>
      <c r="F413" s="52" t="n">
        <f aca="false">ROUND(D413*E413,0)</f>
        <v>9350000</v>
      </c>
      <c r="G413" s="49" t="s">
        <v>647</v>
      </c>
      <c r="H413" s="53" t="s">
        <v>189</v>
      </c>
    </row>
    <row r="414" customFormat="false" ht="15" hidden="false" customHeight="false" outlineLevel="0" collapsed="false">
      <c r="A414" s="49" t="s">
        <v>145</v>
      </c>
      <c r="B414" s="29" t="s">
        <v>648</v>
      </c>
      <c r="C414" s="49" t="s">
        <v>179</v>
      </c>
      <c r="D414" s="50" t="n">
        <v>1</v>
      </c>
      <c r="E414" s="51" t="n">
        <f aca="false">'Analisa Harga Satuan'!$H$917</f>
        <v>13750000</v>
      </c>
      <c r="F414" s="52" t="n">
        <f aca="false">ROUND(D414*E414,0)</f>
        <v>13750000</v>
      </c>
      <c r="G414" s="49" t="s">
        <v>649</v>
      </c>
      <c r="H414" s="53" t="s">
        <v>189</v>
      </c>
    </row>
    <row r="415" customFormat="false" ht="25.5" hidden="false" customHeight="true" outlineLevel="0" collapsed="false">
      <c r="A415" s="49" t="s">
        <v>147</v>
      </c>
      <c r="B415" s="29" t="s">
        <v>650</v>
      </c>
      <c r="C415" s="49" t="s">
        <v>179</v>
      </c>
      <c r="D415" s="50" t="n">
        <v>1</v>
      </c>
      <c r="E415" s="51" t="n">
        <f aca="false">'Analisa Harga Satuan'!$H$918</f>
        <v>2750000</v>
      </c>
      <c r="F415" s="52" t="n">
        <f aca="false">ROUND(D415*E415,0)</f>
        <v>2750000</v>
      </c>
      <c r="G415" s="49" t="s">
        <v>651</v>
      </c>
      <c r="H415" s="53" t="s">
        <v>189</v>
      </c>
    </row>
    <row r="416" customFormat="false" ht="15" hidden="false" customHeight="false" outlineLevel="0" collapsed="false">
      <c r="A416" s="60" t="s">
        <v>127</v>
      </c>
      <c r="B416" s="61" t="s">
        <v>652</v>
      </c>
    </row>
    <row r="417" customFormat="false" ht="15" hidden="false" customHeight="false" outlineLevel="0" collapsed="false">
      <c r="B417" s="54" t="s">
        <v>653</v>
      </c>
    </row>
    <row r="418" customFormat="false" ht="15" hidden="false" customHeight="false" outlineLevel="0" collapsed="false">
      <c r="A418" s="49" t="s">
        <v>139</v>
      </c>
      <c r="B418" s="29" t="s">
        <v>654</v>
      </c>
      <c r="C418" s="49" t="s">
        <v>183</v>
      </c>
      <c r="D418" s="50" t="n">
        <v>1</v>
      </c>
      <c r="E418" s="51" t="n">
        <f aca="false">'Analisa Harga Satuan'!$H$919</f>
        <v>863500000</v>
      </c>
      <c r="F418" s="52" t="n">
        <f aca="false">ROUND(D418*E418,0)</f>
        <v>863500000</v>
      </c>
      <c r="G418" s="49" t="s">
        <v>655</v>
      </c>
      <c r="H418" s="53" t="s">
        <v>189</v>
      </c>
    </row>
    <row r="419" customFormat="false" ht="15" hidden="false" customHeight="false" outlineLevel="0" collapsed="false">
      <c r="B419" s="54" t="s">
        <v>656</v>
      </c>
    </row>
    <row r="420" customFormat="false" ht="15" hidden="false" customHeight="false" outlineLevel="0" collapsed="false">
      <c r="B420" s="54" t="s">
        <v>657</v>
      </c>
    </row>
    <row r="421" customFormat="false" ht="15" hidden="false" customHeight="false" outlineLevel="0" collapsed="false">
      <c r="B421" s="54" t="s">
        <v>658</v>
      </c>
    </row>
    <row r="422" customFormat="false" ht="15" hidden="false" customHeight="false" outlineLevel="0" collapsed="false">
      <c r="B422" s="54" t="s">
        <v>659</v>
      </c>
    </row>
    <row r="423" customFormat="false" ht="15" hidden="false" customHeight="false" outlineLevel="0" collapsed="false">
      <c r="B423" s="54" t="s">
        <v>660</v>
      </c>
    </row>
    <row r="424" customFormat="false" ht="15" hidden="false" customHeight="false" outlineLevel="0" collapsed="false">
      <c r="B424" s="54" t="s">
        <v>661</v>
      </c>
    </row>
    <row r="425" customFormat="false" ht="15" hidden="false" customHeight="false" outlineLevel="0" collapsed="false">
      <c r="B425" s="54" t="s">
        <v>662</v>
      </c>
    </row>
    <row r="426" customFormat="false" ht="15" hidden="false" customHeight="false" outlineLevel="0" collapsed="false">
      <c r="A426" s="49" t="s">
        <v>141</v>
      </c>
      <c r="B426" s="29" t="s">
        <v>663</v>
      </c>
      <c r="C426" s="49" t="s">
        <v>431</v>
      </c>
      <c r="D426" s="50" t="n">
        <v>28</v>
      </c>
      <c r="E426" s="51" t="n">
        <f aca="false">'Analisa Harga Satuan'!$H$920</f>
        <v>104500</v>
      </c>
      <c r="F426" s="52" t="n">
        <f aca="false">ROUND(D426*E426,0)</f>
        <v>2926000</v>
      </c>
      <c r="G426" s="49" t="s">
        <v>664</v>
      </c>
      <c r="H426" s="53" t="s">
        <v>181</v>
      </c>
    </row>
    <row r="427" customFormat="false" ht="15" hidden="false" customHeight="false" outlineLevel="0" collapsed="false">
      <c r="A427" s="55"/>
      <c r="B427" s="56" t="s">
        <v>665</v>
      </c>
      <c r="C427" s="55"/>
      <c r="D427" s="55"/>
      <c r="E427" s="55"/>
      <c r="F427" s="27" t="n">
        <f aca="false">SUM(F334:F426)</f>
        <v>2323248400</v>
      </c>
      <c r="G427" s="55"/>
      <c r="H427" s="55"/>
    </row>
    <row r="428" customFormat="false" ht="15" hidden="false" customHeight="false" outlineLevel="0" collapsed="false">
      <c r="A428" s="46" t="s">
        <v>88</v>
      </c>
      <c r="B428" s="47" t="s">
        <v>89</v>
      </c>
      <c r="C428" s="48"/>
      <c r="D428" s="48"/>
      <c r="E428" s="48"/>
      <c r="F428" s="48"/>
      <c r="G428" s="48"/>
      <c r="H428" s="48"/>
    </row>
    <row r="429" customFormat="false" ht="15" hidden="false" customHeight="false" outlineLevel="0" collapsed="false">
      <c r="A429" s="60" t="s">
        <v>78</v>
      </c>
      <c r="B429" s="61" t="s">
        <v>666</v>
      </c>
    </row>
    <row r="430" customFormat="false" ht="25.5" hidden="false" customHeight="true" outlineLevel="0" collapsed="false">
      <c r="A430" s="49" t="s">
        <v>139</v>
      </c>
      <c r="B430" s="29" t="s">
        <v>667</v>
      </c>
      <c r="C430" s="49" t="s">
        <v>520</v>
      </c>
      <c r="D430" s="50" t="n">
        <v>5</v>
      </c>
      <c r="E430" s="51" t="n">
        <f aca="false">'Analisa Harga Satuan'!$H$921</f>
        <v>2964500</v>
      </c>
      <c r="F430" s="52" t="n">
        <f aca="false">ROUND(D430*E430,0)</f>
        <v>14822500</v>
      </c>
      <c r="G430" s="49" t="s">
        <v>668</v>
      </c>
      <c r="H430" s="53" t="s">
        <v>181</v>
      </c>
    </row>
    <row r="431" customFormat="false" ht="25.5" hidden="false" customHeight="true" outlineLevel="0" collapsed="false">
      <c r="A431" s="49" t="s">
        <v>141</v>
      </c>
      <c r="B431" s="29" t="s">
        <v>669</v>
      </c>
      <c r="C431" s="49" t="s">
        <v>520</v>
      </c>
      <c r="D431" s="50" t="n">
        <v>1</v>
      </c>
      <c r="E431" s="51" t="n">
        <f aca="false">'Analisa Harga Satuan'!$H$922</f>
        <v>4658500</v>
      </c>
      <c r="F431" s="52" t="n">
        <f aca="false">ROUND(D431*E431,0)</f>
        <v>4658500</v>
      </c>
      <c r="G431" s="49" t="s">
        <v>670</v>
      </c>
      <c r="H431" s="53" t="s">
        <v>181</v>
      </c>
    </row>
    <row r="432" customFormat="false" ht="15" hidden="false" customHeight="false" outlineLevel="0" collapsed="false">
      <c r="A432" s="49" t="s">
        <v>143</v>
      </c>
      <c r="B432" s="29" t="s">
        <v>671</v>
      </c>
      <c r="C432" s="49" t="s">
        <v>520</v>
      </c>
      <c r="D432" s="50" t="n">
        <v>6</v>
      </c>
      <c r="E432" s="51" t="n">
        <f aca="false">'Analisa Harga Satuan'!$H$923</f>
        <v>360525</v>
      </c>
      <c r="F432" s="52" t="n">
        <f aca="false">ROUND(D432*E432,0)</f>
        <v>2163150</v>
      </c>
      <c r="G432" s="49" t="s">
        <v>672</v>
      </c>
      <c r="H432" s="53" t="s">
        <v>181</v>
      </c>
    </row>
    <row r="433" customFormat="false" ht="15" hidden="false" customHeight="false" outlineLevel="0" collapsed="false">
      <c r="A433" s="49" t="s">
        <v>145</v>
      </c>
      <c r="B433" s="29" t="s">
        <v>673</v>
      </c>
      <c r="C433" s="49" t="s">
        <v>520</v>
      </c>
      <c r="D433" s="50" t="n">
        <v>7</v>
      </c>
      <c r="E433" s="51" t="n">
        <f aca="false">'Analisa Harga Satuan'!$H$924</f>
        <v>208725</v>
      </c>
      <c r="F433" s="52" t="n">
        <f aca="false">ROUND(D433*E433,0)</f>
        <v>1461075</v>
      </c>
      <c r="G433" s="49" t="s">
        <v>674</v>
      </c>
      <c r="H433" s="53" t="s">
        <v>181</v>
      </c>
    </row>
    <row r="434" customFormat="false" ht="15" hidden="false" customHeight="false" outlineLevel="0" collapsed="false">
      <c r="A434" s="49" t="s">
        <v>147</v>
      </c>
      <c r="B434" s="29" t="s">
        <v>675</v>
      </c>
      <c r="C434" s="49" t="s">
        <v>520</v>
      </c>
      <c r="D434" s="50" t="n">
        <v>7</v>
      </c>
      <c r="E434" s="51" t="n">
        <f aca="false">'Analisa Harga Satuan'!$H$925</f>
        <v>234025</v>
      </c>
      <c r="F434" s="52" t="n">
        <f aca="false">ROUND(D434*E434,0)</f>
        <v>1638175</v>
      </c>
      <c r="G434" s="49" t="s">
        <v>676</v>
      </c>
      <c r="H434" s="53" t="s">
        <v>181</v>
      </c>
    </row>
    <row r="435" customFormat="false" ht="15" hidden="false" customHeight="false" outlineLevel="0" collapsed="false">
      <c r="A435" s="49" t="s">
        <v>149</v>
      </c>
      <c r="B435" s="29" t="s">
        <v>677</v>
      </c>
      <c r="C435" s="49" t="s">
        <v>520</v>
      </c>
      <c r="D435" s="50" t="n">
        <v>1</v>
      </c>
      <c r="E435" s="51" t="n">
        <f aca="false">'Analisa Harga Satuan'!$H$926</f>
        <v>1996500</v>
      </c>
      <c r="F435" s="52" t="n">
        <f aca="false">ROUND(D435*E435,0)</f>
        <v>1996500</v>
      </c>
      <c r="G435" s="49" t="s">
        <v>678</v>
      </c>
      <c r="H435" s="53" t="s">
        <v>181</v>
      </c>
    </row>
    <row r="436" customFormat="false" ht="15" hidden="false" customHeight="false" outlineLevel="0" collapsed="false">
      <c r="A436" s="49" t="s">
        <v>151</v>
      </c>
      <c r="B436" s="29" t="s">
        <v>679</v>
      </c>
      <c r="C436" s="49" t="s">
        <v>520</v>
      </c>
      <c r="D436" s="50" t="n">
        <v>1</v>
      </c>
      <c r="E436" s="51" t="n">
        <f aca="false">'Analisa Harga Satuan'!$H$927</f>
        <v>574750</v>
      </c>
      <c r="F436" s="52" t="n">
        <f aca="false">ROUND(D436*E436,0)</f>
        <v>574750</v>
      </c>
      <c r="G436" s="49" t="s">
        <v>680</v>
      </c>
      <c r="H436" s="53" t="s">
        <v>181</v>
      </c>
    </row>
    <row r="437" customFormat="false" ht="15" hidden="false" customHeight="false" outlineLevel="0" collapsed="false">
      <c r="A437" s="49" t="s">
        <v>423</v>
      </c>
      <c r="B437" s="29" t="s">
        <v>681</v>
      </c>
      <c r="C437" s="49" t="s">
        <v>183</v>
      </c>
      <c r="D437" s="50" t="n">
        <v>4</v>
      </c>
      <c r="E437" s="51" t="n">
        <f aca="false">'Analisa Harga Satuan'!$H$928</f>
        <v>1633500</v>
      </c>
      <c r="F437" s="52" t="n">
        <f aca="false">ROUND(D437*E437,0)</f>
        <v>6534000</v>
      </c>
      <c r="G437" s="49" t="s">
        <v>682</v>
      </c>
      <c r="H437" s="53" t="s">
        <v>181</v>
      </c>
    </row>
    <row r="438" customFormat="false" ht="15" hidden="false" customHeight="false" outlineLevel="0" collapsed="false">
      <c r="A438" s="49" t="s">
        <v>208</v>
      </c>
      <c r="B438" s="29" t="s">
        <v>683</v>
      </c>
      <c r="C438" s="49" t="s">
        <v>520</v>
      </c>
      <c r="D438" s="50" t="n">
        <v>1</v>
      </c>
      <c r="E438" s="51" t="n">
        <f aca="false">'Analisa Harga Satuan'!$H$929</f>
        <v>2601500</v>
      </c>
      <c r="F438" s="52" t="n">
        <f aca="false">ROUND(D438*E438,0)</f>
        <v>2601500</v>
      </c>
      <c r="G438" s="49" t="s">
        <v>684</v>
      </c>
      <c r="H438" s="53" t="s">
        <v>181</v>
      </c>
    </row>
    <row r="439" customFormat="false" ht="15" hidden="false" customHeight="false" outlineLevel="0" collapsed="false">
      <c r="A439" s="49" t="s">
        <v>217</v>
      </c>
      <c r="B439" s="29" t="s">
        <v>685</v>
      </c>
      <c r="C439" s="49" t="s">
        <v>520</v>
      </c>
      <c r="D439" s="50" t="n">
        <v>1</v>
      </c>
      <c r="E439" s="51" t="n">
        <f aca="false">'Analisa Harga Satuan'!$H$930</f>
        <v>786500</v>
      </c>
      <c r="F439" s="52" t="n">
        <f aca="false">ROUND(D439*E439,0)</f>
        <v>786500</v>
      </c>
      <c r="G439" s="49" t="s">
        <v>686</v>
      </c>
      <c r="H439" s="53" t="s">
        <v>181</v>
      </c>
    </row>
    <row r="440" customFormat="false" ht="15" hidden="false" customHeight="false" outlineLevel="0" collapsed="false">
      <c r="A440" s="49" t="s">
        <v>221</v>
      </c>
      <c r="B440" s="29" t="s">
        <v>687</v>
      </c>
      <c r="C440" s="49" t="s">
        <v>520</v>
      </c>
      <c r="D440" s="50" t="n">
        <v>1</v>
      </c>
      <c r="E440" s="51" t="n">
        <f aca="false">'Analisa Harga Satuan'!$H$931</f>
        <v>1996500</v>
      </c>
      <c r="F440" s="52" t="n">
        <f aca="false">ROUND(D440*E440,0)</f>
        <v>1996500</v>
      </c>
      <c r="G440" s="49" t="s">
        <v>688</v>
      </c>
      <c r="H440" s="53" t="s">
        <v>181</v>
      </c>
    </row>
    <row r="441" customFormat="false" ht="15" hidden="false" customHeight="false" outlineLevel="0" collapsed="false">
      <c r="A441" s="49" t="s">
        <v>689</v>
      </c>
      <c r="B441" s="29" t="s">
        <v>690</v>
      </c>
      <c r="C441" s="49" t="s">
        <v>520</v>
      </c>
      <c r="D441" s="50" t="n">
        <v>1</v>
      </c>
      <c r="E441" s="51" t="n">
        <f aca="false">'Analisa Harga Satuan'!$H$932</f>
        <v>1633500</v>
      </c>
      <c r="F441" s="52" t="n">
        <f aca="false">ROUND(D441*E441,0)</f>
        <v>1633500</v>
      </c>
      <c r="G441" s="49" t="s">
        <v>691</v>
      </c>
      <c r="H441" s="53" t="s">
        <v>181</v>
      </c>
    </row>
    <row r="442" customFormat="false" ht="15" hidden="false" customHeight="false" outlineLevel="0" collapsed="false">
      <c r="A442" s="49" t="s">
        <v>692</v>
      </c>
      <c r="B442" s="29" t="s">
        <v>693</v>
      </c>
      <c r="C442" s="49" t="s">
        <v>520</v>
      </c>
      <c r="D442" s="50" t="n">
        <v>5</v>
      </c>
      <c r="E442" s="51" t="n">
        <f aca="false">'Analisa Harga Satuan'!$H$933</f>
        <v>786500</v>
      </c>
      <c r="F442" s="52" t="n">
        <f aca="false">ROUND(D442*E442,0)</f>
        <v>3932500</v>
      </c>
      <c r="G442" s="49" t="s">
        <v>694</v>
      </c>
      <c r="H442" s="53" t="s">
        <v>181</v>
      </c>
    </row>
    <row r="443" customFormat="false" ht="15" hidden="false" customHeight="false" outlineLevel="0" collapsed="false">
      <c r="A443" s="60" t="s">
        <v>93</v>
      </c>
      <c r="B443" s="61" t="s">
        <v>695</v>
      </c>
    </row>
    <row r="444" customFormat="false" ht="25.5" hidden="false" customHeight="true" outlineLevel="0" collapsed="false">
      <c r="A444" s="49" t="s">
        <v>139</v>
      </c>
      <c r="B444" s="29" t="s">
        <v>667</v>
      </c>
      <c r="C444" s="49" t="s">
        <v>520</v>
      </c>
      <c r="D444" s="50" t="n">
        <v>7</v>
      </c>
      <c r="E444" s="51" t="n">
        <f aca="false">'Analisa Harga Satuan'!$H$921</f>
        <v>2964500</v>
      </c>
      <c r="F444" s="52" t="n">
        <f aca="false">ROUND(D444*E444,0)</f>
        <v>20751500</v>
      </c>
      <c r="G444" s="49" t="s">
        <v>668</v>
      </c>
      <c r="H444" s="53" t="s">
        <v>181</v>
      </c>
    </row>
    <row r="445" customFormat="false" ht="15" hidden="false" customHeight="false" outlineLevel="0" collapsed="false">
      <c r="A445" s="49" t="s">
        <v>141</v>
      </c>
      <c r="B445" s="29" t="s">
        <v>671</v>
      </c>
      <c r="C445" s="49" t="s">
        <v>520</v>
      </c>
      <c r="D445" s="50" t="n">
        <v>7</v>
      </c>
      <c r="E445" s="51" t="n">
        <f aca="false">'Analisa Harga Satuan'!$H$923</f>
        <v>360525</v>
      </c>
      <c r="F445" s="52" t="n">
        <f aca="false">ROUND(D445*E445,0)</f>
        <v>2523675</v>
      </c>
      <c r="G445" s="49" t="s">
        <v>672</v>
      </c>
      <c r="H445" s="53" t="s">
        <v>181</v>
      </c>
    </row>
    <row r="446" customFormat="false" ht="15" hidden="false" customHeight="false" outlineLevel="0" collapsed="false">
      <c r="A446" s="49" t="s">
        <v>143</v>
      </c>
      <c r="B446" s="29" t="s">
        <v>673</v>
      </c>
      <c r="C446" s="49" t="s">
        <v>520</v>
      </c>
      <c r="D446" s="50" t="n">
        <v>8</v>
      </c>
      <c r="E446" s="51" t="n">
        <f aca="false">'Analisa Harga Satuan'!$H$924</f>
        <v>208725</v>
      </c>
      <c r="F446" s="52" t="n">
        <f aca="false">ROUND(D446*E446,0)</f>
        <v>1669800</v>
      </c>
      <c r="G446" s="49" t="s">
        <v>674</v>
      </c>
      <c r="H446" s="53" t="s">
        <v>181</v>
      </c>
    </row>
    <row r="447" customFormat="false" ht="15" hidden="false" customHeight="false" outlineLevel="0" collapsed="false">
      <c r="A447" s="49" t="s">
        <v>145</v>
      </c>
      <c r="B447" s="29" t="s">
        <v>675</v>
      </c>
      <c r="C447" s="49" t="s">
        <v>520</v>
      </c>
      <c r="D447" s="50" t="n">
        <v>6</v>
      </c>
      <c r="E447" s="51" t="n">
        <f aca="false">'Analisa Harga Satuan'!$H$925</f>
        <v>234025</v>
      </c>
      <c r="F447" s="52" t="n">
        <f aca="false">ROUND(D447*E447,0)</f>
        <v>1404150</v>
      </c>
      <c r="G447" s="49" t="s">
        <v>676</v>
      </c>
      <c r="H447" s="53" t="s">
        <v>181</v>
      </c>
    </row>
    <row r="448" customFormat="false" ht="15" hidden="false" customHeight="false" outlineLevel="0" collapsed="false">
      <c r="A448" s="49" t="s">
        <v>147</v>
      </c>
      <c r="B448" s="29" t="s">
        <v>696</v>
      </c>
      <c r="C448" s="49" t="s">
        <v>520</v>
      </c>
      <c r="D448" s="50" t="n">
        <v>1</v>
      </c>
      <c r="E448" s="51" t="n">
        <f aca="false">'Analisa Harga Satuan'!$H$934</f>
        <v>1028500</v>
      </c>
      <c r="F448" s="52" t="n">
        <f aca="false">ROUND(D448*E448,0)</f>
        <v>1028500</v>
      </c>
      <c r="G448" s="49" t="s">
        <v>697</v>
      </c>
      <c r="H448" s="53" t="s">
        <v>181</v>
      </c>
    </row>
    <row r="449" customFormat="false" ht="15" hidden="false" customHeight="false" outlineLevel="0" collapsed="false">
      <c r="A449" s="49" t="s">
        <v>149</v>
      </c>
      <c r="B449" s="29" t="s">
        <v>677</v>
      </c>
      <c r="C449" s="49" t="s">
        <v>520</v>
      </c>
      <c r="D449" s="50" t="n">
        <v>1</v>
      </c>
      <c r="E449" s="51" t="n">
        <f aca="false">'Analisa Harga Satuan'!$H$926</f>
        <v>1996500</v>
      </c>
      <c r="F449" s="52" t="n">
        <f aca="false">ROUND(D449*E449,0)</f>
        <v>1996500</v>
      </c>
      <c r="G449" s="49" t="s">
        <v>678</v>
      </c>
      <c r="H449" s="53" t="s">
        <v>181</v>
      </c>
    </row>
    <row r="450" customFormat="false" ht="15" hidden="false" customHeight="false" outlineLevel="0" collapsed="false">
      <c r="A450" s="49" t="s">
        <v>151</v>
      </c>
      <c r="B450" s="29" t="s">
        <v>679</v>
      </c>
      <c r="C450" s="49" t="s">
        <v>520</v>
      </c>
      <c r="D450" s="50" t="n">
        <v>1</v>
      </c>
      <c r="E450" s="51" t="n">
        <f aca="false">'Analisa Harga Satuan'!$H$927</f>
        <v>574750</v>
      </c>
      <c r="F450" s="52" t="n">
        <f aca="false">ROUND(D450*E450,0)</f>
        <v>574750</v>
      </c>
      <c r="G450" s="49" t="s">
        <v>680</v>
      </c>
      <c r="H450" s="53" t="s">
        <v>181</v>
      </c>
    </row>
    <row r="451" customFormat="false" ht="15" hidden="false" customHeight="false" outlineLevel="0" collapsed="false">
      <c r="A451" s="49" t="s">
        <v>423</v>
      </c>
      <c r="B451" s="29" t="s">
        <v>681</v>
      </c>
      <c r="C451" s="49" t="s">
        <v>520</v>
      </c>
      <c r="D451" s="50" t="n">
        <v>5</v>
      </c>
      <c r="E451" s="51" t="n">
        <f aca="false">'Analisa Harga Satuan'!$H$928</f>
        <v>1633500</v>
      </c>
      <c r="F451" s="52" t="n">
        <f aca="false">ROUND(D451*E451,0)</f>
        <v>8167500</v>
      </c>
      <c r="G451" s="49" t="s">
        <v>682</v>
      </c>
      <c r="H451" s="53" t="s">
        <v>181</v>
      </c>
    </row>
    <row r="452" customFormat="false" ht="15" hidden="false" customHeight="false" outlineLevel="0" collapsed="false">
      <c r="A452" s="49" t="s">
        <v>208</v>
      </c>
      <c r="B452" s="29" t="s">
        <v>693</v>
      </c>
      <c r="C452" s="49" t="s">
        <v>520</v>
      </c>
      <c r="D452" s="50" t="n">
        <v>5</v>
      </c>
      <c r="E452" s="51" t="n">
        <f aca="false">'Analisa Harga Satuan'!$H$933</f>
        <v>786500</v>
      </c>
      <c r="F452" s="52" t="n">
        <f aca="false">ROUND(D452*E452,0)</f>
        <v>3932500</v>
      </c>
      <c r="G452" s="49" t="s">
        <v>694</v>
      </c>
      <c r="H452" s="53" t="s">
        <v>181</v>
      </c>
    </row>
    <row r="453" customFormat="false" ht="15" hidden="false" customHeight="false" outlineLevel="0" collapsed="false">
      <c r="A453" s="60" t="s">
        <v>523</v>
      </c>
      <c r="B453" s="61" t="s">
        <v>698</v>
      </c>
    </row>
    <row r="454" customFormat="false" ht="15" hidden="false" customHeight="false" outlineLevel="0" collapsed="false">
      <c r="A454" s="60" t="s">
        <v>78</v>
      </c>
      <c r="B454" s="61" t="s">
        <v>699</v>
      </c>
    </row>
    <row r="455" customFormat="false" ht="15" hidden="false" customHeight="false" outlineLevel="0" collapsed="false">
      <c r="A455" s="60" t="s">
        <v>102</v>
      </c>
      <c r="B455" s="61" t="s">
        <v>700</v>
      </c>
    </row>
    <row r="456" customFormat="false" ht="15" hidden="false" customHeight="false" outlineLevel="0" collapsed="false">
      <c r="A456" s="49" t="s">
        <v>139</v>
      </c>
      <c r="B456" s="29" t="s">
        <v>701</v>
      </c>
      <c r="C456" s="49" t="s">
        <v>520</v>
      </c>
      <c r="D456" s="50" t="n">
        <v>1</v>
      </c>
      <c r="E456" s="51" t="n">
        <f aca="false">'Analisa Harga Satuan'!$H$935</f>
        <v>20350000</v>
      </c>
      <c r="F456" s="52" t="n">
        <f aca="false">ROUND(D456*E456,0)</f>
        <v>20350000</v>
      </c>
      <c r="G456" s="49" t="s">
        <v>702</v>
      </c>
      <c r="H456" s="53" t="s">
        <v>181</v>
      </c>
    </row>
    <row r="457" customFormat="false" ht="15" hidden="false" customHeight="false" outlineLevel="0" collapsed="false">
      <c r="B457" s="54" t="s">
        <v>703</v>
      </c>
    </row>
    <row r="458" customFormat="false" ht="15" hidden="false" customHeight="false" outlineLevel="0" collapsed="false">
      <c r="A458" s="49"/>
      <c r="B458" s="29" t="s">
        <v>704</v>
      </c>
      <c r="C458" s="49" t="s">
        <v>367</v>
      </c>
      <c r="D458" s="50" t="n">
        <v>4</v>
      </c>
      <c r="E458" s="51" t="n">
        <f aca="false">'Analisa Harga Satuan'!$H$936</f>
        <v>165000</v>
      </c>
      <c r="F458" s="52" t="n">
        <f aca="false">ROUND(D458*E458,0)</f>
        <v>660000</v>
      </c>
      <c r="G458" s="49" t="s">
        <v>705</v>
      </c>
      <c r="H458" s="53" t="s">
        <v>181</v>
      </c>
    </row>
    <row r="459" customFormat="false" ht="15" hidden="false" customHeight="false" outlineLevel="0" collapsed="false">
      <c r="A459" s="49" t="s">
        <v>141</v>
      </c>
      <c r="B459" s="29" t="s">
        <v>706</v>
      </c>
      <c r="C459" s="49" t="s">
        <v>367</v>
      </c>
      <c r="D459" s="50" t="n">
        <v>2</v>
      </c>
      <c r="E459" s="51" t="n">
        <f aca="false">'Analisa Harga Satuan'!$H$937</f>
        <v>1375000</v>
      </c>
      <c r="F459" s="52" t="n">
        <f aca="false">ROUND(D459*E459,0)</f>
        <v>2750000</v>
      </c>
      <c r="G459" s="49" t="s">
        <v>707</v>
      </c>
      <c r="H459" s="53" t="s">
        <v>181</v>
      </c>
    </row>
    <row r="460" customFormat="false" ht="15" hidden="false" customHeight="false" outlineLevel="0" collapsed="false">
      <c r="A460" s="49" t="s">
        <v>143</v>
      </c>
      <c r="B460" s="29" t="s">
        <v>708</v>
      </c>
      <c r="C460" s="49" t="s">
        <v>520</v>
      </c>
      <c r="D460" s="50" t="n">
        <v>1</v>
      </c>
      <c r="E460" s="51" t="n">
        <f aca="false">'Analisa Harga Satuan'!$H$938</f>
        <v>2695000</v>
      </c>
      <c r="F460" s="52" t="n">
        <f aca="false">ROUND(D460*E460,0)</f>
        <v>2695000</v>
      </c>
      <c r="G460" s="49" t="s">
        <v>709</v>
      </c>
      <c r="H460" s="53" t="s">
        <v>181</v>
      </c>
    </row>
    <row r="461" customFormat="false" ht="15" hidden="false" customHeight="false" outlineLevel="0" collapsed="false">
      <c r="A461" s="49" t="s">
        <v>145</v>
      </c>
      <c r="B461" s="29" t="s">
        <v>710</v>
      </c>
      <c r="C461" s="49" t="s">
        <v>520</v>
      </c>
      <c r="D461" s="50" t="n">
        <v>6</v>
      </c>
      <c r="E461" s="51" t="n">
        <f aca="false">'Analisa Harga Satuan'!$H$939</f>
        <v>3135000</v>
      </c>
      <c r="F461" s="52" t="n">
        <f aca="false">ROUND(D461*E461,0)</f>
        <v>18810000</v>
      </c>
      <c r="G461" s="49" t="s">
        <v>711</v>
      </c>
      <c r="H461" s="53" t="s">
        <v>181</v>
      </c>
    </row>
    <row r="462" customFormat="false" ht="15" hidden="false" customHeight="false" outlineLevel="0" collapsed="false">
      <c r="A462" s="49" t="s">
        <v>147</v>
      </c>
      <c r="B462" s="29" t="s">
        <v>712</v>
      </c>
      <c r="C462" s="49" t="s">
        <v>206</v>
      </c>
      <c r="D462" s="50" t="n">
        <v>1</v>
      </c>
      <c r="E462" s="51" t="n">
        <f aca="false">'Analisa Harga Satuan'!$H$940</f>
        <v>423500</v>
      </c>
      <c r="F462" s="52" t="n">
        <f aca="false">ROUND(D462*E462,0)</f>
        <v>423500</v>
      </c>
      <c r="G462" s="49" t="s">
        <v>713</v>
      </c>
      <c r="H462" s="53" t="s">
        <v>181</v>
      </c>
    </row>
    <row r="463" customFormat="false" ht="15" hidden="false" customHeight="false" outlineLevel="0" collapsed="false">
      <c r="A463" s="49" t="s">
        <v>149</v>
      </c>
      <c r="B463" s="29" t="s">
        <v>714</v>
      </c>
      <c r="C463" s="49" t="s">
        <v>206</v>
      </c>
      <c r="D463" s="50" t="n">
        <v>1</v>
      </c>
      <c r="E463" s="51" t="n">
        <f aca="false">'Analisa Harga Satuan'!$H$941</f>
        <v>495000</v>
      </c>
      <c r="F463" s="52" t="n">
        <f aca="false">ROUND(D463*E463,0)</f>
        <v>495000</v>
      </c>
      <c r="G463" s="49" t="s">
        <v>715</v>
      </c>
      <c r="H463" s="53" t="s">
        <v>181</v>
      </c>
    </row>
    <row r="464" customFormat="false" ht="15" hidden="false" customHeight="false" outlineLevel="0" collapsed="false">
      <c r="A464" s="49" t="s">
        <v>151</v>
      </c>
      <c r="B464" s="29" t="s">
        <v>716</v>
      </c>
      <c r="C464" s="49" t="s">
        <v>206</v>
      </c>
      <c r="D464" s="50" t="n">
        <v>1</v>
      </c>
      <c r="E464" s="51" t="n">
        <f aca="false">'Analisa Harga Satuan'!$H$942</f>
        <v>385000</v>
      </c>
      <c r="F464" s="52" t="n">
        <f aca="false">ROUND(D464*E464,0)</f>
        <v>385000</v>
      </c>
      <c r="G464" s="49" t="s">
        <v>717</v>
      </c>
      <c r="H464" s="53" t="s">
        <v>181</v>
      </c>
    </row>
    <row r="465" customFormat="false" ht="15" hidden="false" customHeight="false" outlineLevel="0" collapsed="false">
      <c r="A465" s="49" t="s">
        <v>423</v>
      </c>
      <c r="B465" s="29" t="s">
        <v>718</v>
      </c>
      <c r="C465" s="49" t="s">
        <v>520</v>
      </c>
      <c r="D465" s="50" t="n">
        <v>2</v>
      </c>
      <c r="E465" s="51" t="n">
        <f aca="false">'Analisa Harga Satuan'!$H$943</f>
        <v>2365000</v>
      </c>
      <c r="F465" s="52" t="n">
        <f aca="false">ROUND(D465*E465,0)</f>
        <v>4730000</v>
      </c>
      <c r="G465" s="49" t="s">
        <v>719</v>
      </c>
      <c r="H465" s="53" t="s">
        <v>181</v>
      </c>
    </row>
    <row r="466" customFormat="false" ht="15" hidden="false" customHeight="false" outlineLevel="0" collapsed="false">
      <c r="A466" s="49" t="s">
        <v>208</v>
      </c>
      <c r="B466" s="29" t="s">
        <v>720</v>
      </c>
      <c r="C466" s="49" t="s">
        <v>206</v>
      </c>
      <c r="D466" s="50" t="n">
        <v>2</v>
      </c>
      <c r="E466" s="51" t="n">
        <f aca="false">'Analisa Harga Satuan'!$H$944</f>
        <v>1815000</v>
      </c>
      <c r="F466" s="52" t="n">
        <f aca="false">ROUND(D466*E466,0)</f>
        <v>3630000</v>
      </c>
      <c r="G466" s="49" t="s">
        <v>721</v>
      </c>
      <c r="H466" s="53" t="s">
        <v>181</v>
      </c>
    </row>
    <row r="467" customFormat="false" ht="15" hidden="false" customHeight="false" outlineLevel="0" collapsed="false">
      <c r="A467" s="49" t="s">
        <v>217</v>
      </c>
      <c r="B467" s="29" t="s">
        <v>722</v>
      </c>
      <c r="C467" s="49" t="s">
        <v>520</v>
      </c>
      <c r="D467" s="50" t="n">
        <v>1</v>
      </c>
      <c r="E467" s="51" t="n">
        <f aca="false">'Analisa Harga Satuan'!$H$945</f>
        <v>1045000</v>
      </c>
      <c r="F467" s="52" t="n">
        <f aca="false">ROUND(D467*E467,0)</f>
        <v>1045000</v>
      </c>
      <c r="G467" s="49" t="s">
        <v>723</v>
      </c>
      <c r="H467" s="53" t="s">
        <v>181</v>
      </c>
    </row>
    <row r="468" customFormat="false" ht="15" hidden="false" customHeight="false" outlineLevel="0" collapsed="false">
      <c r="A468" s="49" t="s">
        <v>689</v>
      </c>
      <c r="B468" s="29" t="s">
        <v>724</v>
      </c>
      <c r="C468" s="49" t="s">
        <v>367</v>
      </c>
      <c r="D468" s="50" t="n">
        <v>27</v>
      </c>
      <c r="E468" s="51" t="n">
        <f aca="false">'Analisa Harga Satuan'!$H$946</f>
        <v>68200</v>
      </c>
      <c r="F468" s="52" t="n">
        <f aca="false">ROUND(D468*E468,0)</f>
        <v>1841400</v>
      </c>
      <c r="G468" s="49" t="s">
        <v>725</v>
      </c>
      <c r="H468" s="53" t="s">
        <v>181</v>
      </c>
    </row>
    <row r="469" customFormat="false" ht="15" hidden="false" customHeight="false" outlineLevel="0" collapsed="false">
      <c r="A469" s="60" t="s">
        <v>111</v>
      </c>
      <c r="B469" s="61" t="s">
        <v>726</v>
      </c>
    </row>
    <row r="470" customFormat="false" ht="15" hidden="false" customHeight="false" outlineLevel="0" collapsed="false">
      <c r="A470" s="49" t="s">
        <v>139</v>
      </c>
      <c r="B470" s="29" t="s">
        <v>727</v>
      </c>
      <c r="C470" s="49" t="s">
        <v>520</v>
      </c>
      <c r="D470" s="50" t="n">
        <v>3</v>
      </c>
      <c r="E470" s="51" t="n">
        <f aca="false">'Analisa Harga Satuan'!$H$947</f>
        <v>21450000</v>
      </c>
      <c r="F470" s="52" t="n">
        <f aca="false">ROUND(D470*E470,0)</f>
        <v>64350000</v>
      </c>
      <c r="G470" s="49" t="s">
        <v>728</v>
      </c>
      <c r="H470" s="53" t="s">
        <v>181</v>
      </c>
    </row>
    <row r="471" customFormat="false" ht="15" hidden="false" customHeight="false" outlineLevel="0" collapsed="false">
      <c r="A471" s="49"/>
      <c r="B471" s="29" t="s">
        <v>729</v>
      </c>
      <c r="C471" s="49" t="s">
        <v>179</v>
      </c>
      <c r="D471" s="50" t="n">
        <v>1</v>
      </c>
      <c r="E471" s="51" t="n">
        <f aca="false">'Analisa Harga Satuan'!$H$948</f>
        <v>1650000</v>
      </c>
      <c r="F471" s="52" t="n">
        <f aca="false">ROUND(D471*E471,0)</f>
        <v>1650000</v>
      </c>
      <c r="G471" s="49" t="s">
        <v>730</v>
      </c>
      <c r="H471" s="53" t="s">
        <v>181</v>
      </c>
    </row>
    <row r="472" customFormat="false" ht="15" hidden="false" customHeight="false" outlineLevel="0" collapsed="false">
      <c r="A472" s="60" t="s">
        <v>731</v>
      </c>
      <c r="B472" s="61" t="s">
        <v>732</v>
      </c>
    </row>
    <row r="473" customFormat="false" ht="15" hidden="false" customHeight="false" outlineLevel="0" collapsed="false">
      <c r="A473" s="60" t="s">
        <v>93</v>
      </c>
      <c r="B473" s="61" t="s">
        <v>733</v>
      </c>
    </row>
    <row r="474" customFormat="false" ht="15" hidden="false" customHeight="false" outlineLevel="0" collapsed="false">
      <c r="A474" s="49" t="s">
        <v>139</v>
      </c>
      <c r="B474" s="29" t="s">
        <v>734</v>
      </c>
      <c r="C474" s="49" t="s">
        <v>367</v>
      </c>
      <c r="D474" s="50" t="n">
        <v>20</v>
      </c>
      <c r="E474" s="51" t="n">
        <f aca="false">'Analisa Harga Satuan'!$H$949</f>
        <v>159500</v>
      </c>
      <c r="F474" s="52" t="n">
        <f aca="false">ROUND(D474*E474,0)</f>
        <v>3190000</v>
      </c>
      <c r="G474" s="49" t="s">
        <v>735</v>
      </c>
      <c r="H474" s="53" t="s">
        <v>181</v>
      </c>
    </row>
    <row r="475" customFormat="false" ht="15" hidden="false" customHeight="false" outlineLevel="0" collapsed="false">
      <c r="A475" s="49" t="s">
        <v>139</v>
      </c>
      <c r="B475" s="29" t="s">
        <v>736</v>
      </c>
      <c r="C475" s="49" t="s">
        <v>367</v>
      </c>
      <c r="D475" s="50" t="n">
        <v>20</v>
      </c>
      <c r="E475" s="51" t="n">
        <f aca="false">'Analisa Harga Satuan'!$H$950</f>
        <v>85800</v>
      </c>
      <c r="F475" s="52" t="n">
        <f aca="false">ROUND(D475*E475,0)</f>
        <v>1716000</v>
      </c>
      <c r="G475" s="49" t="s">
        <v>737</v>
      </c>
      <c r="H475" s="53" t="s">
        <v>181</v>
      </c>
    </row>
    <row r="476" customFormat="false" ht="15" hidden="false" customHeight="false" outlineLevel="0" collapsed="false">
      <c r="A476" s="49" t="s">
        <v>141</v>
      </c>
      <c r="B476" s="29" t="s">
        <v>738</v>
      </c>
      <c r="C476" s="49" t="s">
        <v>367</v>
      </c>
      <c r="D476" s="50" t="n">
        <v>30</v>
      </c>
      <c r="E476" s="51" t="n">
        <f aca="false">'Analisa Harga Satuan'!$H$951</f>
        <v>63800</v>
      </c>
      <c r="F476" s="52" t="n">
        <f aca="false">ROUND(D476*E476,0)</f>
        <v>1914000</v>
      </c>
      <c r="G476" s="49" t="s">
        <v>739</v>
      </c>
      <c r="H476" s="53" t="s">
        <v>181</v>
      </c>
    </row>
    <row r="477" customFormat="false" ht="15" hidden="false" customHeight="false" outlineLevel="0" collapsed="false">
      <c r="A477" s="49" t="s">
        <v>143</v>
      </c>
      <c r="B477" s="29" t="s">
        <v>740</v>
      </c>
      <c r="C477" s="49" t="s">
        <v>367</v>
      </c>
      <c r="D477" s="50" t="n">
        <v>110</v>
      </c>
      <c r="E477" s="51" t="n">
        <f aca="false">'Analisa Harga Satuan'!$H$952</f>
        <v>52800</v>
      </c>
      <c r="F477" s="52" t="n">
        <f aca="false">ROUND(D477*E477,0)</f>
        <v>5808000</v>
      </c>
      <c r="G477" s="49" t="s">
        <v>741</v>
      </c>
      <c r="H477" s="53" t="s">
        <v>181</v>
      </c>
    </row>
    <row r="478" customFormat="false" ht="15" hidden="false" customHeight="false" outlineLevel="0" collapsed="false">
      <c r="A478" s="49" t="s">
        <v>145</v>
      </c>
      <c r="B478" s="29" t="s">
        <v>742</v>
      </c>
      <c r="C478" s="49" t="s">
        <v>206</v>
      </c>
      <c r="D478" s="50" t="n">
        <v>4</v>
      </c>
      <c r="E478" s="51" t="n">
        <f aca="false">'Analisa Harga Satuan'!$H$953</f>
        <v>643500</v>
      </c>
      <c r="F478" s="52" t="n">
        <f aca="false">ROUND(D478*E478,0)</f>
        <v>2574000</v>
      </c>
      <c r="G478" s="49" t="s">
        <v>743</v>
      </c>
      <c r="H478" s="53" t="s">
        <v>181</v>
      </c>
    </row>
    <row r="479" customFormat="false" ht="15" hidden="false" customHeight="false" outlineLevel="0" collapsed="false">
      <c r="A479" s="60" t="s">
        <v>102</v>
      </c>
      <c r="B479" s="61" t="s">
        <v>744</v>
      </c>
    </row>
    <row r="480" customFormat="false" ht="15" hidden="false" customHeight="false" outlineLevel="0" collapsed="false">
      <c r="A480" s="49" t="s">
        <v>139</v>
      </c>
      <c r="B480" s="29" t="s">
        <v>734</v>
      </c>
      <c r="C480" s="49" t="s">
        <v>367</v>
      </c>
      <c r="D480" s="50" t="n">
        <v>32</v>
      </c>
      <c r="E480" s="51" t="n">
        <f aca="false">'Analisa Harga Satuan'!$H$949</f>
        <v>159500</v>
      </c>
      <c r="F480" s="52" t="n">
        <f aca="false">ROUND(D480*E480,0)</f>
        <v>5104000</v>
      </c>
      <c r="G480" s="49" t="s">
        <v>735</v>
      </c>
      <c r="H480" s="53" t="s">
        <v>181</v>
      </c>
    </row>
    <row r="481" customFormat="false" ht="15" hidden="false" customHeight="false" outlineLevel="0" collapsed="false">
      <c r="A481" s="49" t="s">
        <v>139</v>
      </c>
      <c r="B481" s="29" t="s">
        <v>736</v>
      </c>
      <c r="C481" s="49" t="s">
        <v>367</v>
      </c>
      <c r="D481" s="50" t="n">
        <v>20</v>
      </c>
      <c r="E481" s="51" t="n">
        <f aca="false">'Analisa Harga Satuan'!$H$950</f>
        <v>85800</v>
      </c>
      <c r="F481" s="52" t="n">
        <f aca="false">ROUND(D481*E481,0)</f>
        <v>1716000</v>
      </c>
      <c r="G481" s="49" t="s">
        <v>737</v>
      </c>
      <c r="H481" s="53" t="s">
        <v>181</v>
      </c>
    </row>
    <row r="482" customFormat="false" ht="15" hidden="false" customHeight="false" outlineLevel="0" collapsed="false">
      <c r="A482" s="49" t="s">
        <v>141</v>
      </c>
      <c r="B482" s="29" t="s">
        <v>738</v>
      </c>
      <c r="C482" s="49" t="s">
        <v>367</v>
      </c>
      <c r="D482" s="50" t="n">
        <v>40</v>
      </c>
      <c r="E482" s="51" t="n">
        <f aca="false">'Analisa Harga Satuan'!$H$951</f>
        <v>63800</v>
      </c>
      <c r="F482" s="52" t="n">
        <f aca="false">ROUND(D482*E482,0)</f>
        <v>2552000</v>
      </c>
      <c r="G482" s="49" t="s">
        <v>739</v>
      </c>
      <c r="H482" s="53" t="s">
        <v>181</v>
      </c>
    </row>
    <row r="483" customFormat="false" ht="15" hidden="false" customHeight="false" outlineLevel="0" collapsed="false">
      <c r="A483" s="49" t="s">
        <v>143</v>
      </c>
      <c r="B483" s="29" t="s">
        <v>740</v>
      </c>
      <c r="C483" s="49" t="s">
        <v>367</v>
      </c>
      <c r="D483" s="50" t="n">
        <v>108</v>
      </c>
      <c r="E483" s="51" t="n">
        <f aca="false">'Analisa Harga Satuan'!$H$952</f>
        <v>52800</v>
      </c>
      <c r="F483" s="52" t="n">
        <f aca="false">ROUND(D483*E483,0)</f>
        <v>5702400</v>
      </c>
      <c r="G483" s="49" t="s">
        <v>741</v>
      </c>
      <c r="H483" s="53" t="s">
        <v>181</v>
      </c>
    </row>
    <row r="484" customFormat="false" ht="15" hidden="false" customHeight="false" outlineLevel="0" collapsed="false">
      <c r="A484" s="49" t="s">
        <v>145</v>
      </c>
      <c r="B484" s="29" t="s">
        <v>742</v>
      </c>
      <c r="C484" s="49" t="s">
        <v>206</v>
      </c>
      <c r="D484" s="50" t="n">
        <v>5</v>
      </c>
      <c r="E484" s="51" t="n">
        <f aca="false">'Analisa Harga Satuan'!$H$953</f>
        <v>643500</v>
      </c>
      <c r="F484" s="52" t="n">
        <f aca="false">ROUND(D484*E484,0)</f>
        <v>3217500</v>
      </c>
      <c r="G484" s="49" t="s">
        <v>743</v>
      </c>
      <c r="H484" s="53" t="s">
        <v>181</v>
      </c>
    </row>
    <row r="485" customFormat="false" ht="15" hidden="false" customHeight="false" outlineLevel="0" collapsed="false">
      <c r="A485" s="60" t="s">
        <v>745</v>
      </c>
      <c r="B485" s="61" t="s">
        <v>746</v>
      </c>
    </row>
    <row r="486" customFormat="false" ht="15" hidden="false" customHeight="false" outlineLevel="0" collapsed="false">
      <c r="A486" s="60" t="s">
        <v>78</v>
      </c>
      <c r="B486" s="61" t="s">
        <v>747</v>
      </c>
    </row>
    <row r="487" customFormat="false" ht="15" hidden="false" customHeight="false" outlineLevel="0" collapsed="false">
      <c r="A487" s="49" t="s">
        <v>139</v>
      </c>
      <c r="B487" s="29" t="s">
        <v>748</v>
      </c>
      <c r="C487" s="49" t="s">
        <v>367</v>
      </c>
      <c r="D487" s="50" t="n">
        <v>30</v>
      </c>
      <c r="E487" s="51" t="n">
        <f aca="false">'Analisa Harga Satuan'!$H$954</f>
        <v>181500</v>
      </c>
      <c r="F487" s="52" t="n">
        <f aca="false">ROUND(D487*E487,0)</f>
        <v>5445000</v>
      </c>
      <c r="G487" s="49" t="s">
        <v>749</v>
      </c>
      <c r="H487" s="53" t="s">
        <v>181</v>
      </c>
    </row>
    <row r="488" customFormat="false" ht="15" hidden="false" customHeight="false" outlineLevel="0" collapsed="false">
      <c r="A488" s="49" t="s">
        <v>141</v>
      </c>
      <c r="B488" s="29" t="s">
        <v>750</v>
      </c>
      <c r="C488" s="49" t="s">
        <v>367</v>
      </c>
      <c r="D488" s="50" t="n">
        <v>36</v>
      </c>
      <c r="E488" s="51" t="n">
        <f aca="false">'Analisa Harga Satuan'!$H$955</f>
        <v>126500</v>
      </c>
      <c r="F488" s="52" t="n">
        <f aca="false">ROUND(D488*E488,0)</f>
        <v>4554000</v>
      </c>
      <c r="G488" s="49" t="s">
        <v>751</v>
      </c>
      <c r="H488" s="53" t="s">
        <v>181</v>
      </c>
    </row>
    <row r="489" customFormat="false" ht="15" hidden="false" customHeight="false" outlineLevel="0" collapsed="false">
      <c r="A489" s="49" t="s">
        <v>143</v>
      </c>
      <c r="B489" s="29" t="s">
        <v>752</v>
      </c>
      <c r="C489" s="49" t="s">
        <v>367</v>
      </c>
      <c r="D489" s="50" t="n">
        <v>8</v>
      </c>
      <c r="E489" s="51" t="n">
        <f aca="false">'Analisa Harga Satuan'!$H$956</f>
        <v>57200</v>
      </c>
      <c r="F489" s="52" t="n">
        <f aca="false">ROUND(D489*E489,0)</f>
        <v>457600</v>
      </c>
      <c r="G489" s="49" t="s">
        <v>753</v>
      </c>
      <c r="H489" s="53" t="s">
        <v>181</v>
      </c>
    </row>
    <row r="490" customFormat="false" ht="15" hidden="false" customHeight="false" outlineLevel="0" collapsed="false">
      <c r="A490" s="49" t="s">
        <v>143</v>
      </c>
      <c r="B490" s="29" t="s">
        <v>754</v>
      </c>
      <c r="C490" s="49" t="s">
        <v>206</v>
      </c>
      <c r="D490" s="50" t="n">
        <v>2</v>
      </c>
      <c r="E490" s="51" t="n">
        <f aca="false">'Analisa Harga Satuan'!$H$957</f>
        <v>935000</v>
      </c>
      <c r="F490" s="52" t="n">
        <f aca="false">ROUND(D490*E490,0)</f>
        <v>1870000</v>
      </c>
      <c r="G490" s="49" t="s">
        <v>755</v>
      </c>
      <c r="H490" s="53" t="s">
        <v>181</v>
      </c>
    </row>
    <row r="491" customFormat="false" ht="15" hidden="false" customHeight="false" outlineLevel="0" collapsed="false">
      <c r="A491" s="49" t="s">
        <v>145</v>
      </c>
      <c r="B491" s="29" t="s">
        <v>756</v>
      </c>
      <c r="C491" s="49" t="s">
        <v>206</v>
      </c>
      <c r="D491" s="50" t="n">
        <v>1</v>
      </c>
      <c r="E491" s="51" t="n">
        <f aca="false">'Analisa Harga Satuan'!$H$958</f>
        <v>313500</v>
      </c>
      <c r="F491" s="52" t="n">
        <f aca="false">ROUND(D491*E491,0)</f>
        <v>313500</v>
      </c>
      <c r="G491" s="49" t="s">
        <v>757</v>
      </c>
      <c r="H491" s="53" t="s">
        <v>181</v>
      </c>
    </row>
    <row r="492" customFormat="false" ht="15" hidden="false" customHeight="false" outlineLevel="0" collapsed="false">
      <c r="A492" s="49" t="s">
        <v>147</v>
      </c>
      <c r="B492" s="29" t="s">
        <v>758</v>
      </c>
      <c r="C492" s="49" t="s">
        <v>183</v>
      </c>
      <c r="D492" s="50" t="n">
        <v>2</v>
      </c>
      <c r="E492" s="51" t="n">
        <f aca="false">'Analisa Harga Satuan'!$H$959</f>
        <v>4950000</v>
      </c>
      <c r="F492" s="52" t="n">
        <f aca="false">ROUND(D492*E492,0)</f>
        <v>9900000</v>
      </c>
      <c r="G492" s="49" t="s">
        <v>759</v>
      </c>
      <c r="H492" s="53" t="s">
        <v>181</v>
      </c>
    </row>
    <row r="493" customFormat="false" ht="15" hidden="false" customHeight="false" outlineLevel="0" collapsed="false">
      <c r="A493" s="60" t="s">
        <v>93</v>
      </c>
      <c r="B493" s="61" t="s">
        <v>760</v>
      </c>
    </row>
    <row r="494" customFormat="false" ht="15" hidden="false" customHeight="false" outlineLevel="0" collapsed="false">
      <c r="A494" s="49" t="s">
        <v>139</v>
      </c>
      <c r="B494" s="29" t="s">
        <v>761</v>
      </c>
      <c r="C494" s="49" t="s">
        <v>367</v>
      </c>
      <c r="D494" s="50" t="n">
        <v>25</v>
      </c>
      <c r="E494" s="51" t="n">
        <f aca="false">'Analisa Harga Satuan'!$H$954</f>
        <v>181500</v>
      </c>
      <c r="F494" s="52" t="n">
        <f aca="false">ROUND(D494*E494,0)</f>
        <v>4537500</v>
      </c>
      <c r="G494" s="49" t="s">
        <v>749</v>
      </c>
      <c r="H494" s="53" t="s">
        <v>181</v>
      </c>
    </row>
    <row r="495" customFormat="false" ht="15" hidden="false" customHeight="false" outlineLevel="0" collapsed="false">
      <c r="A495" s="49" t="s">
        <v>139</v>
      </c>
      <c r="B495" s="29" t="s">
        <v>750</v>
      </c>
      <c r="C495" s="49" t="s">
        <v>367</v>
      </c>
      <c r="D495" s="50" t="n">
        <v>24</v>
      </c>
      <c r="E495" s="51" t="n">
        <f aca="false">'Analisa Harga Satuan'!$H$955</f>
        <v>126500</v>
      </c>
      <c r="F495" s="52" t="n">
        <f aca="false">ROUND(D495*E495,0)</f>
        <v>3036000</v>
      </c>
      <c r="G495" s="49" t="s">
        <v>751</v>
      </c>
      <c r="H495" s="53" t="s">
        <v>181</v>
      </c>
    </row>
    <row r="496" customFormat="false" ht="15" hidden="false" customHeight="false" outlineLevel="0" collapsed="false">
      <c r="A496" s="49" t="s">
        <v>141</v>
      </c>
      <c r="B496" s="29" t="s">
        <v>752</v>
      </c>
      <c r="C496" s="49" t="s">
        <v>367</v>
      </c>
      <c r="D496" s="50" t="n">
        <v>18</v>
      </c>
      <c r="E496" s="51" t="n">
        <f aca="false">'Analisa Harga Satuan'!$H$956</f>
        <v>57200</v>
      </c>
      <c r="F496" s="52" t="n">
        <f aca="false">ROUND(D496*E496,0)</f>
        <v>1029600</v>
      </c>
      <c r="G496" s="49" t="s">
        <v>753</v>
      </c>
      <c r="H496" s="53" t="s">
        <v>181</v>
      </c>
    </row>
    <row r="497" customFormat="false" ht="15" hidden="false" customHeight="false" outlineLevel="0" collapsed="false">
      <c r="A497" s="49" t="s">
        <v>143</v>
      </c>
      <c r="B497" s="29" t="s">
        <v>762</v>
      </c>
      <c r="C497" s="49" t="s">
        <v>206</v>
      </c>
      <c r="D497" s="50" t="n">
        <v>3</v>
      </c>
      <c r="E497" s="51" t="n">
        <f aca="false">'Analisa Harga Satuan'!$H$958</f>
        <v>313500</v>
      </c>
      <c r="F497" s="52" t="n">
        <f aca="false">ROUND(D497*E497,0)</f>
        <v>940500</v>
      </c>
      <c r="G497" s="49" t="s">
        <v>757</v>
      </c>
      <c r="H497" s="53" t="s">
        <v>181</v>
      </c>
    </row>
    <row r="498" customFormat="false" ht="15" hidden="false" customHeight="false" outlineLevel="0" collapsed="false">
      <c r="A498" s="60" t="s">
        <v>763</v>
      </c>
      <c r="B498" s="61" t="s">
        <v>764</v>
      </c>
    </row>
    <row r="499" customFormat="false" ht="15" hidden="false" customHeight="false" outlineLevel="0" collapsed="false">
      <c r="A499" s="60" t="s">
        <v>78</v>
      </c>
      <c r="B499" s="61" t="s">
        <v>765</v>
      </c>
    </row>
    <row r="500" customFormat="false" ht="25.5" hidden="false" customHeight="true" outlineLevel="0" collapsed="false">
      <c r="A500" s="49" t="s">
        <v>139</v>
      </c>
      <c r="B500" s="29" t="s">
        <v>766</v>
      </c>
      <c r="C500" s="49" t="s">
        <v>367</v>
      </c>
      <c r="D500" s="50" t="n">
        <v>24</v>
      </c>
      <c r="E500" s="51" t="n">
        <f aca="false">'Analisa Harga Satuan'!$H$960</f>
        <v>291500</v>
      </c>
      <c r="F500" s="52" t="n">
        <f aca="false">ROUND(D500*E500,0)</f>
        <v>6996000</v>
      </c>
      <c r="G500" s="49" t="s">
        <v>767</v>
      </c>
      <c r="H500" s="53" t="s">
        <v>181</v>
      </c>
    </row>
    <row r="501" customFormat="false" ht="15" hidden="false" customHeight="false" outlineLevel="0" collapsed="false">
      <c r="A501" s="49" t="s">
        <v>139</v>
      </c>
      <c r="B501" s="29" t="s">
        <v>748</v>
      </c>
      <c r="C501" s="49" t="s">
        <v>367</v>
      </c>
      <c r="D501" s="50" t="n">
        <v>32</v>
      </c>
      <c r="E501" s="51" t="n">
        <f aca="false">'Analisa Harga Satuan'!$H$954</f>
        <v>181500</v>
      </c>
      <c r="F501" s="52" t="n">
        <f aca="false">ROUND(D501*E501,0)</f>
        <v>5808000</v>
      </c>
      <c r="G501" s="49" t="s">
        <v>749</v>
      </c>
      <c r="H501" s="53" t="s">
        <v>181</v>
      </c>
    </row>
    <row r="502" customFormat="false" ht="15" hidden="false" customHeight="false" outlineLevel="0" collapsed="false">
      <c r="A502" s="49" t="s">
        <v>141</v>
      </c>
      <c r="B502" s="29" t="s">
        <v>768</v>
      </c>
      <c r="C502" s="49" t="s">
        <v>206</v>
      </c>
      <c r="D502" s="50" t="n">
        <v>1</v>
      </c>
      <c r="E502" s="51" t="n">
        <f aca="false">'Analisa Harga Satuan'!$H$957</f>
        <v>935000</v>
      </c>
      <c r="F502" s="52" t="n">
        <f aca="false">ROUND(D502*E502,0)</f>
        <v>935000</v>
      </c>
      <c r="G502" s="49" t="s">
        <v>755</v>
      </c>
      <c r="H502" s="53" t="s">
        <v>181</v>
      </c>
    </row>
    <row r="503" customFormat="false" ht="15" hidden="false" customHeight="false" outlineLevel="0" collapsed="false">
      <c r="A503" s="49" t="s">
        <v>143</v>
      </c>
      <c r="B503" s="29" t="s">
        <v>769</v>
      </c>
      <c r="C503" s="49" t="s">
        <v>206</v>
      </c>
      <c r="D503" s="50" t="n">
        <v>1</v>
      </c>
      <c r="E503" s="51" t="n">
        <f aca="false">'Analisa Harga Satuan'!$H$961</f>
        <v>1375000</v>
      </c>
      <c r="F503" s="52" t="n">
        <f aca="false">ROUND(D503*E503,0)</f>
        <v>1375000</v>
      </c>
      <c r="G503" s="49" t="s">
        <v>770</v>
      </c>
      <c r="H503" s="53" t="s">
        <v>181</v>
      </c>
    </row>
    <row r="504" customFormat="false" ht="15" hidden="false" customHeight="false" outlineLevel="0" collapsed="false">
      <c r="A504" s="49" t="s">
        <v>145</v>
      </c>
      <c r="B504" s="29" t="s">
        <v>771</v>
      </c>
      <c r="C504" s="49" t="s">
        <v>206</v>
      </c>
      <c r="D504" s="50" t="n">
        <v>1</v>
      </c>
      <c r="E504" s="51" t="n">
        <f aca="false">'Analisa Harga Satuan'!$H$962</f>
        <v>467500</v>
      </c>
      <c r="F504" s="52" t="n">
        <f aca="false">ROUND(D504*E504,0)</f>
        <v>467500</v>
      </c>
      <c r="G504" s="49" t="s">
        <v>772</v>
      </c>
      <c r="H504" s="53" t="s">
        <v>181</v>
      </c>
    </row>
    <row r="505" customFormat="false" ht="15" hidden="false" customHeight="false" outlineLevel="0" collapsed="false">
      <c r="A505" s="49" t="s">
        <v>147</v>
      </c>
      <c r="B505" s="29" t="s">
        <v>773</v>
      </c>
      <c r="C505" s="49" t="s">
        <v>206</v>
      </c>
      <c r="D505" s="50" t="n">
        <v>1</v>
      </c>
      <c r="E505" s="51" t="n">
        <f aca="false">'Analisa Harga Satuan'!$H$963</f>
        <v>46200000</v>
      </c>
      <c r="F505" s="52" t="n">
        <f aca="false">ROUND(D505*E505,0)</f>
        <v>46200000</v>
      </c>
      <c r="G505" s="49" t="s">
        <v>774</v>
      </c>
      <c r="H505" s="53" t="s">
        <v>181</v>
      </c>
    </row>
    <row r="506" customFormat="false" ht="15" hidden="false" customHeight="false" outlineLevel="0" collapsed="false">
      <c r="A506" s="49" t="s">
        <v>149</v>
      </c>
      <c r="B506" s="29" t="s">
        <v>775</v>
      </c>
      <c r="C506" s="49" t="s">
        <v>206</v>
      </c>
      <c r="D506" s="50" t="n">
        <v>1</v>
      </c>
      <c r="E506" s="51" t="n">
        <f aca="false">'Analisa Harga Satuan'!$H$964</f>
        <v>9350000</v>
      </c>
      <c r="F506" s="52" t="n">
        <f aca="false">ROUND(D506*E506,0)</f>
        <v>9350000</v>
      </c>
      <c r="G506" s="49" t="s">
        <v>776</v>
      </c>
      <c r="H506" s="53" t="s">
        <v>181</v>
      </c>
    </row>
    <row r="507" customFormat="false" ht="15" hidden="false" customHeight="false" outlineLevel="0" collapsed="false">
      <c r="A507" s="60" t="s">
        <v>93</v>
      </c>
      <c r="B507" s="61" t="s">
        <v>777</v>
      </c>
    </row>
    <row r="508" customFormat="false" ht="15" hidden="false" customHeight="false" outlineLevel="0" collapsed="false">
      <c r="A508" s="49" t="s">
        <v>139</v>
      </c>
      <c r="B508" s="29" t="s">
        <v>748</v>
      </c>
      <c r="C508" s="49" t="s">
        <v>367</v>
      </c>
      <c r="D508" s="50" t="n">
        <v>15</v>
      </c>
      <c r="E508" s="51" t="n">
        <f aca="false">'Analisa Harga Satuan'!$H$954</f>
        <v>181500</v>
      </c>
      <c r="F508" s="52" t="n">
        <f aca="false">ROUND(D508*E508,0)</f>
        <v>2722500</v>
      </c>
      <c r="G508" s="49" t="s">
        <v>749</v>
      </c>
      <c r="H508" s="53" t="s">
        <v>181</v>
      </c>
    </row>
    <row r="509" customFormat="false" ht="15" hidden="false" customHeight="false" outlineLevel="0" collapsed="false">
      <c r="A509" s="49" t="s">
        <v>141</v>
      </c>
      <c r="B509" s="29" t="s">
        <v>778</v>
      </c>
      <c r="C509" s="49" t="s">
        <v>206</v>
      </c>
      <c r="D509" s="50" t="n">
        <v>2</v>
      </c>
      <c r="E509" s="51" t="n">
        <f aca="false">'Analisa Harga Satuan'!$H$957</f>
        <v>935000</v>
      </c>
      <c r="F509" s="52" t="n">
        <f aca="false">ROUND(D509*E509,0)</f>
        <v>1870000</v>
      </c>
      <c r="G509" s="49" t="s">
        <v>755</v>
      </c>
      <c r="H509" s="53" t="s">
        <v>181</v>
      </c>
    </row>
    <row r="510" customFormat="false" ht="15" hidden="false" customHeight="false" outlineLevel="0" collapsed="false">
      <c r="A510" s="60" t="s">
        <v>763</v>
      </c>
      <c r="B510" s="61" t="s">
        <v>779</v>
      </c>
    </row>
    <row r="511" customFormat="false" ht="15" hidden="false" customHeight="false" outlineLevel="0" collapsed="false">
      <c r="A511" s="60" t="s">
        <v>78</v>
      </c>
      <c r="B511" s="61" t="s">
        <v>780</v>
      </c>
    </row>
    <row r="512" customFormat="false" ht="15" hidden="false" customHeight="false" outlineLevel="0" collapsed="false">
      <c r="A512" s="49" t="s">
        <v>139</v>
      </c>
      <c r="B512" s="29" t="s">
        <v>748</v>
      </c>
      <c r="C512" s="49" t="s">
        <v>367</v>
      </c>
      <c r="D512" s="50" t="n">
        <v>101</v>
      </c>
      <c r="E512" s="51" t="n">
        <f aca="false">'Analisa Harga Satuan'!$H$954</f>
        <v>181500</v>
      </c>
      <c r="F512" s="52" t="n">
        <f aca="false">ROUND(D512*E512,0)</f>
        <v>18331500</v>
      </c>
      <c r="G512" s="49" t="s">
        <v>749</v>
      </c>
      <c r="H512" s="53" t="s">
        <v>181</v>
      </c>
    </row>
    <row r="513" customFormat="false" ht="15" hidden="false" customHeight="false" outlineLevel="0" collapsed="false">
      <c r="A513" s="49" t="s">
        <v>141</v>
      </c>
      <c r="B513" s="29" t="s">
        <v>781</v>
      </c>
      <c r="C513" s="49" t="s">
        <v>206</v>
      </c>
      <c r="D513" s="50" t="n">
        <v>8</v>
      </c>
      <c r="E513" s="51" t="n">
        <f aca="false">'Analisa Harga Satuan'!$H$965</f>
        <v>533500</v>
      </c>
      <c r="F513" s="52" t="n">
        <f aca="false">ROUND(D513*E513,0)</f>
        <v>4268000</v>
      </c>
      <c r="G513" s="49" t="s">
        <v>782</v>
      </c>
      <c r="H513" s="53" t="s">
        <v>181</v>
      </c>
    </row>
    <row r="514" customFormat="false" ht="15" hidden="false" customHeight="false" outlineLevel="0" collapsed="false">
      <c r="A514" s="49" t="s">
        <v>143</v>
      </c>
      <c r="B514" s="29" t="s">
        <v>783</v>
      </c>
      <c r="C514" s="49" t="s">
        <v>784</v>
      </c>
      <c r="D514" s="50" t="n">
        <v>8</v>
      </c>
      <c r="E514" s="51" t="n">
        <f aca="false">'Analisa Harga Satuan'!$H$966</f>
        <v>137500</v>
      </c>
      <c r="F514" s="52" t="n">
        <f aca="false">ROUND(D514*E514,0)</f>
        <v>1100000</v>
      </c>
      <c r="G514" s="49" t="s">
        <v>785</v>
      </c>
      <c r="H514" s="53" t="s">
        <v>181</v>
      </c>
    </row>
    <row r="515" customFormat="false" ht="15" hidden="false" customHeight="false" outlineLevel="0" collapsed="false">
      <c r="A515" s="55"/>
      <c r="B515" s="56" t="s">
        <v>786</v>
      </c>
      <c r="C515" s="55"/>
      <c r="D515" s="55"/>
      <c r="E515" s="55"/>
      <c r="F515" s="27" t="n">
        <f aca="false">SUM(F429:F514)</f>
        <v>375664025</v>
      </c>
      <c r="G515" s="55"/>
      <c r="H515" s="55"/>
    </row>
    <row r="516" customFormat="false" ht="15" hidden="false" customHeight="false" outlineLevel="0" collapsed="false">
      <c r="A516" s="46" t="s">
        <v>90</v>
      </c>
      <c r="B516" s="47" t="s">
        <v>91</v>
      </c>
      <c r="C516" s="48"/>
      <c r="D516" s="48"/>
      <c r="E516" s="48"/>
      <c r="F516" s="48"/>
      <c r="G516" s="48"/>
      <c r="H516" s="48"/>
    </row>
    <row r="517" customFormat="false" ht="15" hidden="false" customHeight="false" outlineLevel="0" collapsed="false">
      <c r="A517" s="60" t="s">
        <v>787</v>
      </c>
      <c r="B517" s="61" t="s">
        <v>788</v>
      </c>
    </row>
    <row r="518" customFormat="false" ht="15" hidden="false" customHeight="false" outlineLevel="0" collapsed="false">
      <c r="A518" s="60" t="s">
        <v>93</v>
      </c>
      <c r="B518" s="61" t="s">
        <v>789</v>
      </c>
    </row>
    <row r="519" customFormat="false" ht="15" hidden="false" customHeight="false" outlineLevel="0" collapsed="false">
      <c r="A519" s="49" t="s">
        <v>139</v>
      </c>
      <c r="B519" s="29" t="s">
        <v>790</v>
      </c>
      <c r="C519" s="49" t="s">
        <v>183</v>
      </c>
      <c r="D519" s="50" t="n">
        <v>1</v>
      </c>
      <c r="E519" s="51" t="n">
        <f aca="false">'Analisa Harga Satuan'!$H$967</f>
        <v>71500000</v>
      </c>
      <c r="F519" s="52" t="n">
        <f aca="false">ROUND(D519*E519,0)</f>
        <v>71500000</v>
      </c>
      <c r="G519" s="49" t="s">
        <v>791</v>
      </c>
      <c r="H519" s="53" t="s">
        <v>189</v>
      </c>
    </row>
    <row r="520" customFormat="false" ht="15" hidden="false" customHeight="false" outlineLevel="0" collapsed="false">
      <c r="A520" s="49" t="s">
        <v>141</v>
      </c>
      <c r="B520" s="29" t="s">
        <v>792</v>
      </c>
      <c r="C520" s="49" t="s">
        <v>183</v>
      </c>
      <c r="D520" s="50" t="n">
        <v>1</v>
      </c>
      <c r="E520" s="51" t="n">
        <f aca="false">'Analisa Harga Satuan'!$H$968</f>
        <v>30800000</v>
      </c>
      <c r="F520" s="52" t="n">
        <f aca="false">ROUND(D520*E520,0)</f>
        <v>30800000</v>
      </c>
      <c r="G520" s="49" t="s">
        <v>793</v>
      </c>
      <c r="H520" s="53" t="s">
        <v>189</v>
      </c>
    </row>
    <row r="521" customFormat="false" ht="15" hidden="false" customHeight="false" outlineLevel="0" collapsed="false">
      <c r="A521" s="49" t="s">
        <v>143</v>
      </c>
      <c r="B521" s="29" t="s">
        <v>794</v>
      </c>
      <c r="C521" s="49" t="s">
        <v>183</v>
      </c>
      <c r="D521" s="50" t="n">
        <v>1</v>
      </c>
      <c r="E521" s="51" t="n">
        <f aca="false">'Analisa Harga Satuan'!$H$968</f>
        <v>30800000</v>
      </c>
      <c r="F521" s="52" t="n">
        <f aca="false">ROUND(D521*E521,0)</f>
        <v>30800000</v>
      </c>
      <c r="G521" s="49" t="s">
        <v>793</v>
      </c>
      <c r="H521" s="53" t="s">
        <v>189</v>
      </c>
    </row>
    <row r="522" customFormat="false" ht="15" hidden="false" customHeight="false" outlineLevel="0" collapsed="false">
      <c r="A522" s="49" t="s">
        <v>141</v>
      </c>
      <c r="B522" s="29" t="s">
        <v>795</v>
      </c>
      <c r="C522" s="49" t="s">
        <v>183</v>
      </c>
      <c r="D522" s="50" t="n">
        <v>1</v>
      </c>
      <c r="E522" s="51" t="n">
        <f aca="false">'Analisa Harga Satuan'!$H$969</f>
        <v>10450000</v>
      </c>
      <c r="F522" s="52" t="n">
        <f aca="false">ROUND(D522*E522,0)</f>
        <v>10450000</v>
      </c>
      <c r="G522" s="49" t="s">
        <v>796</v>
      </c>
      <c r="H522" s="53" t="s">
        <v>189</v>
      </c>
    </row>
    <row r="523" customFormat="false" ht="15" hidden="false" customHeight="false" outlineLevel="0" collapsed="false">
      <c r="A523" s="49" t="s">
        <v>143</v>
      </c>
      <c r="B523" s="29" t="s">
        <v>797</v>
      </c>
      <c r="C523" s="49" t="s">
        <v>183</v>
      </c>
      <c r="D523" s="50" t="n">
        <v>1</v>
      </c>
      <c r="E523" s="51" t="n">
        <f aca="false">'Analisa Harga Satuan'!$H$970</f>
        <v>10450000</v>
      </c>
      <c r="F523" s="52" t="n">
        <f aca="false">ROUND(D523*E523,0)</f>
        <v>10450000</v>
      </c>
      <c r="G523" s="49" t="s">
        <v>798</v>
      </c>
      <c r="H523" s="53" t="s">
        <v>189</v>
      </c>
    </row>
    <row r="524" customFormat="false" ht="15" hidden="false" customHeight="false" outlineLevel="0" collapsed="false">
      <c r="A524" s="49" t="s">
        <v>151</v>
      </c>
      <c r="B524" s="29" t="s">
        <v>799</v>
      </c>
      <c r="C524" s="49" t="s">
        <v>183</v>
      </c>
      <c r="D524" s="50" t="n">
        <v>1</v>
      </c>
      <c r="E524" s="51" t="n">
        <f aca="false">'Analisa Harga Satuan'!$H$971</f>
        <v>24200000</v>
      </c>
      <c r="F524" s="52" t="n">
        <f aca="false">ROUND(D524*E524,0)</f>
        <v>24200000</v>
      </c>
      <c r="G524" s="49" t="s">
        <v>800</v>
      </c>
      <c r="H524" s="53" t="s">
        <v>189</v>
      </c>
    </row>
    <row r="525" customFormat="false" ht="15" hidden="false" customHeight="false" outlineLevel="0" collapsed="false">
      <c r="A525" s="49" t="s">
        <v>423</v>
      </c>
      <c r="B525" s="29" t="s">
        <v>801</v>
      </c>
      <c r="C525" s="49" t="s">
        <v>183</v>
      </c>
      <c r="D525" s="50" t="n">
        <v>1</v>
      </c>
      <c r="E525" s="51" t="n">
        <f aca="false">'Analisa Harga Satuan'!$H$971</f>
        <v>24200000</v>
      </c>
      <c r="F525" s="52" t="n">
        <f aca="false">ROUND(D525*E525,0)</f>
        <v>24200000</v>
      </c>
      <c r="G525" s="49" t="s">
        <v>800</v>
      </c>
      <c r="H525" s="53" t="s">
        <v>189</v>
      </c>
    </row>
    <row r="526" customFormat="false" ht="15" hidden="false" customHeight="false" outlineLevel="0" collapsed="false">
      <c r="A526" s="60" t="s">
        <v>102</v>
      </c>
      <c r="B526" s="61" t="s">
        <v>802</v>
      </c>
    </row>
    <row r="527" customFormat="false" ht="15" hidden="false" customHeight="false" outlineLevel="0" collapsed="false">
      <c r="A527" s="49" t="s">
        <v>141</v>
      </c>
      <c r="B527" s="29" t="s">
        <v>803</v>
      </c>
      <c r="C527" s="49" t="s">
        <v>431</v>
      </c>
      <c r="D527" s="50" t="n">
        <v>5</v>
      </c>
      <c r="E527" s="51" t="n">
        <f aca="false">'Analisa Harga Satuan'!$H$972</f>
        <v>484000</v>
      </c>
      <c r="F527" s="52" t="n">
        <f aca="false">ROUND(D527*E527,0)</f>
        <v>2420000</v>
      </c>
      <c r="G527" s="49" t="s">
        <v>804</v>
      </c>
      <c r="H527" s="53" t="s">
        <v>181</v>
      </c>
    </row>
    <row r="528" customFormat="false" ht="15" hidden="false" customHeight="false" outlineLevel="0" collapsed="false">
      <c r="A528" s="49" t="s">
        <v>143</v>
      </c>
      <c r="B528" s="29" t="s">
        <v>805</v>
      </c>
      <c r="C528" s="49" t="s">
        <v>431</v>
      </c>
      <c r="D528" s="50" t="n">
        <v>8</v>
      </c>
      <c r="E528" s="51" t="n">
        <f aca="false">'Analisa Harga Satuan'!$H$972</f>
        <v>484000</v>
      </c>
      <c r="F528" s="52" t="n">
        <f aca="false">ROUND(D528*E528,0)</f>
        <v>3872000</v>
      </c>
      <c r="G528" s="49" t="s">
        <v>804</v>
      </c>
      <c r="H528" s="53" t="s">
        <v>181</v>
      </c>
    </row>
    <row r="529" customFormat="false" ht="15" hidden="false" customHeight="false" outlineLevel="0" collapsed="false">
      <c r="A529" s="49" t="s">
        <v>141</v>
      </c>
      <c r="B529" s="29" t="s">
        <v>806</v>
      </c>
      <c r="C529" s="49" t="s">
        <v>431</v>
      </c>
      <c r="D529" s="50" t="n">
        <v>6</v>
      </c>
      <c r="E529" s="51" t="n">
        <f aca="false">'Analisa Harga Satuan'!$H$973</f>
        <v>165000</v>
      </c>
      <c r="F529" s="52" t="n">
        <f aca="false">ROUND(D529*E529,0)</f>
        <v>990000</v>
      </c>
      <c r="G529" s="49" t="s">
        <v>807</v>
      </c>
      <c r="H529" s="53" t="s">
        <v>181</v>
      </c>
    </row>
    <row r="530" customFormat="false" ht="15" hidden="false" customHeight="false" outlineLevel="0" collapsed="false">
      <c r="A530" s="49" t="s">
        <v>143</v>
      </c>
      <c r="B530" s="29" t="s">
        <v>808</v>
      </c>
      <c r="C530" s="49" t="s">
        <v>431</v>
      </c>
      <c r="D530" s="50" t="n">
        <v>6</v>
      </c>
      <c r="E530" s="51" t="n">
        <f aca="false">'Analisa Harga Satuan'!$H$973</f>
        <v>165000</v>
      </c>
      <c r="F530" s="52" t="n">
        <f aca="false">ROUND(D530*E530,0)</f>
        <v>990000</v>
      </c>
      <c r="G530" s="49" t="s">
        <v>807</v>
      </c>
      <c r="H530" s="53" t="s">
        <v>181</v>
      </c>
    </row>
    <row r="531" customFormat="false" ht="15" hidden="false" customHeight="false" outlineLevel="0" collapsed="false">
      <c r="A531" s="49" t="s">
        <v>423</v>
      </c>
      <c r="B531" s="29" t="s">
        <v>809</v>
      </c>
      <c r="C531" s="49" t="s">
        <v>431</v>
      </c>
      <c r="D531" s="50" t="n">
        <v>6</v>
      </c>
      <c r="E531" s="51" t="n">
        <f aca="false">'Analisa Harga Satuan'!$H$974</f>
        <v>247500</v>
      </c>
      <c r="F531" s="52" t="n">
        <f aca="false">ROUND(D531*E531,0)</f>
        <v>1485000</v>
      </c>
      <c r="G531" s="49" t="s">
        <v>810</v>
      </c>
      <c r="H531" s="53" t="s">
        <v>181</v>
      </c>
    </row>
    <row r="532" customFormat="false" ht="15" hidden="false" customHeight="false" outlineLevel="0" collapsed="false">
      <c r="A532" s="49" t="s">
        <v>208</v>
      </c>
      <c r="B532" s="29" t="s">
        <v>811</v>
      </c>
      <c r="C532" s="49" t="s">
        <v>431</v>
      </c>
      <c r="D532" s="50" t="n">
        <v>6</v>
      </c>
      <c r="E532" s="51" t="n">
        <f aca="false">'Analisa Harga Satuan'!$H$974</f>
        <v>247500</v>
      </c>
      <c r="F532" s="52" t="n">
        <f aca="false">ROUND(D532*E532,0)</f>
        <v>1485000</v>
      </c>
      <c r="G532" s="49" t="s">
        <v>810</v>
      </c>
      <c r="H532" s="53" t="s">
        <v>181</v>
      </c>
    </row>
    <row r="533" customFormat="false" ht="15" hidden="false" customHeight="false" outlineLevel="0" collapsed="false">
      <c r="A533" s="60" t="s">
        <v>111</v>
      </c>
      <c r="B533" s="61" t="s">
        <v>812</v>
      </c>
    </row>
    <row r="534" customFormat="false" ht="15" hidden="false" customHeight="false" outlineLevel="0" collapsed="false">
      <c r="B534" s="54" t="s">
        <v>813</v>
      </c>
    </row>
    <row r="535" customFormat="false" ht="15" hidden="false" customHeight="false" outlineLevel="0" collapsed="false">
      <c r="A535" s="49" t="s">
        <v>139</v>
      </c>
      <c r="B535" s="29" t="s">
        <v>814</v>
      </c>
      <c r="C535" s="49" t="s">
        <v>431</v>
      </c>
      <c r="D535" s="50" t="n">
        <v>45</v>
      </c>
      <c r="E535" s="51" t="n">
        <f aca="false">'Analisa Harga Satuan'!$H$975</f>
        <v>423500</v>
      </c>
      <c r="F535" s="52" t="n">
        <f aca="false">ROUND(D535*E535,0)</f>
        <v>19057500</v>
      </c>
      <c r="G535" s="49" t="s">
        <v>815</v>
      </c>
      <c r="H535" s="53" t="s">
        <v>181</v>
      </c>
    </row>
    <row r="536" customFormat="false" ht="15" hidden="false" customHeight="false" outlineLevel="0" collapsed="false">
      <c r="A536" s="49" t="s">
        <v>141</v>
      </c>
      <c r="B536" s="29" t="s">
        <v>816</v>
      </c>
      <c r="C536" s="49" t="s">
        <v>431</v>
      </c>
      <c r="D536" s="50" t="n">
        <v>43</v>
      </c>
      <c r="E536" s="51" t="n">
        <f aca="false">'Analisa Harga Satuan'!$H$976</f>
        <v>401500</v>
      </c>
      <c r="F536" s="52" t="n">
        <f aca="false">ROUND(D536*E536,0)</f>
        <v>17264500</v>
      </c>
      <c r="G536" s="49" t="s">
        <v>817</v>
      </c>
      <c r="H536" s="53" t="s">
        <v>181</v>
      </c>
    </row>
    <row r="537" customFormat="false" ht="15" hidden="false" customHeight="false" outlineLevel="0" collapsed="false">
      <c r="B537" s="54" t="s">
        <v>818</v>
      </c>
    </row>
    <row r="538" customFormat="false" ht="15" hidden="false" customHeight="false" outlineLevel="0" collapsed="false">
      <c r="A538" s="49" t="s">
        <v>139</v>
      </c>
      <c r="B538" s="29" t="s">
        <v>814</v>
      </c>
      <c r="C538" s="49" t="s">
        <v>431</v>
      </c>
      <c r="D538" s="50" t="n">
        <v>43</v>
      </c>
      <c r="E538" s="51" t="n">
        <f aca="false">'Analisa Harga Satuan'!$H$975</f>
        <v>423500</v>
      </c>
      <c r="F538" s="52" t="n">
        <f aca="false">ROUND(D538*E538,0)</f>
        <v>18210500</v>
      </c>
      <c r="G538" s="49" t="s">
        <v>815</v>
      </c>
      <c r="H538" s="53" t="s">
        <v>181</v>
      </c>
    </row>
    <row r="539" customFormat="false" ht="15" hidden="false" customHeight="false" outlineLevel="0" collapsed="false">
      <c r="A539" s="49" t="s">
        <v>141</v>
      </c>
      <c r="B539" s="29" t="s">
        <v>816</v>
      </c>
      <c r="C539" s="49" t="s">
        <v>431</v>
      </c>
      <c r="D539" s="50" t="n">
        <v>37</v>
      </c>
      <c r="E539" s="51" t="n">
        <f aca="false">'Analisa Harga Satuan'!$H$976</f>
        <v>401500</v>
      </c>
      <c r="F539" s="52" t="n">
        <f aca="false">ROUND(D539*E539,0)</f>
        <v>14855500</v>
      </c>
      <c r="G539" s="49" t="s">
        <v>817</v>
      </c>
      <c r="H539" s="53" t="s">
        <v>181</v>
      </c>
    </row>
    <row r="540" customFormat="false" ht="15" hidden="false" customHeight="false" outlineLevel="0" collapsed="false">
      <c r="A540" s="60" t="s">
        <v>819</v>
      </c>
      <c r="B540" s="61" t="s">
        <v>820</v>
      </c>
    </row>
    <row r="541" customFormat="false" ht="15" hidden="false" customHeight="false" outlineLevel="0" collapsed="false">
      <c r="A541" s="60" t="s">
        <v>78</v>
      </c>
      <c r="B541" s="61" t="s">
        <v>821</v>
      </c>
    </row>
    <row r="542" customFormat="false" ht="15" hidden="false" customHeight="false" outlineLevel="0" collapsed="false">
      <c r="A542" s="49" t="s">
        <v>139</v>
      </c>
      <c r="B542" s="29" t="s">
        <v>822</v>
      </c>
      <c r="C542" s="49" t="s">
        <v>206</v>
      </c>
      <c r="D542" s="50" t="n">
        <v>63</v>
      </c>
      <c r="E542" s="51" t="n">
        <f aca="false">'Analisa Harga Satuan'!$H$977</f>
        <v>107525</v>
      </c>
      <c r="F542" s="52" t="n">
        <f aca="false">ROUND(D542*E542,0)</f>
        <v>6774075</v>
      </c>
      <c r="G542" s="49" t="s">
        <v>823</v>
      </c>
      <c r="H542" s="53" t="s">
        <v>181</v>
      </c>
    </row>
    <row r="543" customFormat="false" ht="15" hidden="false" customHeight="false" outlineLevel="0" collapsed="false">
      <c r="A543" s="49" t="s">
        <v>141</v>
      </c>
      <c r="B543" s="29" t="s">
        <v>824</v>
      </c>
      <c r="C543" s="49" t="s">
        <v>206</v>
      </c>
      <c r="D543" s="50" t="n">
        <v>13</v>
      </c>
      <c r="E543" s="51" t="n">
        <f aca="false">'Analisa Harga Satuan'!$H$978</f>
        <v>170775</v>
      </c>
      <c r="F543" s="52" t="n">
        <f aca="false">ROUND(D543*E543,0)</f>
        <v>2220075</v>
      </c>
      <c r="G543" s="49" t="s">
        <v>825</v>
      </c>
      <c r="H543" s="53" t="s">
        <v>181</v>
      </c>
    </row>
    <row r="544" customFormat="false" ht="15" hidden="false" customHeight="false" outlineLevel="0" collapsed="false">
      <c r="A544" s="49" t="s">
        <v>143</v>
      </c>
      <c r="B544" s="29" t="s">
        <v>826</v>
      </c>
      <c r="C544" s="49" t="s">
        <v>206</v>
      </c>
      <c r="D544" s="50" t="n">
        <v>16</v>
      </c>
      <c r="E544" s="51" t="n">
        <f aca="false">'Analisa Harga Satuan'!$H$979</f>
        <v>499675</v>
      </c>
      <c r="F544" s="52" t="n">
        <f aca="false">ROUND(D544*E544,0)</f>
        <v>7994800</v>
      </c>
      <c r="G544" s="49" t="s">
        <v>827</v>
      </c>
      <c r="H544" s="53" t="s">
        <v>181</v>
      </c>
    </row>
    <row r="545" customFormat="false" ht="15" hidden="false" customHeight="false" outlineLevel="0" collapsed="false">
      <c r="A545" s="49" t="s">
        <v>145</v>
      </c>
      <c r="B545" s="29" t="s">
        <v>828</v>
      </c>
      <c r="C545" s="49" t="s">
        <v>367</v>
      </c>
      <c r="D545" s="50" t="n">
        <v>125</v>
      </c>
      <c r="E545" s="51" t="n">
        <f aca="false">'Analisa Harga Satuan'!$H$980</f>
        <v>120175</v>
      </c>
      <c r="F545" s="52" t="n">
        <f aca="false">ROUND(D545*E545,0)</f>
        <v>15021875</v>
      </c>
      <c r="G545" s="49" t="s">
        <v>829</v>
      </c>
      <c r="H545" s="53" t="s">
        <v>181</v>
      </c>
    </row>
    <row r="546" customFormat="false" ht="15" hidden="false" customHeight="false" outlineLevel="0" collapsed="false">
      <c r="A546" s="49" t="s">
        <v>147</v>
      </c>
      <c r="B546" s="29" t="s">
        <v>830</v>
      </c>
      <c r="C546" s="49" t="s">
        <v>206</v>
      </c>
      <c r="D546" s="50" t="n">
        <v>12</v>
      </c>
      <c r="E546" s="51" t="n">
        <f aca="false">'Analisa Harga Satuan'!$H$981</f>
        <v>72600</v>
      </c>
      <c r="F546" s="52" t="n">
        <f aca="false">ROUND(D546*E546,0)</f>
        <v>871200</v>
      </c>
      <c r="G546" s="49" t="s">
        <v>831</v>
      </c>
      <c r="H546" s="53" t="s">
        <v>181</v>
      </c>
    </row>
    <row r="547" customFormat="false" ht="15" hidden="false" customHeight="false" outlineLevel="0" collapsed="false">
      <c r="A547" s="49" t="s">
        <v>149</v>
      </c>
      <c r="B547" s="29" t="s">
        <v>832</v>
      </c>
      <c r="C547" s="49" t="s">
        <v>206</v>
      </c>
      <c r="D547" s="50" t="n">
        <v>12</v>
      </c>
      <c r="E547" s="51" t="n">
        <f aca="false">'Analisa Harga Satuan'!$H$982</f>
        <v>99000</v>
      </c>
      <c r="F547" s="52" t="n">
        <f aca="false">ROUND(D547*E547,0)</f>
        <v>1188000</v>
      </c>
      <c r="G547" s="49" t="s">
        <v>833</v>
      </c>
      <c r="H547" s="53" t="s">
        <v>181</v>
      </c>
    </row>
    <row r="548" customFormat="false" ht="15" hidden="false" customHeight="false" outlineLevel="0" collapsed="false">
      <c r="A548" s="49" t="s">
        <v>151</v>
      </c>
      <c r="B548" s="29" t="s">
        <v>834</v>
      </c>
      <c r="C548" s="49" t="s">
        <v>206</v>
      </c>
      <c r="D548" s="50" t="n">
        <v>21</v>
      </c>
      <c r="E548" s="51" t="n">
        <f aca="false">'Analisa Harga Satuan'!$H$983</f>
        <v>81840</v>
      </c>
      <c r="F548" s="52" t="n">
        <f aca="false">ROUND(D548*E548,0)</f>
        <v>1718640</v>
      </c>
      <c r="G548" s="49" t="s">
        <v>835</v>
      </c>
      <c r="H548" s="53" t="s">
        <v>181</v>
      </c>
    </row>
    <row r="549" customFormat="false" ht="15" hidden="false" customHeight="false" outlineLevel="0" collapsed="false">
      <c r="A549" s="49" t="s">
        <v>423</v>
      </c>
      <c r="B549" s="29" t="s">
        <v>836</v>
      </c>
      <c r="C549" s="49" t="s">
        <v>206</v>
      </c>
      <c r="D549" s="50" t="n">
        <v>6</v>
      </c>
      <c r="E549" s="51" t="n">
        <f aca="false">'Analisa Harga Satuan'!$H$984</f>
        <v>487025</v>
      </c>
      <c r="F549" s="52" t="n">
        <f aca="false">ROUND(D549*E549,0)</f>
        <v>2922150</v>
      </c>
      <c r="G549" s="49" t="s">
        <v>837</v>
      </c>
      <c r="H549" s="53" t="s">
        <v>181</v>
      </c>
    </row>
    <row r="550" customFormat="false" ht="15" hidden="false" customHeight="false" outlineLevel="0" collapsed="false">
      <c r="A550" s="49" t="s">
        <v>208</v>
      </c>
      <c r="B550" s="29" t="s">
        <v>838</v>
      </c>
      <c r="C550" s="49" t="s">
        <v>784</v>
      </c>
      <c r="D550" s="50" t="n">
        <v>98</v>
      </c>
      <c r="E550" s="51" t="n">
        <f aca="false">'Analisa Harga Satuan'!$H$985</f>
        <v>236500</v>
      </c>
      <c r="F550" s="52" t="n">
        <f aca="false">ROUND(D550*E550,0)</f>
        <v>23177000</v>
      </c>
      <c r="G550" s="49" t="s">
        <v>839</v>
      </c>
      <c r="H550" s="53" t="s">
        <v>181</v>
      </c>
    </row>
    <row r="551" customFormat="false" ht="15" hidden="false" customHeight="false" outlineLevel="0" collapsed="false">
      <c r="A551" s="49" t="s">
        <v>217</v>
      </c>
      <c r="B551" s="29" t="s">
        <v>840</v>
      </c>
      <c r="C551" s="49" t="s">
        <v>784</v>
      </c>
      <c r="D551" s="50" t="n">
        <v>21</v>
      </c>
      <c r="E551" s="51" t="n">
        <f aca="false">'Analisa Harga Satuan'!$H$986</f>
        <v>258500</v>
      </c>
      <c r="F551" s="52" t="n">
        <f aca="false">ROUND(D551*E551,0)</f>
        <v>5428500</v>
      </c>
      <c r="G551" s="49" t="s">
        <v>841</v>
      </c>
      <c r="H551" s="53" t="s">
        <v>181</v>
      </c>
    </row>
    <row r="552" customFormat="false" ht="15" hidden="false" customHeight="false" outlineLevel="0" collapsed="false">
      <c r="A552" s="49" t="s">
        <v>221</v>
      </c>
      <c r="B552" s="29" t="s">
        <v>842</v>
      </c>
      <c r="C552" s="49" t="s">
        <v>784</v>
      </c>
      <c r="D552" s="50" t="n">
        <v>12</v>
      </c>
      <c r="E552" s="51" t="n">
        <f aca="false">'Analisa Harga Satuan'!$H$987</f>
        <v>236500</v>
      </c>
      <c r="F552" s="52" t="n">
        <f aca="false">ROUND(D552*E552,0)</f>
        <v>2838000</v>
      </c>
      <c r="G552" s="49" t="s">
        <v>843</v>
      </c>
      <c r="H552" s="53" t="s">
        <v>181</v>
      </c>
    </row>
    <row r="553" customFormat="false" ht="15" hidden="false" customHeight="false" outlineLevel="0" collapsed="false">
      <c r="A553" s="60" t="s">
        <v>93</v>
      </c>
      <c r="B553" s="61" t="s">
        <v>844</v>
      </c>
    </row>
    <row r="554" customFormat="false" ht="15" hidden="false" customHeight="false" outlineLevel="0" collapsed="false">
      <c r="A554" s="49" t="s">
        <v>139</v>
      </c>
      <c r="B554" s="29" t="s">
        <v>822</v>
      </c>
      <c r="C554" s="49" t="s">
        <v>206</v>
      </c>
      <c r="D554" s="50" t="n">
        <v>14</v>
      </c>
      <c r="E554" s="51" t="n">
        <f aca="false">'Analisa Harga Satuan'!$H$977</f>
        <v>107525</v>
      </c>
      <c r="F554" s="52" t="n">
        <f aca="false">ROUND(D554*E554,0)</f>
        <v>1505350</v>
      </c>
      <c r="G554" s="49" t="s">
        <v>823</v>
      </c>
      <c r="H554" s="53" t="s">
        <v>181</v>
      </c>
    </row>
    <row r="555" customFormat="false" ht="15" hidden="false" customHeight="false" outlineLevel="0" collapsed="false">
      <c r="A555" s="49" t="s">
        <v>141</v>
      </c>
      <c r="B555" s="29" t="s">
        <v>824</v>
      </c>
      <c r="C555" s="49" t="s">
        <v>206</v>
      </c>
      <c r="D555" s="50" t="n">
        <v>59</v>
      </c>
      <c r="E555" s="51" t="n">
        <f aca="false">'Analisa Harga Satuan'!$H$978</f>
        <v>170775</v>
      </c>
      <c r="F555" s="52" t="n">
        <f aca="false">ROUND(D555*E555,0)</f>
        <v>10075725</v>
      </c>
      <c r="G555" s="49" t="s">
        <v>825</v>
      </c>
      <c r="H555" s="53" t="s">
        <v>181</v>
      </c>
    </row>
    <row r="556" customFormat="false" ht="15" hidden="false" customHeight="false" outlineLevel="0" collapsed="false">
      <c r="A556" s="49" t="s">
        <v>143</v>
      </c>
      <c r="B556" s="29" t="s">
        <v>826</v>
      </c>
      <c r="C556" s="49" t="s">
        <v>206</v>
      </c>
      <c r="D556" s="50" t="n">
        <v>22</v>
      </c>
      <c r="E556" s="51" t="n">
        <f aca="false">'Analisa Harga Satuan'!$H$979</f>
        <v>499675</v>
      </c>
      <c r="F556" s="52" t="n">
        <f aca="false">ROUND(D556*E556,0)</f>
        <v>10992850</v>
      </c>
      <c r="G556" s="49" t="s">
        <v>827</v>
      </c>
      <c r="H556" s="53" t="s">
        <v>181</v>
      </c>
    </row>
    <row r="557" customFormat="false" ht="15" hidden="false" customHeight="false" outlineLevel="0" collapsed="false">
      <c r="A557" s="49" t="s">
        <v>145</v>
      </c>
      <c r="B557" s="29" t="s">
        <v>828</v>
      </c>
      <c r="C557" s="49" t="s">
        <v>367</v>
      </c>
      <c r="D557" s="50" t="n">
        <v>146</v>
      </c>
      <c r="E557" s="51" t="n">
        <f aca="false">'Analisa Harga Satuan'!$H$980</f>
        <v>120175</v>
      </c>
      <c r="F557" s="52" t="n">
        <f aca="false">ROUND(D557*E557,0)</f>
        <v>17545550</v>
      </c>
      <c r="G557" s="49" t="s">
        <v>829</v>
      </c>
      <c r="H557" s="53" t="s">
        <v>181</v>
      </c>
    </row>
    <row r="558" customFormat="false" ht="15" hidden="false" customHeight="false" outlineLevel="0" collapsed="false">
      <c r="A558" s="49" t="s">
        <v>147</v>
      </c>
      <c r="B558" s="29" t="s">
        <v>830</v>
      </c>
      <c r="C558" s="49" t="s">
        <v>206</v>
      </c>
      <c r="D558" s="50" t="n">
        <v>20</v>
      </c>
      <c r="E558" s="51" t="n">
        <f aca="false">'Analisa Harga Satuan'!$H$981</f>
        <v>72600</v>
      </c>
      <c r="F558" s="52" t="n">
        <f aca="false">ROUND(D558*E558,0)</f>
        <v>1452000</v>
      </c>
      <c r="G558" s="49" t="s">
        <v>831</v>
      </c>
      <c r="H558" s="53" t="s">
        <v>181</v>
      </c>
    </row>
    <row r="559" customFormat="false" ht="15" hidden="false" customHeight="false" outlineLevel="0" collapsed="false">
      <c r="A559" s="49" t="s">
        <v>149</v>
      </c>
      <c r="B559" s="29" t="s">
        <v>832</v>
      </c>
      <c r="C559" s="49" t="s">
        <v>206</v>
      </c>
      <c r="D559" s="50" t="n">
        <v>11</v>
      </c>
      <c r="E559" s="51" t="n">
        <f aca="false">'Analisa Harga Satuan'!$H$982</f>
        <v>99000</v>
      </c>
      <c r="F559" s="52" t="n">
        <f aca="false">ROUND(D559*E559,0)</f>
        <v>1089000</v>
      </c>
      <c r="G559" s="49" t="s">
        <v>833</v>
      </c>
      <c r="H559" s="53" t="s">
        <v>181</v>
      </c>
    </row>
    <row r="560" customFormat="false" ht="15" hidden="false" customHeight="false" outlineLevel="0" collapsed="false">
      <c r="A560" s="49" t="s">
        <v>151</v>
      </c>
      <c r="B560" s="29" t="s">
        <v>834</v>
      </c>
      <c r="C560" s="49" t="s">
        <v>206</v>
      </c>
      <c r="D560" s="50" t="n">
        <v>32</v>
      </c>
      <c r="E560" s="51" t="n">
        <f aca="false">'Analisa Harga Satuan'!$H$983</f>
        <v>81840</v>
      </c>
      <c r="F560" s="52" t="n">
        <f aca="false">ROUND(D560*E560,0)</f>
        <v>2618880</v>
      </c>
      <c r="G560" s="49" t="s">
        <v>835</v>
      </c>
      <c r="H560" s="53" t="s">
        <v>181</v>
      </c>
    </row>
    <row r="561" customFormat="false" ht="15" hidden="false" customHeight="false" outlineLevel="0" collapsed="false">
      <c r="A561" s="49" t="s">
        <v>423</v>
      </c>
      <c r="B561" s="29" t="s">
        <v>836</v>
      </c>
      <c r="C561" s="49" t="s">
        <v>206</v>
      </c>
      <c r="D561" s="50" t="n">
        <v>7</v>
      </c>
      <c r="E561" s="51" t="n">
        <f aca="false">'Analisa Harga Satuan'!$H$984</f>
        <v>487025</v>
      </c>
      <c r="F561" s="52" t="n">
        <f aca="false">ROUND(D561*E561,0)</f>
        <v>3409175</v>
      </c>
      <c r="G561" s="49" t="s">
        <v>837</v>
      </c>
      <c r="H561" s="53" t="s">
        <v>181</v>
      </c>
    </row>
    <row r="562" customFormat="false" ht="15" hidden="false" customHeight="false" outlineLevel="0" collapsed="false">
      <c r="A562" s="49" t="s">
        <v>208</v>
      </c>
      <c r="B562" s="29" t="s">
        <v>838</v>
      </c>
      <c r="C562" s="49" t="s">
        <v>784</v>
      </c>
      <c r="D562" s="50" t="n">
        <v>95</v>
      </c>
      <c r="E562" s="51" t="n">
        <f aca="false">'Analisa Harga Satuan'!$H$985</f>
        <v>236500</v>
      </c>
      <c r="F562" s="52" t="n">
        <f aca="false">ROUND(D562*E562,0)</f>
        <v>22467500</v>
      </c>
      <c r="G562" s="49" t="s">
        <v>839</v>
      </c>
      <c r="H562" s="53" t="s">
        <v>181</v>
      </c>
    </row>
    <row r="563" customFormat="false" ht="15" hidden="false" customHeight="false" outlineLevel="0" collapsed="false">
      <c r="A563" s="49" t="s">
        <v>217</v>
      </c>
      <c r="B563" s="29" t="s">
        <v>840</v>
      </c>
      <c r="C563" s="49" t="s">
        <v>784</v>
      </c>
      <c r="D563" s="50" t="n">
        <v>32</v>
      </c>
      <c r="E563" s="51" t="n">
        <f aca="false">'Analisa Harga Satuan'!$H$986</f>
        <v>258500</v>
      </c>
      <c r="F563" s="52" t="n">
        <f aca="false">ROUND(D563*E563,0)</f>
        <v>8272000</v>
      </c>
      <c r="G563" s="49" t="s">
        <v>841</v>
      </c>
      <c r="H563" s="53" t="s">
        <v>181</v>
      </c>
    </row>
    <row r="564" customFormat="false" ht="15" hidden="false" customHeight="false" outlineLevel="0" collapsed="false">
      <c r="A564" s="49" t="s">
        <v>221</v>
      </c>
      <c r="B564" s="29" t="s">
        <v>842</v>
      </c>
      <c r="C564" s="49" t="s">
        <v>784</v>
      </c>
      <c r="D564" s="50" t="n">
        <v>7</v>
      </c>
      <c r="E564" s="51" t="n">
        <f aca="false">'Analisa Harga Satuan'!$H$987</f>
        <v>236500</v>
      </c>
      <c r="F564" s="52" t="n">
        <f aca="false">ROUND(D564*E564,0)</f>
        <v>1655500</v>
      </c>
      <c r="G564" s="49" t="s">
        <v>843</v>
      </c>
      <c r="H564" s="53" t="s">
        <v>181</v>
      </c>
    </row>
    <row r="565" customFormat="false" ht="15" hidden="false" customHeight="false" outlineLevel="0" collapsed="false">
      <c r="A565" s="49" t="s">
        <v>689</v>
      </c>
      <c r="B565" s="29" t="s">
        <v>729</v>
      </c>
      <c r="C565" s="49" t="s">
        <v>179</v>
      </c>
      <c r="D565" s="50" t="n">
        <v>1</v>
      </c>
      <c r="E565" s="51" t="n">
        <f aca="false">'Analisa Harga Satuan'!$H$948</f>
        <v>1650000</v>
      </c>
      <c r="F565" s="52" t="n">
        <f aca="false">ROUND(D565*E565,0)</f>
        <v>1650000</v>
      </c>
      <c r="G565" s="49" t="s">
        <v>730</v>
      </c>
      <c r="H565" s="53" t="s">
        <v>181</v>
      </c>
    </row>
    <row r="566" customFormat="false" ht="15" hidden="false" customHeight="false" outlineLevel="0" collapsed="false">
      <c r="A566" s="60" t="s">
        <v>845</v>
      </c>
      <c r="B566" s="61" t="s">
        <v>846</v>
      </c>
    </row>
    <row r="567" customFormat="false" ht="15" hidden="false" customHeight="false" outlineLevel="0" collapsed="false">
      <c r="A567" s="60" t="s">
        <v>847</v>
      </c>
      <c r="B567" s="61" t="s">
        <v>848</v>
      </c>
    </row>
    <row r="568" customFormat="false" ht="15" hidden="false" customHeight="false" outlineLevel="0" collapsed="false">
      <c r="A568" s="60" t="s">
        <v>78</v>
      </c>
      <c r="B568" s="61" t="s">
        <v>849</v>
      </c>
    </row>
    <row r="569" customFormat="false" ht="15" hidden="false" customHeight="false" outlineLevel="0" collapsed="false">
      <c r="A569" s="49" t="s">
        <v>139</v>
      </c>
      <c r="B569" s="29" t="s">
        <v>850</v>
      </c>
      <c r="C569" s="49" t="s">
        <v>183</v>
      </c>
      <c r="D569" s="50" t="n">
        <v>1</v>
      </c>
      <c r="E569" s="51" t="n">
        <f aca="false">'Analisa Harga Satuan'!$H$988</f>
        <v>13750000</v>
      </c>
      <c r="F569" s="52" t="n">
        <f aca="false">ROUND(D569*E569,0)</f>
        <v>13750000</v>
      </c>
      <c r="G569" s="49" t="s">
        <v>851</v>
      </c>
      <c r="H569" s="53" t="s">
        <v>181</v>
      </c>
    </row>
    <row r="570" customFormat="false" ht="15" hidden="false" customHeight="false" outlineLevel="0" collapsed="false">
      <c r="A570" s="49" t="s">
        <v>141</v>
      </c>
      <c r="B570" s="29" t="s">
        <v>852</v>
      </c>
      <c r="C570" s="49" t="s">
        <v>520</v>
      </c>
      <c r="D570" s="50" t="n">
        <v>1</v>
      </c>
      <c r="E570" s="51" t="n">
        <f aca="false">'Analisa Harga Satuan'!$H$989</f>
        <v>4675000</v>
      </c>
      <c r="F570" s="52" t="n">
        <f aca="false">ROUND(D570*E570,0)</f>
        <v>4675000</v>
      </c>
      <c r="G570" s="49" t="s">
        <v>853</v>
      </c>
      <c r="H570" s="53" t="s">
        <v>181</v>
      </c>
    </row>
    <row r="571" customFormat="false" ht="15" hidden="false" customHeight="false" outlineLevel="0" collapsed="false">
      <c r="A571" s="49" t="s">
        <v>143</v>
      </c>
      <c r="B571" s="29" t="s">
        <v>854</v>
      </c>
      <c r="C571" s="49" t="s">
        <v>257</v>
      </c>
      <c r="D571" s="50" t="n">
        <v>1</v>
      </c>
      <c r="E571" s="51" t="n">
        <f aca="false">'Analisa Harga Satuan'!$H$990</f>
        <v>3135000</v>
      </c>
      <c r="F571" s="52" t="n">
        <f aca="false">ROUND(D571*E571,0)</f>
        <v>3135000</v>
      </c>
      <c r="G571" s="49" t="s">
        <v>855</v>
      </c>
      <c r="H571" s="53" t="s">
        <v>181</v>
      </c>
    </row>
    <row r="572" customFormat="false" ht="15" hidden="false" customHeight="false" outlineLevel="0" collapsed="false">
      <c r="A572" s="49" t="s">
        <v>145</v>
      </c>
      <c r="B572" s="29" t="s">
        <v>856</v>
      </c>
      <c r="C572" s="49" t="s">
        <v>183</v>
      </c>
      <c r="D572" s="50" t="n">
        <v>1</v>
      </c>
      <c r="E572" s="51" t="n">
        <f aca="false">'Analisa Harga Satuan'!$H$991</f>
        <v>1375000</v>
      </c>
      <c r="F572" s="52" t="n">
        <f aca="false">ROUND(D572*E572,0)</f>
        <v>1375000</v>
      </c>
      <c r="G572" s="49" t="s">
        <v>857</v>
      </c>
      <c r="H572" s="53" t="s">
        <v>181</v>
      </c>
    </row>
    <row r="573" customFormat="false" ht="15" hidden="false" customHeight="false" outlineLevel="0" collapsed="false">
      <c r="A573" s="60" t="s">
        <v>93</v>
      </c>
      <c r="B573" s="61" t="s">
        <v>858</v>
      </c>
    </row>
    <row r="574" customFormat="false" ht="15" hidden="false" customHeight="false" outlineLevel="0" collapsed="false">
      <c r="A574" s="49" t="s">
        <v>139</v>
      </c>
      <c r="B574" s="29" t="s">
        <v>859</v>
      </c>
      <c r="C574" s="49" t="s">
        <v>520</v>
      </c>
      <c r="D574" s="50" t="n">
        <v>2</v>
      </c>
      <c r="E574" s="51" t="n">
        <f aca="false">'Analisa Harga Satuan'!$H$992</f>
        <v>1815000</v>
      </c>
      <c r="F574" s="52" t="n">
        <f aca="false">ROUND(D574*E574,0)</f>
        <v>3630000</v>
      </c>
      <c r="G574" s="49" t="s">
        <v>860</v>
      </c>
      <c r="H574" s="53" t="s">
        <v>181</v>
      </c>
    </row>
    <row r="575" customFormat="false" ht="15" hidden="false" customHeight="false" outlineLevel="0" collapsed="false">
      <c r="A575" s="49" t="s">
        <v>141</v>
      </c>
      <c r="B575" s="29" t="s">
        <v>861</v>
      </c>
      <c r="C575" s="49" t="s">
        <v>520</v>
      </c>
      <c r="D575" s="50" t="n">
        <v>5</v>
      </c>
      <c r="E575" s="51" t="n">
        <f aca="false">'Analisa Harga Satuan'!$H$993</f>
        <v>1595000</v>
      </c>
      <c r="F575" s="52" t="n">
        <f aca="false">ROUND(D575*E575,0)</f>
        <v>7975000</v>
      </c>
      <c r="G575" s="49" t="s">
        <v>862</v>
      </c>
      <c r="H575" s="53" t="s">
        <v>181</v>
      </c>
    </row>
    <row r="576" customFormat="false" ht="25.5" hidden="false" customHeight="true" outlineLevel="0" collapsed="false">
      <c r="A576" s="49" t="s">
        <v>143</v>
      </c>
      <c r="B576" s="29" t="s">
        <v>863</v>
      </c>
      <c r="C576" s="49" t="s">
        <v>784</v>
      </c>
      <c r="D576" s="50" t="n">
        <v>7</v>
      </c>
      <c r="E576" s="51" t="n">
        <f aca="false">'Analisa Harga Satuan'!$H$994</f>
        <v>643500</v>
      </c>
      <c r="F576" s="52" t="n">
        <f aca="false">ROUND(D576*E576,0)</f>
        <v>4504500</v>
      </c>
      <c r="G576" s="49" t="s">
        <v>864</v>
      </c>
      <c r="H576" s="53" t="s">
        <v>181</v>
      </c>
    </row>
    <row r="577" customFormat="false" ht="15" hidden="false" customHeight="false" outlineLevel="0" collapsed="false">
      <c r="A577" s="60" t="s">
        <v>102</v>
      </c>
      <c r="B577" s="61" t="s">
        <v>865</v>
      </c>
    </row>
    <row r="578" customFormat="false" ht="15" hidden="false" customHeight="false" outlineLevel="0" collapsed="false">
      <c r="A578" s="49" t="s">
        <v>139</v>
      </c>
      <c r="B578" s="29" t="s">
        <v>859</v>
      </c>
      <c r="C578" s="49" t="s">
        <v>520</v>
      </c>
      <c r="D578" s="50" t="n">
        <v>3</v>
      </c>
      <c r="E578" s="51" t="n">
        <f aca="false">'Analisa Harga Satuan'!$H$992</f>
        <v>1815000</v>
      </c>
      <c r="F578" s="52" t="n">
        <f aca="false">ROUND(D578*E578,0)</f>
        <v>5445000</v>
      </c>
      <c r="G578" s="49" t="s">
        <v>860</v>
      </c>
      <c r="H578" s="53" t="s">
        <v>181</v>
      </c>
    </row>
    <row r="579" customFormat="false" ht="15" hidden="false" customHeight="false" outlineLevel="0" collapsed="false">
      <c r="A579" s="49" t="s">
        <v>141</v>
      </c>
      <c r="B579" s="29" t="s">
        <v>861</v>
      </c>
      <c r="C579" s="49" t="s">
        <v>520</v>
      </c>
      <c r="D579" s="50" t="n">
        <v>4</v>
      </c>
      <c r="E579" s="51" t="n">
        <f aca="false">'Analisa Harga Satuan'!$H$993</f>
        <v>1595000</v>
      </c>
      <c r="F579" s="52" t="n">
        <f aca="false">ROUND(D579*E579,0)</f>
        <v>6380000</v>
      </c>
      <c r="G579" s="49" t="s">
        <v>862</v>
      </c>
      <c r="H579" s="53" t="s">
        <v>181</v>
      </c>
    </row>
    <row r="580" customFormat="false" ht="25.5" hidden="false" customHeight="true" outlineLevel="0" collapsed="false">
      <c r="A580" s="49" t="s">
        <v>143</v>
      </c>
      <c r="B580" s="29" t="s">
        <v>863</v>
      </c>
      <c r="C580" s="49" t="s">
        <v>784</v>
      </c>
      <c r="D580" s="50" t="n">
        <v>7</v>
      </c>
      <c r="E580" s="51" t="n">
        <f aca="false">'Analisa Harga Satuan'!$H$994</f>
        <v>643500</v>
      </c>
      <c r="F580" s="52" t="n">
        <f aca="false">ROUND(D580*E580,0)</f>
        <v>4504500</v>
      </c>
      <c r="G580" s="49" t="s">
        <v>864</v>
      </c>
      <c r="H580" s="53" t="s">
        <v>181</v>
      </c>
    </row>
    <row r="581" customFormat="false" ht="15" hidden="false" customHeight="false" outlineLevel="0" collapsed="false">
      <c r="A581" s="49" t="s">
        <v>145</v>
      </c>
      <c r="B581" s="29" t="s">
        <v>729</v>
      </c>
      <c r="C581" s="49" t="s">
        <v>179</v>
      </c>
      <c r="D581" s="50" t="n">
        <v>1</v>
      </c>
      <c r="E581" s="51" t="n">
        <f aca="false">'Analisa Harga Satuan'!$H$948</f>
        <v>1650000</v>
      </c>
      <c r="F581" s="52" t="n">
        <f aca="false">ROUND(D581*E581,0)</f>
        <v>1650000</v>
      </c>
      <c r="G581" s="49" t="s">
        <v>730</v>
      </c>
      <c r="H581" s="53" t="s">
        <v>181</v>
      </c>
    </row>
    <row r="582" customFormat="false" ht="15" hidden="false" customHeight="false" outlineLevel="0" collapsed="false">
      <c r="A582" s="60" t="s">
        <v>847</v>
      </c>
      <c r="B582" s="61" t="s">
        <v>866</v>
      </c>
    </row>
    <row r="583" customFormat="false" ht="15" hidden="false" customHeight="false" outlineLevel="0" collapsed="false">
      <c r="A583" s="60" t="s">
        <v>78</v>
      </c>
      <c r="B583" s="61" t="s">
        <v>813</v>
      </c>
    </row>
    <row r="584" customFormat="false" ht="15" hidden="false" customHeight="false" outlineLevel="0" collapsed="false">
      <c r="A584" s="49" t="s">
        <v>139</v>
      </c>
      <c r="B584" s="29" t="s">
        <v>867</v>
      </c>
      <c r="C584" s="49" t="s">
        <v>520</v>
      </c>
      <c r="D584" s="50" t="n">
        <v>1</v>
      </c>
      <c r="E584" s="51" t="n">
        <f aca="false">'Analisa Harga Satuan'!$H$995</f>
        <v>4675000</v>
      </c>
      <c r="F584" s="52" t="n">
        <f aca="false">ROUND(D584*E584,0)</f>
        <v>4675000</v>
      </c>
      <c r="G584" s="49" t="s">
        <v>868</v>
      </c>
      <c r="H584" s="53" t="s">
        <v>181</v>
      </c>
    </row>
    <row r="585" customFormat="false" ht="15" hidden="false" customHeight="false" outlineLevel="0" collapsed="false">
      <c r="A585" s="49" t="s">
        <v>141</v>
      </c>
      <c r="B585" s="29" t="s">
        <v>869</v>
      </c>
      <c r="C585" s="49" t="s">
        <v>520</v>
      </c>
      <c r="D585" s="50" t="n">
        <v>1</v>
      </c>
      <c r="E585" s="51" t="n">
        <f aca="false">'Analisa Harga Satuan'!$H$996</f>
        <v>2035000</v>
      </c>
      <c r="F585" s="52" t="n">
        <f aca="false">ROUND(D585*E585,0)</f>
        <v>2035000</v>
      </c>
      <c r="G585" s="49" t="s">
        <v>870</v>
      </c>
      <c r="H585" s="53" t="s">
        <v>181</v>
      </c>
    </row>
    <row r="586" customFormat="false" ht="15" hidden="false" customHeight="false" outlineLevel="0" collapsed="false">
      <c r="A586" s="49" t="s">
        <v>143</v>
      </c>
      <c r="B586" s="29" t="s">
        <v>871</v>
      </c>
      <c r="C586" s="49" t="s">
        <v>520</v>
      </c>
      <c r="D586" s="50" t="n">
        <v>8</v>
      </c>
      <c r="E586" s="51" t="n">
        <f aca="false">'Analisa Harga Satuan'!$H$997</f>
        <v>313500</v>
      </c>
      <c r="F586" s="52" t="n">
        <f aca="false">ROUND(D586*E586,0)</f>
        <v>2508000</v>
      </c>
      <c r="G586" s="49" t="s">
        <v>872</v>
      </c>
      <c r="H586" s="53" t="s">
        <v>181</v>
      </c>
    </row>
    <row r="587" customFormat="false" ht="15" hidden="false" customHeight="false" outlineLevel="0" collapsed="false">
      <c r="A587" s="49" t="s">
        <v>145</v>
      </c>
      <c r="B587" s="29" t="s">
        <v>873</v>
      </c>
      <c r="C587" s="49" t="s">
        <v>520</v>
      </c>
      <c r="D587" s="50" t="n">
        <v>6</v>
      </c>
      <c r="E587" s="51" t="n">
        <f aca="false">'Analisa Harga Satuan'!$H$998</f>
        <v>291500</v>
      </c>
      <c r="F587" s="52" t="n">
        <f aca="false">ROUND(D587*E587,0)</f>
        <v>1749000</v>
      </c>
      <c r="G587" s="49" t="s">
        <v>874</v>
      </c>
      <c r="H587" s="53" t="s">
        <v>181</v>
      </c>
    </row>
    <row r="588" customFormat="false" ht="15" hidden="false" customHeight="false" outlineLevel="0" collapsed="false">
      <c r="A588" s="49" t="s">
        <v>147</v>
      </c>
      <c r="B588" s="29" t="s">
        <v>875</v>
      </c>
      <c r="C588" s="49" t="s">
        <v>520</v>
      </c>
      <c r="D588" s="50" t="n">
        <v>1</v>
      </c>
      <c r="E588" s="51" t="n">
        <f aca="false">'Analisa Harga Satuan'!$H$999</f>
        <v>9350000</v>
      </c>
      <c r="F588" s="52" t="n">
        <f aca="false">ROUND(D588*E588,0)</f>
        <v>9350000</v>
      </c>
      <c r="G588" s="49" t="s">
        <v>876</v>
      </c>
      <c r="H588" s="53" t="s">
        <v>181</v>
      </c>
    </row>
    <row r="589" customFormat="false" ht="15" hidden="false" customHeight="false" outlineLevel="0" collapsed="false">
      <c r="A589" s="49" t="s">
        <v>149</v>
      </c>
      <c r="B589" s="29" t="s">
        <v>877</v>
      </c>
      <c r="C589" s="49" t="s">
        <v>367</v>
      </c>
      <c r="D589" s="50" t="n">
        <v>165</v>
      </c>
      <c r="E589" s="51" t="n">
        <f aca="false">'Analisa Harga Satuan'!$H$1000</f>
        <v>41800</v>
      </c>
      <c r="F589" s="52" t="n">
        <f aca="false">ROUND(D589*E589,0)</f>
        <v>6897000</v>
      </c>
      <c r="G589" s="49" t="s">
        <v>878</v>
      </c>
      <c r="H589" s="53" t="s">
        <v>181</v>
      </c>
    </row>
    <row r="590" customFormat="false" ht="15" hidden="false" customHeight="false" outlineLevel="0" collapsed="false">
      <c r="A590" s="60" t="s">
        <v>93</v>
      </c>
      <c r="B590" s="61" t="s">
        <v>813</v>
      </c>
    </row>
    <row r="591" customFormat="false" ht="15" hidden="false" customHeight="false" outlineLevel="0" collapsed="false">
      <c r="A591" s="49" t="s">
        <v>139</v>
      </c>
      <c r="B591" s="29" t="s">
        <v>871</v>
      </c>
      <c r="C591" s="49" t="s">
        <v>520</v>
      </c>
      <c r="D591" s="50" t="n">
        <v>5</v>
      </c>
      <c r="E591" s="51" t="n">
        <f aca="false">'Analisa Harga Satuan'!$H$997</f>
        <v>313500</v>
      </c>
      <c r="F591" s="52" t="n">
        <f aca="false">ROUND(D591*E591,0)</f>
        <v>1567500</v>
      </c>
      <c r="G591" s="49" t="s">
        <v>872</v>
      </c>
      <c r="H591" s="53" t="s">
        <v>181</v>
      </c>
    </row>
    <row r="592" customFormat="false" ht="15" hidden="false" customHeight="false" outlineLevel="0" collapsed="false">
      <c r="A592" s="49" t="s">
        <v>141</v>
      </c>
      <c r="B592" s="29" t="s">
        <v>873</v>
      </c>
      <c r="C592" s="49" t="s">
        <v>520</v>
      </c>
      <c r="D592" s="50" t="n">
        <v>5</v>
      </c>
      <c r="E592" s="51" t="n">
        <f aca="false">'Analisa Harga Satuan'!$H$998</f>
        <v>291500</v>
      </c>
      <c r="F592" s="52" t="n">
        <f aca="false">ROUND(D592*E592,0)</f>
        <v>1457500</v>
      </c>
      <c r="G592" s="49" t="s">
        <v>874</v>
      </c>
      <c r="H592" s="53" t="s">
        <v>181</v>
      </c>
    </row>
    <row r="593" customFormat="false" ht="15" hidden="false" customHeight="false" outlineLevel="0" collapsed="false">
      <c r="A593" s="49" t="s">
        <v>143</v>
      </c>
      <c r="B593" s="29" t="s">
        <v>877</v>
      </c>
      <c r="C593" s="49" t="s">
        <v>367</v>
      </c>
      <c r="D593" s="50" t="n">
        <v>92</v>
      </c>
      <c r="E593" s="51" t="n">
        <f aca="false">'Analisa Harga Satuan'!$H$1000</f>
        <v>41800</v>
      </c>
      <c r="F593" s="52" t="n">
        <f aca="false">ROUND(D593*E593,0)</f>
        <v>3845600</v>
      </c>
      <c r="G593" s="49" t="s">
        <v>878</v>
      </c>
      <c r="H593" s="53" t="s">
        <v>181</v>
      </c>
    </row>
    <row r="594" customFormat="false" ht="15" hidden="false" customHeight="false" outlineLevel="0" collapsed="false">
      <c r="A594" s="60" t="s">
        <v>93</v>
      </c>
      <c r="B594" s="61" t="s">
        <v>818</v>
      </c>
    </row>
    <row r="595" customFormat="false" ht="15" hidden="false" customHeight="false" outlineLevel="0" collapsed="false">
      <c r="A595" s="49" t="s">
        <v>139</v>
      </c>
      <c r="B595" s="29" t="s">
        <v>867</v>
      </c>
      <c r="C595" s="49" t="s">
        <v>520</v>
      </c>
      <c r="D595" s="50" t="n">
        <v>1</v>
      </c>
      <c r="E595" s="51" t="n">
        <f aca="false">'Analisa Harga Satuan'!$H$995</f>
        <v>4675000</v>
      </c>
      <c r="F595" s="52" t="n">
        <f aca="false">ROUND(D595*E595,0)</f>
        <v>4675000</v>
      </c>
      <c r="G595" s="49" t="s">
        <v>868</v>
      </c>
      <c r="H595" s="53" t="s">
        <v>181</v>
      </c>
    </row>
    <row r="596" customFormat="false" ht="15" hidden="false" customHeight="false" outlineLevel="0" collapsed="false">
      <c r="A596" s="49" t="s">
        <v>141</v>
      </c>
      <c r="B596" s="29" t="s">
        <v>869</v>
      </c>
      <c r="C596" s="49" t="s">
        <v>520</v>
      </c>
      <c r="D596" s="50" t="n">
        <v>5</v>
      </c>
      <c r="E596" s="51" t="n">
        <f aca="false">'Analisa Harga Satuan'!$H$996</f>
        <v>2035000</v>
      </c>
      <c r="F596" s="52" t="n">
        <f aca="false">ROUND(D596*E596,0)</f>
        <v>10175000</v>
      </c>
      <c r="G596" s="49" t="s">
        <v>870</v>
      </c>
      <c r="H596" s="53" t="s">
        <v>181</v>
      </c>
    </row>
    <row r="597" customFormat="false" ht="15" hidden="false" customHeight="false" outlineLevel="0" collapsed="false">
      <c r="A597" s="49" t="s">
        <v>143</v>
      </c>
      <c r="B597" s="29" t="s">
        <v>879</v>
      </c>
      <c r="C597" s="49" t="s">
        <v>520</v>
      </c>
      <c r="D597" s="50" t="n">
        <v>1</v>
      </c>
      <c r="E597" s="51" t="n">
        <f aca="false">'Analisa Harga Satuan'!$H$1001</f>
        <v>5335000</v>
      </c>
      <c r="F597" s="52" t="n">
        <f aca="false">ROUND(D597*E597,0)</f>
        <v>5335000</v>
      </c>
      <c r="G597" s="49" t="s">
        <v>880</v>
      </c>
      <c r="H597" s="53" t="s">
        <v>181</v>
      </c>
    </row>
    <row r="598" customFormat="false" ht="15" hidden="false" customHeight="false" outlineLevel="0" collapsed="false">
      <c r="A598" s="49" t="s">
        <v>145</v>
      </c>
      <c r="B598" s="29" t="s">
        <v>881</v>
      </c>
      <c r="C598" s="49" t="s">
        <v>520</v>
      </c>
      <c r="D598" s="50" t="n">
        <v>4</v>
      </c>
      <c r="E598" s="51" t="n">
        <f aca="false">'Analisa Harga Satuan'!$H$1002</f>
        <v>1815000</v>
      </c>
      <c r="F598" s="52" t="n">
        <f aca="false">ROUND(D598*E598,0)</f>
        <v>7260000</v>
      </c>
      <c r="G598" s="49" t="s">
        <v>882</v>
      </c>
      <c r="H598" s="53" t="s">
        <v>181</v>
      </c>
    </row>
    <row r="599" customFormat="false" ht="15" hidden="false" customHeight="false" outlineLevel="0" collapsed="false">
      <c r="A599" s="49" t="s">
        <v>147</v>
      </c>
      <c r="B599" s="29" t="s">
        <v>883</v>
      </c>
      <c r="C599" s="49" t="s">
        <v>520</v>
      </c>
      <c r="D599" s="50" t="n">
        <v>1</v>
      </c>
      <c r="E599" s="51" t="n">
        <f aca="false">'Analisa Harga Satuan'!$H$1003</f>
        <v>3575000</v>
      </c>
      <c r="F599" s="52" t="n">
        <f aca="false">ROUND(D599*E599,0)</f>
        <v>3575000</v>
      </c>
      <c r="G599" s="49" t="s">
        <v>884</v>
      </c>
      <c r="H599" s="53" t="s">
        <v>181</v>
      </c>
    </row>
    <row r="600" customFormat="false" ht="15" hidden="false" customHeight="false" outlineLevel="0" collapsed="false">
      <c r="A600" s="49" t="s">
        <v>149</v>
      </c>
      <c r="B600" s="29" t="s">
        <v>877</v>
      </c>
      <c r="C600" s="49" t="s">
        <v>367</v>
      </c>
      <c r="D600" s="50" t="n">
        <v>30</v>
      </c>
      <c r="E600" s="51" t="n">
        <f aca="false">'Analisa Harga Satuan'!$H$1000</f>
        <v>41800</v>
      </c>
      <c r="F600" s="52" t="n">
        <f aca="false">ROUND(D600*E600,0)</f>
        <v>1254000</v>
      </c>
      <c r="G600" s="49" t="s">
        <v>878</v>
      </c>
      <c r="H600" s="53" t="s">
        <v>181</v>
      </c>
    </row>
    <row r="601" customFormat="false" ht="15" hidden="false" customHeight="false" outlineLevel="0" collapsed="false">
      <c r="A601" s="60" t="s">
        <v>885</v>
      </c>
      <c r="B601" s="61" t="s">
        <v>886</v>
      </c>
    </row>
    <row r="602" customFormat="false" ht="15" hidden="false" customHeight="false" outlineLevel="0" collapsed="false">
      <c r="A602" s="60" t="s">
        <v>78</v>
      </c>
      <c r="B602" s="61" t="s">
        <v>849</v>
      </c>
    </row>
    <row r="603" customFormat="false" ht="15" hidden="false" customHeight="false" outlineLevel="0" collapsed="false">
      <c r="A603" s="49" t="s">
        <v>139</v>
      </c>
      <c r="B603" s="29" t="s">
        <v>887</v>
      </c>
      <c r="C603" s="49" t="s">
        <v>520</v>
      </c>
      <c r="D603" s="50" t="n">
        <v>1</v>
      </c>
      <c r="E603" s="51" t="n">
        <f aca="false">'Analisa Harga Satuan'!$H$1004</f>
        <v>15950000</v>
      </c>
      <c r="F603" s="52" t="n">
        <f aca="false">ROUND(D603*E603,0)</f>
        <v>15950000</v>
      </c>
      <c r="G603" s="49" t="s">
        <v>888</v>
      </c>
      <c r="H603" s="53" t="s">
        <v>181</v>
      </c>
    </row>
    <row r="604" customFormat="false" ht="15" hidden="false" customHeight="false" outlineLevel="0" collapsed="false">
      <c r="A604" s="49" t="s">
        <v>141</v>
      </c>
      <c r="B604" s="29" t="s">
        <v>889</v>
      </c>
      <c r="C604" s="49" t="s">
        <v>520</v>
      </c>
      <c r="D604" s="50" t="n">
        <v>1</v>
      </c>
      <c r="E604" s="51" t="n">
        <f aca="false">'Analisa Harga Satuan'!$H$1005</f>
        <v>6050000</v>
      </c>
      <c r="F604" s="52" t="n">
        <f aca="false">ROUND(D604*E604,0)</f>
        <v>6050000</v>
      </c>
      <c r="G604" s="49" t="s">
        <v>890</v>
      </c>
      <c r="H604" s="53" t="s">
        <v>181</v>
      </c>
    </row>
    <row r="605" customFormat="false" ht="25.5" hidden="false" customHeight="true" outlineLevel="0" collapsed="false">
      <c r="A605" s="49" t="s">
        <v>143</v>
      </c>
      <c r="B605" s="29" t="s">
        <v>891</v>
      </c>
      <c r="C605" s="49" t="s">
        <v>784</v>
      </c>
      <c r="D605" s="50" t="n">
        <v>1</v>
      </c>
      <c r="E605" s="51" t="n">
        <f aca="false">'Analisa Harga Satuan'!$H$1006</f>
        <v>495000</v>
      </c>
      <c r="F605" s="52" t="n">
        <f aca="false">ROUND(D605*E605,0)</f>
        <v>495000</v>
      </c>
      <c r="G605" s="49" t="s">
        <v>892</v>
      </c>
      <c r="H605" s="53" t="s">
        <v>181</v>
      </c>
    </row>
    <row r="606" customFormat="false" ht="15" hidden="false" customHeight="false" outlineLevel="0" collapsed="false">
      <c r="A606" s="60" t="s">
        <v>93</v>
      </c>
      <c r="B606" s="61" t="s">
        <v>893</v>
      </c>
    </row>
    <row r="607" customFormat="false" ht="15" hidden="false" customHeight="false" outlineLevel="0" collapsed="false">
      <c r="A607" s="49" t="s">
        <v>139</v>
      </c>
      <c r="B607" s="29" t="s">
        <v>894</v>
      </c>
      <c r="C607" s="49" t="s">
        <v>520</v>
      </c>
      <c r="D607" s="50" t="n">
        <v>1</v>
      </c>
      <c r="E607" s="51" t="n">
        <f aca="false">'Analisa Harga Satuan'!$H$1007</f>
        <v>715000</v>
      </c>
      <c r="F607" s="52" t="n">
        <f aca="false">ROUND(D607*E607,0)</f>
        <v>715000</v>
      </c>
      <c r="G607" s="49" t="s">
        <v>895</v>
      </c>
      <c r="H607" s="53" t="s">
        <v>181</v>
      </c>
    </row>
    <row r="608" customFormat="false" ht="15" hidden="false" customHeight="false" outlineLevel="0" collapsed="false">
      <c r="A608" s="49" t="s">
        <v>141</v>
      </c>
      <c r="B608" s="29" t="s">
        <v>896</v>
      </c>
      <c r="C608" s="49" t="s">
        <v>367</v>
      </c>
      <c r="D608" s="50" t="n">
        <v>12</v>
      </c>
      <c r="E608" s="51" t="n">
        <f aca="false">'Analisa Harga Satuan'!$H$1008</f>
        <v>52800</v>
      </c>
      <c r="F608" s="52" t="n">
        <f aca="false">ROUND(D608*E608,0)</f>
        <v>633600</v>
      </c>
      <c r="G608" s="49" t="s">
        <v>897</v>
      </c>
      <c r="H608" s="53" t="s">
        <v>181</v>
      </c>
    </row>
    <row r="609" customFormat="false" ht="15" hidden="false" customHeight="false" outlineLevel="0" collapsed="false">
      <c r="A609" s="49" t="s">
        <v>143</v>
      </c>
      <c r="B609" s="29" t="s">
        <v>898</v>
      </c>
      <c r="C609" s="49" t="s">
        <v>206</v>
      </c>
      <c r="D609" s="50" t="n">
        <v>15</v>
      </c>
      <c r="E609" s="51" t="n">
        <f aca="false">'Analisa Harga Satuan'!$H$1009</f>
        <v>487025</v>
      </c>
      <c r="F609" s="52" t="n">
        <f aca="false">ROUND(D609*E609,0)</f>
        <v>7305375</v>
      </c>
      <c r="G609" s="49" t="s">
        <v>899</v>
      </c>
      <c r="H609" s="53" t="s">
        <v>181</v>
      </c>
    </row>
    <row r="610" customFormat="false" ht="15" hidden="false" customHeight="false" outlineLevel="0" collapsed="false">
      <c r="A610" s="49" t="s">
        <v>145</v>
      </c>
      <c r="B610" s="29" t="s">
        <v>900</v>
      </c>
      <c r="C610" s="49" t="s">
        <v>206</v>
      </c>
      <c r="D610" s="50" t="n">
        <v>13</v>
      </c>
      <c r="E610" s="51" t="n">
        <f aca="false">'Analisa Harga Satuan'!$H$1010</f>
        <v>436425</v>
      </c>
      <c r="F610" s="52" t="n">
        <f aca="false">ROUND(D610*E610,0)</f>
        <v>5673525</v>
      </c>
      <c r="G610" s="49" t="s">
        <v>901</v>
      </c>
      <c r="H610" s="53" t="s">
        <v>181</v>
      </c>
    </row>
    <row r="611" customFormat="false" ht="15" hidden="false" customHeight="false" outlineLevel="0" collapsed="false">
      <c r="A611" s="49" t="s">
        <v>147</v>
      </c>
      <c r="B611" s="29" t="s">
        <v>902</v>
      </c>
      <c r="C611" s="49" t="s">
        <v>206</v>
      </c>
      <c r="D611" s="50" t="n">
        <v>2</v>
      </c>
      <c r="E611" s="51" t="n">
        <f aca="false">'Analisa Harga Satuan'!$H$1011</f>
        <v>360525</v>
      </c>
      <c r="F611" s="52" t="n">
        <f aca="false">ROUND(D611*E611,0)</f>
        <v>721050</v>
      </c>
      <c r="G611" s="49" t="s">
        <v>903</v>
      </c>
      <c r="H611" s="53" t="s">
        <v>181</v>
      </c>
    </row>
    <row r="612" customFormat="false" ht="15" hidden="false" customHeight="false" outlineLevel="0" collapsed="false">
      <c r="A612" s="49" t="s">
        <v>149</v>
      </c>
      <c r="B612" s="29" t="s">
        <v>904</v>
      </c>
      <c r="C612" s="49" t="s">
        <v>206</v>
      </c>
      <c r="D612" s="50" t="n">
        <v>2</v>
      </c>
      <c r="E612" s="51" t="n">
        <f aca="false">'Analisa Harga Satuan'!$H$1012</f>
        <v>487025</v>
      </c>
      <c r="F612" s="52" t="n">
        <f aca="false">ROUND(D612*E612,0)</f>
        <v>974050</v>
      </c>
      <c r="G612" s="49" t="s">
        <v>905</v>
      </c>
      <c r="H612" s="53" t="s">
        <v>181</v>
      </c>
    </row>
    <row r="613" customFormat="false" ht="15" hidden="false" customHeight="false" outlineLevel="0" collapsed="false">
      <c r="A613" s="49" t="s">
        <v>151</v>
      </c>
      <c r="B613" s="29" t="s">
        <v>906</v>
      </c>
      <c r="C613" s="49" t="s">
        <v>206</v>
      </c>
      <c r="D613" s="50" t="n">
        <v>2</v>
      </c>
      <c r="E613" s="51" t="n">
        <f aca="false">'Analisa Harga Satuan'!$H$1013</f>
        <v>208725</v>
      </c>
      <c r="F613" s="52" t="n">
        <f aca="false">ROUND(D613*E613,0)</f>
        <v>417450</v>
      </c>
      <c r="G613" s="49" t="s">
        <v>907</v>
      </c>
      <c r="H613" s="53" t="s">
        <v>181</v>
      </c>
    </row>
    <row r="614" customFormat="false" ht="25.5" hidden="false" customHeight="true" outlineLevel="0" collapsed="false">
      <c r="A614" s="49" t="s">
        <v>423</v>
      </c>
      <c r="B614" s="29" t="s">
        <v>908</v>
      </c>
      <c r="C614" s="49" t="s">
        <v>784</v>
      </c>
      <c r="D614" s="50" t="n">
        <v>28</v>
      </c>
      <c r="E614" s="51" t="n">
        <f aca="false">'Analisa Harga Satuan'!$H$1014</f>
        <v>324500</v>
      </c>
      <c r="F614" s="52" t="n">
        <f aca="false">ROUND(D614*E614,0)</f>
        <v>9086000</v>
      </c>
      <c r="G614" s="49" t="s">
        <v>909</v>
      </c>
      <c r="H614" s="53" t="s">
        <v>181</v>
      </c>
    </row>
    <row r="615" customFormat="false" ht="25.5" hidden="false" customHeight="true" outlineLevel="0" collapsed="false">
      <c r="A615" s="49" t="s">
        <v>208</v>
      </c>
      <c r="B615" s="29" t="s">
        <v>910</v>
      </c>
      <c r="C615" s="49" t="s">
        <v>784</v>
      </c>
      <c r="D615" s="50" t="n">
        <v>2</v>
      </c>
      <c r="E615" s="51" t="n">
        <f aca="false">'Analisa Harga Satuan'!$H$1014</f>
        <v>324500</v>
      </c>
      <c r="F615" s="52" t="n">
        <f aca="false">ROUND(D615*E615,0)</f>
        <v>649000</v>
      </c>
      <c r="G615" s="49" t="s">
        <v>909</v>
      </c>
      <c r="H615" s="53" t="s">
        <v>181</v>
      </c>
    </row>
    <row r="616" customFormat="false" ht="25.5" hidden="false" customHeight="true" outlineLevel="0" collapsed="false">
      <c r="A616" s="49" t="s">
        <v>217</v>
      </c>
      <c r="B616" s="29" t="s">
        <v>911</v>
      </c>
      <c r="C616" s="49" t="s">
        <v>784</v>
      </c>
      <c r="D616" s="50" t="n">
        <v>2</v>
      </c>
      <c r="E616" s="51" t="n">
        <f aca="false">'Analisa Harga Satuan'!$H$1014</f>
        <v>324500</v>
      </c>
      <c r="F616" s="52" t="n">
        <f aca="false">ROUND(D616*E616,0)</f>
        <v>649000</v>
      </c>
      <c r="G616" s="49" t="s">
        <v>909</v>
      </c>
      <c r="H616" s="53" t="s">
        <v>181</v>
      </c>
    </row>
    <row r="617" customFormat="false" ht="15" hidden="false" customHeight="false" outlineLevel="0" collapsed="false">
      <c r="A617" s="60" t="s">
        <v>102</v>
      </c>
      <c r="B617" s="61" t="s">
        <v>912</v>
      </c>
    </row>
    <row r="618" customFormat="false" ht="15" hidden="false" customHeight="false" outlineLevel="0" collapsed="false">
      <c r="A618" s="49" t="s">
        <v>139</v>
      </c>
      <c r="B618" s="29" t="s">
        <v>913</v>
      </c>
      <c r="C618" s="49" t="s">
        <v>520</v>
      </c>
      <c r="D618" s="50" t="n">
        <v>1</v>
      </c>
      <c r="E618" s="51" t="n">
        <f aca="false">'Analisa Harga Satuan'!$H$1007</f>
        <v>715000</v>
      </c>
      <c r="F618" s="52" t="n">
        <f aca="false">ROUND(D618*E618,0)</f>
        <v>715000</v>
      </c>
      <c r="G618" s="49" t="s">
        <v>895</v>
      </c>
      <c r="H618" s="53" t="s">
        <v>181</v>
      </c>
    </row>
    <row r="619" customFormat="false" ht="15" hidden="false" customHeight="false" outlineLevel="0" collapsed="false">
      <c r="A619" s="49" t="s">
        <v>141</v>
      </c>
      <c r="B619" s="29" t="s">
        <v>914</v>
      </c>
      <c r="C619" s="49" t="s">
        <v>367</v>
      </c>
      <c r="D619" s="50" t="n">
        <v>5</v>
      </c>
      <c r="E619" s="51" t="n">
        <f aca="false">'Analisa Harga Satuan'!$H$1008</f>
        <v>52800</v>
      </c>
      <c r="F619" s="52" t="n">
        <f aca="false">ROUND(D619*E619,0)</f>
        <v>264000</v>
      </c>
      <c r="G619" s="49" t="s">
        <v>897</v>
      </c>
      <c r="H619" s="53" t="s">
        <v>181</v>
      </c>
    </row>
    <row r="620" customFormat="false" ht="15" hidden="false" customHeight="false" outlineLevel="0" collapsed="false">
      <c r="A620" s="49" t="s">
        <v>143</v>
      </c>
      <c r="B620" s="29" t="s">
        <v>898</v>
      </c>
      <c r="C620" s="49" t="s">
        <v>206</v>
      </c>
      <c r="D620" s="50" t="n">
        <v>14</v>
      </c>
      <c r="E620" s="51" t="n">
        <f aca="false">'Analisa Harga Satuan'!$H$1009</f>
        <v>487025</v>
      </c>
      <c r="F620" s="52" t="n">
        <f aca="false">ROUND(D620*E620,0)</f>
        <v>6818350</v>
      </c>
      <c r="G620" s="49" t="s">
        <v>899</v>
      </c>
      <c r="H620" s="53" t="s">
        <v>181</v>
      </c>
    </row>
    <row r="621" customFormat="false" ht="15" hidden="false" customHeight="false" outlineLevel="0" collapsed="false">
      <c r="A621" s="49" t="s">
        <v>145</v>
      </c>
      <c r="B621" s="29" t="s">
        <v>900</v>
      </c>
      <c r="C621" s="49" t="s">
        <v>206</v>
      </c>
      <c r="D621" s="50" t="n">
        <v>18</v>
      </c>
      <c r="E621" s="51" t="n">
        <f aca="false">'Analisa Harga Satuan'!$H$1010</f>
        <v>436425</v>
      </c>
      <c r="F621" s="52" t="n">
        <f aca="false">ROUND(D621*E621,0)</f>
        <v>7855650</v>
      </c>
      <c r="G621" s="49" t="s">
        <v>901</v>
      </c>
      <c r="H621" s="53" t="s">
        <v>181</v>
      </c>
    </row>
    <row r="622" customFormat="false" ht="15" hidden="false" customHeight="false" outlineLevel="0" collapsed="false">
      <c r="A622" s="49" t="s">
        <v>145</v>
      </c>
      <c r="B622" s="29" t="s">
        <v>902</v>
      </c>
      <c r="C622" s="49" t="s">
        <v>206</v>
      </c>
      <c r="D622" s="50" t="n">
        <v>2</v>
      </c>
      <c r="E622" s="51" t="n">
        <f aca="false">'Analisa Harga Satuan'!$H$1011</f>
        <v>360525</v>
      </c>
      <c r="F622" s="52" t="n">
        <f aca="false">ROUND(D622*E622,0)</f>
        <v>721050</v>
      </c>
      <c r="G622" s="49" t="s">
        <v>903</v>
      </c>
      <c r="H622" s="53" t="s">
        <v>181</v>
      </c>
    </row>
    <row r="623" customFormat="false" ht="15" hidden="false" customHeight="false" outlineLevel="0" collapsed="false">
      <c r="A623" s="49" t="s">
        <v>147</v>
      </c>
      <c r="B623" s="29" t="s">
        <v>904</v>
      </c>
      <c r="C623" s="49" t="s">
        <v>206</v>
      </c>
      <c r="D623" s="50" t="n">
        <v>2</v>
      </c>
      <c r="E623" s="51" t="n">
        <f aca="false">'Analisa Harga Satuan'!$H$1012</f>
        <v>487025</v>
      </c>
      <c r="F623" s="52" t="n">
        <f aca="false">ROUND(D623*E623,0)</f>
        <v>974050</v>
      </c>
      <c r="G623" s="49" t="s">
        <v>905</v>
      </c>
      <c r="H623" s="53" t="s">
        <v>181</v>
      </c>
    </row>
    <row r="624" customFormat="false" ht="15" hidden="false" customHeight="false" outlineLevel="0" collapsed="false">
      <c r="A624" s="49" t="s">
        <v>149</v>
      </c>
      <c r="B624" s="29" t="s">
        <v>906</v>
      </c>
      <c r="C624" s="49" t="s">
        <v>206</v>
      </c>
      <c r="D624" s="50" t="n">
        <v>2</v>
      </c>
      <c r="E624" s="51" t="n">
        <f aca="false">'Analisa Harga Satuan'!$H$1013</f>
        <v>208725</v>
      </c>
      <c r="F624" s="52" t="n">
        <f aca="false">ROUND(D624*E624,0)</f>
        <v>417450</v>
      </c>
      <c r="G624" s="49" t="s">
        <v>907</v>
      </c>
      <c r="H624" s="53" t="s">
        <v>181</v>
      </c>
    </row>
    <row r="625" customFormat="false" ht="25.5" hidden="false" customHeight="true" outlineLevel="0" collapsed="false">
      <c r="A625" s="49" t="s">
        <v>151</v>
      </c>
      <c r="B625" s="29" t="s">
        <v>915</v>
      </c>
      <c r="C625" s="49" t="s">
        <v>784</v>
      </c>
      <c r="D625" s="50" t="n">
        <v>32</v>
      </c>
      <c r="E625" s="51" t="n">
        <f aca="false">'Analisa Harga Satuan'!$H$1014</f>
        <v>324500</v>
      </c>
      <c r="F625" s="52" t="n">
        <f aca="false">ROUND(D625*E625,0)</f>
        <v>10384000</v>
      </c>
      <c r="G625" s="49" t="s">
        <v>909</v>
      </c>
      <c r="H625" s="53" t="s">
        <v>181</v>
      </c>
    </row>
    <row r="626" customFormat="false" ht="25.5" hidden="false" customHeight="true" outlineLevel="0" collapsed="false">
      <c r="A626" s="49" t="s">
        <v>423</v>
      </c>
      <c r="B626" s="29" t="s">
        <v>910</v>
      </c>
      <c r="C626" s="49" t="s">
        <v>784</v>
      </c>
      <c r="D626" s="50" t="n">
        <v>2</v>
      </c>
      <c r="E626" s="51" t="n">
        <f aca="false">'Analisa Harga Satuan'!$H$1014</f>
        <v>324500</v>
      </c>
      <c r="F626" s="52" t="n">
        <f aca="false">ROUND(D626*E626,0)</f>
        <v>649000</v>
      </c>
      <c r="G626" s="49" t="s">
        <v>909</v>
      </c>
      <c r="H626" s="53" t="s">
        <v>181</v>
      </c>
    </row>
    <row r="627" customFormat="false" ht="25.5" hidden="false" customHeight="true" outlineLevel="0" collapsed="false">
      <c r="A627" s="49" t="s">
        <v>208</v>
      </c>
      <c r="B627" s="29" t="s">
        <v>911</v>
      </c>
      <c r="C627" s="49" t="s">
        <v>784</v>
      </c>
      <c r="D627" s="50" t="n">
        <v>2</v>
      </c>
      <c r="E627" s="51" t="n">
        <f aca="false">'Analisa Harga Satuan'!$H$1014</f>
        <v>324500</v>
      </c>
      <c r="F627" s="52" t="n">
        <f aca="false">ROUND(D627*E627,0)</f>
        <v>649000</v>
      </c>
      <c r="G627" s="49" t="s">
        <v>909</v>
      </c>
      <c r="H627" s="53" t="s">
        <v>181</v>
      </c>
    </row>
    <row r="628" customFormat="false" ht="15" hidden="false" customHeight="false" outlineLevel="0" collapsed="false">
      <c r="A628" s="60" t="s">
        <v>916</v>
      </c>
      <c r="B628" s="61" t="s">
        <v>917</v>
      </c>
    </row>
    <row r="629" customFormat="false" ht="15" hidden="false" customHeight="false" outlineLevel="0" collapsed="false">
      <c r="A629" s="60" t="s">
        <v>78</v>
      </c>
      <c r="B629" s="61" t="s">
        <v>849</v>
      </c>
    </row>
    <row r="630" customFormat="false" ht="15" hidden="false" customHeight="false" outlineLevel="0" collapsed="false">
      <c r="A630" s="49" t="s">
        <v>139</v>
      </c>
      <c r="B630" s="29" t="s">
        <v>918</v>
      </c>
      <c r="C630" s="49" t="s">
        <v>183</v>
      </c>
      <c r="D630" s="50" t="n">
        <v>1</v>
      </c>
      <c r="E630" s="51" t="n">
        <f aca="false">'Analisa Harga Satuan'!$H$1015</f>
        <v>8250000</v>
      </c>
      <c r="F630" s="52" t="n">
        <f aca="false">ROUND(D630*E630,0)</f>
        <v>8250000</v>
      </c>
      <c r="G630" s="49" t="s">
        <v>919</v>
      </c>
      <c r="H630" s="53" t="s">
        <v>181</v>
      </c>
    </row>
    <row r="631" customFormat="false" ht="15" hidden="false" customHeight="false" outlineLevel="0" collapsed="false">
      <c r="A631" s="49" t="s">
        <v>141</v>
      </c>
      <c r="B631" s="29" t="s">
        <v>920</v>
      </c>
      <c r="C631" s="49" t="s">
        <v>520</v>
      </c>
      <c r="D631" s="50" t="n">
        <v>2</v>
      </c>
      <c r="E631" s="51" t="n">
        <f aca="false">'Analisa Harga Satuan'!$H$1016</f>
        <v>7150000</v>
      </c>
      <c r="F631" s="52" t="n">
        <f aca="false">ROUND(D631*E631,0)</f>
        <v>14300000</v>
      </c>
      <c r="G631" s="49" t="s">
        <v>921</v>
      </c>
      <c r="H631" s="53" t="s">
        <v>181</v>
      </c>
    </row>
    <row r="632" customFormat="false" ht="15" hidden="false" customHeight="false" outlineLevel="0" collapsed="false">
      <c r="A632" s="49" t="s">
        <v>143</v>
      </c>
      <c r="B632" s="29" t="s">
        <v>922</v>
      </c>
      <c r="C632" s="49" t="s">
        <v>520</v>
      </c>
      <c r="D632" s="50" t="n">
        <v>1</v>
      </c>
      <c r="E632" s="51" t="n">
        <f aca="false">'Analisa Harga Satuan'!$H$1017</f>
        <v>3850000</v>
      </c>
      <c r="F632" s="52" t="n">
        <f aca="false">ROUND(D632*E632,0)</f>
        <v>3850000</v>
      </c>
      <c r="G632" s="49" t="s">
        <v>923</v>
      </c>
      <c r="H632" s="53" t="s">
        <v>181</v>
      </c>
    </row>
    <row r="633" customFormat="false" ht="15" hidden="false" customHeight="false" outlineLevel="0" collapsed="false">
      <c r="A633" s="60" t="s">
        <v>93</v>
      </c>
      <c r="B633" s="61" t="s">
        <v>924</v>
      </c>
    </row>
    <row r="634" customFormat="false" ht="15" hidden="false" customHeight="false" outlineLevel="0" collapsed="false">
      <c r="A634" s="49" t="s">
        <v>139</v>
      </c>
      <c r="B634" s="29" t="s">
        <v>925</v>
      </c>
      <c r="C634" s="49" t="s">
        <v>206</v>
      </c>
      <c r="D634" s="50" t="n">
        <v>4</v>
      </c>
      <c r="E634" s="51" t="n">
        <f aca="false">'Analisa Harga Satuan'!$H$1018</f>
        <v>715000</v>
      </c>
      <c r="F634" s="52" t="n">
        <f aca="false">ROUND(D634*E634,0)</f>
        <v>2860000</v>
      </c>
      <c r="G634" s="49" t="s">
        <v>926</v>
      </c>
      <c r="H634" s="53" t="s">
        <v>181</v>
      </c>
    </row>
    <row r="635" customFormat="false" ht="15" hidden="false" customHeight="false" outlineLevel="0" collapsed="false">
      <c r="A635" s="49" t="s">
        <v>141</v>
      </c>
      <c r="B635" s="29" t="s">
        <v>927</v>
      </c>
      <c r="C635" s="49" t="s">
        <v>206</v>
      </c>
      <c r="D635" s="50" t="n">
        <v>4</v>
      </c>
      <c r="E635" s="51" t="n">
        <f aca="false">'Analisa Harga Satuan'!$H$1019</f>
        <v>107525</v>
      </c>
      <c r="F635" s="52" t="n">
        <f aca="false">ROUND(D635*E635,0)</f>
        <v>430100</v>
      </c>
      <c r="G635" s="49" t="s">
        <v>928</v>
      </c>
      <c r="H635" s="53" t="s">
        <v>181</v>
      </c>
    </row>
    <row r="636" customFormat="false" ht="25.5" hidden="false" customHeight="true" outlineLevel="0" collapsed="false">
      <c r="A636" s="49" t="s">
        <v>143</v>
      </c>
      <c r="B636" s="29" t="s">
        <v>929</v>
      </c>
      <c r="C636" s="49" t="s">
        <v>367</v>
      </c>
      <c r="D636" s="50" t="n">
        <v>95</v>
      </c>
      <c r="E636" s="51" t="n">
        <f aca="false">'Analisa Harga Satuan'!$H$1020</f>
        <v>46200</v>
      </c>
      <c r="F636" s="52" t="n">
        <f aca="false">ROUND(D636*E636,0)</f>
        <v>4389000</v>
      </c>
      <c r="G636" s="49" t="s">
        <v>930</v>
      </c>
      <c r="H636" s="53" t="s">
        <v>181</v>
      </c>
    </row>
    <row r="637" customFormat="false" ht="25.5" hidden="false" customHeight="true" outlineLevel="0" collapsed="false">
      <c r="A637" s="49" t="s">
        <v>145</v>
      </c>
      <c r="B637" s="29" t="s">
        <v>931</v>
      </c>
      <c r="C637" s="49" t="s">
        <v>367</v>
      </c>
      <c r="D637" s="50" t="n">
        <v>130</v>
      </c>
      <c r="E637" s="51" t="n">
        <f aca="false">'Analisa Harga Satuan'!$H$1020</f>
        <v>46200</v>
      </c>
      <c r="F637" s="52" t="n">
        <f aca="false">ROUND(D637*E637,0)</f>
        <v>6006000</v>
      </c>
      <c r="G637" s="49" t="s">
        <v>930</v>
      </c>
      <c r="H637" s="53" t="s">
        <v>181</v>
      </c>
    </row>
    <row r="638" customFormat="false" ht="15" hidden="false" customHeight="false" outlineLevel="0" collapsed="false">
      <c r="A638" s="60" t="s">
        <v>102</v>
      </c>
      <c r="B638" s="61" t="s">
        <v>932</v>
      </c>
    </row>
    <row r="639" customFormat="false" ht="15" hidden="false" customHeight="false" outlineLevel="0" collapsed="false">
      <c r="A639" s="49" t="s">
        <v>139</v>
      </c>
      <c r="B639" s="29" t="s">
        <v>925</v>
      </c>
      <c r="C639" s="49" t="s">
        <v>206</v>
      </c>
      <c r="D639" s="50" t="n">
        <v>4</v>
      </c>
      <c r="E639" s="51" t="n">
        <f aca="false">'Analisa Harga Satuan'!$H$1018</f>
        <v>715000</v>
      </c>
      <c r="F639" s="52" t="n">
        <f aca="false">ROUND(D639*E639,0)</f>
        <v>2860000</v>
      </c>
      <c r="G639" s="49" t="s">
        <v>926</v>
      </c>
      <c r="H639" s="53" t="s">
        <v>181</v>
      </c>
    </row>
    <row r="640" customFormat="false" ht="15" hidden="false" customHeight="false" outlineLevel="0" collapsed="false">
      <c r="A640" s="49" t="s">
        <v>141</v>
      </c>
      <c r="B640" s="29" t="s">
        <v>927</v>
      </c>
      <c r="C640" s="49" t="s">
        <v>206</v>
      </c>
      <c r="D640" s="50" t="n">
        <v>10</v>
      </c>
      <c r="E640" s="51" t="n">
        <f aca="false">'Analisa Harga Satuan'!$H$1019</f>
        <v>107525</v>
      </c>
      <c r="F640" s="52" t="n">
        <f aca="false">ROUND(D640*E640,0)</f>
        <v>1075250</v>
      </c>
      <c r="G640" s="49" t="s">
        <v>928</v>
      </c>
      <c r="H640" s="53" t="s">
        <v>181</v>
      </c>
    </row>
    <row r="641" customFormat="false" ht="25.5" hidden="false" customHeight="true" outlineLevel="0" collapsed="false">
      <c r="A641" s="49" t="s">
        <v>143</v>
      </c>
      <c r="B641" s="29" t="s">
        <v>929</v>
      </c>
      <c r="C641" s="49" t="s">
        <v>367</v>
      </c>
      <c r="D641" s="50" t="n">
        <v>65</v>
      </c>
      <c r="E641" s="51" t="n">
        <f aca="false">'Analisa Harga Satuan'!$H$1020</f>
        <v>46200</v>
      </c>
      <c r="F641" s="52" t="n">
        <f aca="false">ROUND(D641*E641,0)</f>
        <v>3003000</v>
      </c>
      <c r="G641" s="49" t="s">
        <v>930</v>
      </c>
      <c r="H641" s="53" t="s">
        <v>181</v>
      </c>
    </row>
    <row r="642" customFormat="false" ht="25.5" hidden="false" customHeight="true" outlineLevel="0" collapsed="false">
      <c r="A642" s="49" t="s">
        <v>145</v>
      </c>
      <c r="B642" s="29" t="s">
        <v>931</v>
      </c>
      <c r="C642" s="49" t="s">
        <v>367</v>
      </c>
      <c r="D642" s="50" t="n">
        <v>300</v>
      </c>
      <c r="E642" s="51" t="n">
        <f aca="false">'Analisa Harga Satuan'!$H$1020</f>
        <v>46200</v>
      </c>
      <c r="F642" s="52" t="n">
        <f aca="false">ROUND(D642*E642,0)</f>
        <v>13860000</v>
      </c>
      <c r="G642" s="49" t="s">
        <v>930</v>
      </c>
      <c r="H642" s="53" t="s">
        <v>181</v>
      </c>
    </row>
    <row r="643" customFormat="false" ht="15" hidden="false" customHeight="false" outlineLevel="0" collapsed="false">
      <c r="A643" s="60" t="s">
        <v>933</v>
      </c>
      <c r="B643" s="61" t="s">
        <v>934</v>
      </c>
    </row>
    <row r="644" customFormat="false" ht="15" hidden="false" customHeight="false" outlineLevel="0" collapsed="false">
      <c r="A644" s="60" t="s">
        <v>78</v>
      </c>
      <c r="B644" s="61" t="s">
        <v>935</v>
      </c>
    </row>
    <row r="645" customFormat="false" ht="25.5" hidden="false" customHeight="true" outlineLevel="0" collapsed="false">
      <c r="A645" s="49" t="s">
        <v>139</v>
      </c>
      <c r="B645" s="29" t="s">
        <v>936</v>
      </c>
      <c r="C645" s="49" t="s">
        <v>520</v>
      </c>
      <c r="D645" s="50" t="n">
        <v>1</v>
      </c>
      <c r="E645" s="51" t="n">
        <f aca="false">'Analisa Harga Satuan'!$H$1021</f>
        <v>35200000</v>
      </c>
      <c r="F645" s="52" t="n">
        <f aca="false">ROUND(D645*E645,0)</f>
        <v>35200000</v>
      </c>
      <c r="G645" s="49" t="s">
        <v>937</v>
      </c>
      <c r="H645" s="53" t="s">
        <v>181</v>
      </c>
    </row>
    <row r="646" customFormat="false" ht="15" hidden="false" customHeight="false" outlineLevel="0" collapsed="false">
      <c r="A646" s="49" t="s">
        <v>141</v>
      </c>
      <c r="B646" s="29" t="s">
        <v>938</v>
      </c>
      <c r="C646" s="49" t="s">
        <v>367</v>
      </c>
      <c r="D646" s="50" t="n">
        <v>2</v>
      </c>
      <c r="E646" s="51" t="n">
        <f aca="false">'Analisa Harga Satuan'!$H$1022</f>
        <v>313500</v>
      </c>
      <c r="F646" s="52" t="n">
        <f aca="false">ROUND(D646*E646,0)</f>
        <v>627000</v>
      </c>
      <c r="G646" s="49" t="s">
        <v>939</v>
      </c>
      <c r="H646" s="53" t="s">
        <v>181</v>
      </c>
    </row>
    <row r="647" customFormat="false" ht="15" hidden="false" customHeight="false" outlineLevel="0" collapsed="false">
      <c r="A647" s="49" t="s">
        <v>143</v>
      </c>
      <c r="B647" s="29" t="s">
        <v>940</v>
      </c>
      <c r="C647" s="49" t="s">
        <v>367</v>
      </c>
      <c r="D647" s="50" t="n">
        <v>30</v>
      </c>
      <c r="E647" s="51" t="n">
        <f aca="false">'Analisa Harga Satuan'!$H$1023</f>
        <v>181500</v>
      </c>
      <c r="F647" s="52" t="n">
        <f aca="false">ROUND(D647*E647,0)</f>
        <v>5445000</v>
      </c>
      <c r="G647" s="49" t="s">
        <v>941</v>
      </c>
      <c r="H647" s="53" t="s">
        <v>181</v>
      </c>
    </row>
    <row r="648" customFormat="false" ht="25.5" hidden="false" customHeight="true" outlineLevel="0" collapsed="false">
      <c r="A648" s="49" t="s">
        <v>145</v>
      </c>
      <c r="B648" s="29" t="s">
        <v>942</v>
      </c>
      <c r="C648" s="49" t="s">
        <v>943</v>
      </c>
      <c r="D648" s="50" t="n">
        <v>1</v>
      </c>
      <c r="E648" s="51" t="n">
        <f aca="false">'Analisa Harga Satuan'!$H$1024</f>
        <v>20350000</v>
      </c>
      <c r="F648" s="52" t="n">
        <f aca="false">ROUND(D648*E648,0)</f>
        <v>20350000</v>
      </c>
      <c r="G648" s="49" t="s">
        <v>944</v>
      </c>
      <c r="H648" s="53" t="s">
        <v>189</v>
      </c>
    </row>
    <row r="649" customFormat="false" ht="15" hidden="false" customHeight="false" outlineLevel="0" collapsed="false">
      <c r="A649" s="49" t="s">
        <v>147</v>
      </c>
      <c r="B649" s="29" t="s">
        <v>945</v>
      </c>
      <c r="C649" s="49" t="s">
        <v>179</v>
      </c>
      <c r="D649" s="50" t="n">
        <v>1</v>
      </c>
      <c r="E649" s="51" t="n">
        <f aca="false">'Analisa Harga Satuan'!$H$1025</f>
        <v>1375000</v>
      </c>
      <c r="F649" s="52" t="n">
        <f aca="false">ROUND(D649*E649,0)</f>
        <v>1375000</v>
      </c>
      <c r="G649" s="49" t="s">
        <v>946</v>
      </c>
      <c r="H649" s="53" t="s">
        <v>181</v>
      </c>
    </row>
    <row r="650" customFormat="false" ht="15" hidden="false" customHeight="false" outlineLevel="0" collapsed="false">
      <c r="A650" s="60" t="s">
        <v>93</v>
      </c>
      <c r="B650" s="61" t="s">
        <v>947</v>
      </c>
    </row>
    <row r="651" customFormat="false" ht="25.5" hidden="false" customHeight="true" outlineLevel="0" collapsed="false">
      <c r="A651" s="49" t="s">
        <v>139</v>
      </c>
      <c r="B651" s="29" t="s">
        <v>942</v>
      </c>
      <c r="C651" s="49" t="s">
        <v>943</v>
      </c>
      <c r="D651" s="50" t="n">
        <v>1</v>
      </c>
      <c r="E651" s="51" t="n">
        <f aca="false">'Analisa Harga Satuan'!$H$1024</f>
        <v>20350000</v>
      </c>
      <c r="F651" s="52" t="n">
        <f aca="false">ROUND(D651*E651,0)</f>
        <v>20350000</v>
      </c>
      <c r="G651" s="49" t="s">
        <v>944</v>
      </c>
      <c r="H651" s="53" t="s">
        <v>189</v>
      </c>
    </row>
    <row r="652" customFormat="false" ht="15" hidden="false" customHeight="false" outlineLevel="0" collapsed="false">
      <c r="A652" s="49" t="s">
        <v>141</v>
      </c>
      <c r="B652" s="29" t="s">
        <v>948</v>
      </c>
      <c r="C652" s="49" t="s">
        <v>367</v>
      </c>
      <c r="D652" s="50" t="n">
        <v>15</v>
      </c>
      <c r="E652" s="51" t="n">
        <f aca="false">'Analisa Harga Satuan'!$H$1026</f>
        <v>148500</v>
      </c>
      <c r="F652" s="52" t="n">
        <f aca="false">ROUND(D652*E652,0)</f>
        <v>2227500</v>
      </c>
      <c r="G652" s="49" t="s">
        <v>949</v>
      </c>
      <c r="H652" s="53" t="s">
        <v>181</v>
      </c>
    </row>
    <row r="653" customFormat="false" ht="15" hidden="false" customHeight="false" outlineLevel="0" collapsed="false">
      <c r="A653" s="49" t="s">
        <v>143</v>
      </c>
      <c r="B653" s="29" t="s">
        <v>950</v>
      </c>
      <c r="C653" s="49" t="s">
        <v>367</v>
      </c>
      <c r="D653" s="50" t="n">
        <v>12</v>
      </c>
      <c r="E653" s="51" t="n">
        <f aca="false">'Analisa Harga Satuan'!$H$1026</f>
        <v>148500</v>
      </c>
      <c r="F653" s="52" t="n">
        <f aca="false">ROUND(D653*E653,0)</f>
        <v>1782000</v>
      </c>
      <c r="G653" s="49" t="s">
        <v>949</v>
      </c>
      <c r="H653" s="53" t="s">
        <v>181</v>
      </c>
    </row>
    <row r="654" customFormat="false" ht="15" hidden="false" customHeight="false" outlineLevel="0" collapsed="false">
      <c r="A654" s="49" t="s">
        <v>145</v>
      </c>
      <c r="B654" s="29" t="s">
        <v>951</v>
      </c>
      <c r="C654" s="49" t="s">
        <v>367</v>
      </c>
      <c r="D654" s="50" t="n">
        <v>22</v>
      </c>
      <c r="E654" s="51" t="n">
        <f aca="false">'Analisa Harga Satuan'!$H$1027</f>
        <v>115500</v>
      </c>
      <c r="F654" s="52" t="n">
        <f aca="false">ROUND(D654*E654,0)</f>
        <v>2541000</v>
      </c>
      <c r="G654" s="49" t="s">
        <v>952</v>
      </c>
      <c r="H654" s="53" t="s">
        <v>181</v>
      </c>
    </row>
    <row r="655" customFormat="false" ht="15" hidden="false" customHeight="false" outlineLevel="0" collapsed="false">
      <c r="A655" s="49" t="s">
        <v>147</v>
      </c>
      <c r="B655" s="29" t="s">
        <v>945</v>
      </c>
      <c r="C655" s="49" t="s">
        <v>179</v>
      </c>
      <c r="D655" s="50" t="n">
        <v>1</v>
      </c>
      <c r="E655" s="51" t="n">
        <f aca="false">'Analisa Harga Satuan'!$H$1025</f>
        <v>1375000</v>
      </c>
      <c r="F655" s="52" t="n">
        <f aca="false">ROUND(D655*E655,0)</f>
        <v>1375000</v>
      </c>
      <c r="G655" s="49" t="s">
        <v>946</v>
      </c>
      <c r="H655" s="53" t="s">
        <v>181</v>
      </c>
    </row>
    <row r="656" customFormat="false" ht="15" hidden="false" customHeight="false" outlineLevel="0" collapsed="false">
      <c r="A656" s="60" t="s">
        <v>102</v>
      </c>
      <c r="B656" s="61" t="s">
        <v>953</v>
      </c>
    </row>
    <row r="657" customFormat="false" ht="15" hidden="false" customHeight="false" outlineLevel="0" collapsed="false">
      <c r="A657" s="49" t="s">
        <v>139</v>
      </c>
      <c r="B657" s="29" t="s">
        <v>954</v>
      </c>
      <c r="C657" s="49" t="s">
        <v>367</v>
      </c>
      <c r="D657" s="50" t="n">
        <v>20</v>
      </c>
      <c r="E657" s="51" t="n">
        <f aca="false">'Analisa Harga Satuan'!$H$1028</f>
        <v>30800</v>
      </c>
      <c r="F657" s="52" t="n">
        <f aca="false">ROUND(D657*E657,0)</f>
        <v>616000</v>
      </c>
      <c r="G657" s="49" t="s">
        <v>955</v>
      </c>
      <c r="H657" s="53" t="s">
        <v>181</v>
      </c>
    </row>
    <row r="658" customFormat="false" ht="15" hidden="false" customHeight="false" outlineLevel="0" collapsed="false">
      <c r="A658" s="49" t="s">
        <v>141</v>
      </c>
      <c r="B658" s="29" t="s">
        <v>956</v>
      </c>
      <c r="C658" s="49" t="s">
        <v>943</v>
      </c>
      <c r="D658" s="50" t="n">
        <v>1</v>
      </c>
      <c r="E658" s="51" t="n">
        <f aca="false">'Analisa Harga Satuan'!$H$1029</f>
        <v>24750000</v>
      </c>
      <c r="F658" s="52" t="n">
        <f aca="false">ROUND(D658*E658,0)</f>
        <v>24750000</v>
      </c>
      <c r="G658" s="49" t="s">
        <v>957</v>
      </c>
      <c r="H658" s="53" t="s">
        <v>189</v>
      </c>
    </row>
    <row r="659" customFormat="false" ht="15" hidden="false" customHeight="false" outlineLevel="0" collapsed="false">
      <c r="A659" s="49" t="s">
        <v>143</v>
      </c>
      <c r="B659" s="29" t="s">
        <v>945</v>
      </c>
      <c r="C659" s="49" t="s">
        <v>179</v>
      </c>
      <c r="D659" s="50" t="n">
        <v>1</v>
      </c>
      <c r="E659" s="51" t="n">
        <f aca="false">'Analisa Harga Satuan'!$H$1025</f>
        <v>1375000</v>
      </c>
      <c r="F659" s="52" t="n">
        <f aca="false">ROUND(D659*E659,0)</f>
        <v>1375000</v>
      </c>
      <c r="G659" s="49" t="s">
        <v>946</v>
      </c>
      <c r="H659" s="53" t="s">
        <v>181</v>
      </c>
    </row>
    <row r="660" customFormat="false" ht="15" hidden="false" customHeight="false" outlineLevel="0" collapsed="false">
      <c r="A660" s="55"/>
      <c r="B660" s="56" t="s">
        <v>958</v>
      </c>
      <c r="C660" s="55"/>
      <c r="D660" s="55"/>
      <c r="E660" s="55"/>
      <c r="F660" s="27" t="n">
        <f aca="false">SUM(F517:F659)</f>
        <v>816963895</v>
      </c>
      <c r="G660" s="55"/>
      <c r="H660" s="55"/>
    </row>
    <row r="661" customFormat="false" ht="15" hidden="false" customHeight="false" outlineLevel="0" collapsed="false">
      <c r="A661" s="57"/>
      <c r="B661" s="58" t="s">
        <v>92</v>
      </c>
      <c r="C661" s="57"/>
      <c r="D661" s="57"/>
      <c r="E661" s="57"/>
      <c r="F661" s="34" t="n">
        <f aca="false">F84+F227+F332+F427+F515+F660</f>
        <v>13496159066</v>
      </c>
      <c r="G661" s="57"/>
      <c r="H661" s="57"/>
    </row>
    <row r="663" customFormat="false" ht="15" hidden="false" customHeight="false" outlineLevel="0" collapsed="false">
      <c r="A663" s="59" t="s">
        <v>93</v>
      </c>
      <c r="B663" s="24" t="s">
        <v>94</v>
      </c>
      <c r="C663" s="23"/>
      <c r="D663" s="23"/>
      <c r="E663" s="23"/>
      <c r="F663" s="23"/>
      <c r="G663" s="23"/>
      <c r="H663" s="23"/>
    </row>
    <row r="664" customFormat="false" ht="15" hidden="false" customHeight="false" outlineLevel="0" collapsed="false">
      <c r="A664" s="46" t="s">
        <v>80</v>
      </c>
      <c r="B664" s="47" t="s">
        <v>95</v>
      </c>
      <c r="C664" s="48"/>
      <c r="D664" s="48"/>
      <c r="E664" s="48"/>
      <c r="F664" s="48"/>
      <c r="G664" s="48"/>
      <c r="H664" s="48"/>
    </row>
    <row r="665" customFormat="false" ht="15" hidden="false" customHeight="false" outlineLevel="0" collapsed="false">
      <c r="A665" s="60" t="s">
        <v>78</v>
      </c>
      <c r="B665" s="61" t="s">
        <v>959</v>
      </c>
    </row>
    <row r="666" customFormat="false" ht="15" hidden="false" customHeight="false" outlineLevel="0" collapsed="false">
      <c r="A666" s="49" t="s">
        <v>139</v>
      </c>
      <c r="B666" s="29" t="s">
        <v>302</v>
      </c>
      <c r="C666" s="49" t="s">
        <v>303</v>
      </c>
      <c r="D666" s="50" t="n">
        <v>85.2</v>
      </c>
      <c r="E666" s="51" t="n">
        <f aca="false">'Analisa Harga Satuan'!$F$17</f>
        <v>105050</v>
      </c>
      <c r="F666" s="52" t="n">
        <f aca="false">ROUND(D666*E666,0)</f>
        <v>8950260</v>
      </c>
      <c r="G666" s="49" t="s">
        <v>304</v>
      </c>
      <c r="H666" s="53" t="s">
        <v>305</v>
      </c>
    </row>
    <row r="667" customFormat="false" ht="15" hidden="false" customHeight="false" outlineLevel="0" collapsed="false">
      <c r="A667" s="49" t="s">
        <v>141</v>
      </c>
      <c r="B667" s="29" t="s">
        <v>306</v>
      </c>
      <c r="C667" s="49" t="s">
        <v>303</v>
      </c>
      <c r="D667" s="50" t="n">
        <v>85.2</v>
      </c>
      <c r="E667" s="51" t="n">
        <f aca="false">'Analisa Harga Satuan'!$F$31</f>
        <v>113135</v>
      </c>
      <c r="F667" s="52" t="n">
        <f aca="false">ROUND(D667*E667,0)</f>
        <v>9639102</v>
      </c>
      <c r="G667" s="49" t="s">
        <v>307</v>
      </c>
      <c r="H667" s="53" t="s">
        <v>305</v>
      </c>
    </row>
    <row r="668" customFormat="false" ht="15" hidden="false" customHeight="false" outlineLevel="0" collapsed="false">
      <c r="A668" s="49" t="s">
        <v>143</v>
      </c>
      <c r="B668" s="29" t="s">
        <v>960</v>
      </c>
      <c r="C668" s="49" t="s">
        <v>303</v>
      </c>
      <c r="D668" s="50" t="n">
        <v>7.1</v>
      </c>
      <c r="E668" s="51" t="n">
        <f aca="false">'Analisa Harga Satuan'!$F$57</f>
        <v>470250</v>
      </c>
      <c r="F668" s="52" t="n">
        <f aca="false">ROUND(D668*E668,0)</f>
        <v>3338775</v>
      </c>
      <c r="G668" s="49" t="s">
        <v>311</v>
      </c>
      <c r="H668" s="53" t="s">
        <v>305</v>
      </c>
    </row>
    <row r="669" customFormat="false" ht="15" hidden="false" customHeight="false" outlineLevel="0" collapsed="false">
      <c r="A669" s="60" t="s">
        <v>93</v>
      </c>
      <c r="B669" s="61" t="s">
        <v>312</v>
      </c>
    </row>
    <row r="670" customFormat="false" ht="15" hidden="false" customHeight="false" outlineLevel="0" collapsed="false">
      <c r="A670" s="49" t="s">
        <v>139</v>
      </c>
      <c r="B670" s="29" t="s">
        <v>313</v>
      </c>
      <c r="C670" s="49" t="s">
        <v>303</v>
      </c>
      <c r="D670" s="50" t="n">
        <v>521.62</v>
      </c>
      <c r="E670" s="51" t="n">
        <f aca="false">'Analisa Harga Satuan'!$F$73</f>
        <v>211750</v>
      </c>
      <c r="F670" s="52" t="n">
        <f aca="false">ROUND(D670*E670,0)</f>
        <v>110453035</v>
      </c>
      <c r="G670" s="49" t="s">
        <v>314</v>
      </c>
      <c r="H670" s="53" t="s">
        <v>305</v>
      </c>
    </row>
    <row r="671" customFormat="false" ht="15" hidden="false" customHeight="false" outlineLevel="0" collapsed="false">
      <c r="A671" s="49" t="s">
        <v>141</v>
      </c>
      <c r="B671" s="29" t="s">
        <v>315</v>
      </c>
      <c r="C671" s="49" t="s">
        <v>303</v>
      </c>
      <c r="D671" s="50" t="n">
        <v>521.62</v>
      </c>
      <c r="E671" s="51" t="n">
        <f aca="false">'Analisa Harga Satuan'!$F$89</f>
        <v>25355</v>
      </c>
      <c r="F671" s="52" t="n">
        <f aca="false">ROUND(D671*E671,0)</f>
        <v>13225675</v>
      </c>
      <c r="G671" s="49" t="s">
        <v>316</v>
      </c>
      <c r="H671" s="53" t="s">
        <v>305</v>
      </c>
    </row>
    <row r="672" customFormat="false" ht="15" hidden="false" customHeight="false" outlineLevel="0" collapsed="false">
      <c r="A672" s="49" t="s">
        <v>143</v>
      </c>
      <c r="B672" s="29" t="s">
        <v>310</v>
      </c>
      <c r="C672" s="49" t="s">
        <v>303</v>
      </c>
      <c r="D672" s="50" t="n">
        <v>53.28</v>
      </c>
      <c r="E672" s="51" t="n">
        <f aca="false">'Analisa Harga Satuan'!$F$57</f>
        <v>470250</v>
      </c>
      <c r="F672" s="52" t="n">
        <f aca="false">ROUND(D672*E672,0)</f>
        <v>25054920</v>
      </c>
      <c r="G672" s="49" t="s">
        <v>311</v>
      </c>
      <c r="H672" s="53" t="s">
        <v>305</v>
      </c>
    </row>
    <row r="673" customFormat="false" ht="15" hidden="false" customHeight="false" outlineLevel="0" collapsed="false">
      <c r="A673" s="55"/>
      <c r="B673" s="56" t="s">
        <v>961</v>
      </c>
      <c r="C673" s="55"/>
      <c r="D673" s="55"/>
      <c r="E673" s="55"/>
      <c r="F673" s="27" t="n">
        <f aca="false">SUM(F665:F672)</f>
        <v>170661767</v>
      </c>
      <c r="G673" s="55"/>
      <c r="H673" s="55"/>
    </row>
    <row r="674" customFormat="false" ht="15" hidden="false" customHeight="false" outlineLevel="0" collapsed="false">
      <c r="A674" s="46" t="s">
        <v>82</v>
      </c>
      <c r="B674" s="47" t="s">
        <v>96</v>
      </c>
      <c r="C674" s="48"/>
      <c r="D674" s="48"/>
      <c r="E674" s="48"/>
      <c r="F674" s="48"/>
      <c r="G674" s="48"/>
      <c r="H674" s="48"/>
    </row>
    <row r="675" customFormat="false" ht="15" hidden="false" customHeight="false" outlineLevel="0" collapsed="false">
      <c r="A675" s="60" t="s">
        <v>962</v>
      </c>
      <c r="B675" s="61" t="s">
        <v>321</v>
      </c>
    </row>
    <row r="676" customFormat="false" ht="15" hidden="false" customHeight="false" outlineLevel="0" collapsed="false">
      <c r="A676" s="60" t="s">
        <v>78</v>
      </c>
      <c r="B676" s="61" t="s">
        <v>963</v>
      </c>
    </row>
    <row r="677" customFormat="false" ht="15" hidden="false" customHeight="false" outlineLevel="0" collapsed="false">
      <c r="A677" s="49" t="s">
        <v>139</v>
      </c>
      <c r="B677" s="29" t="s">
        <v>964</v>
      </c>
      <c r="C677" s="49" t="s">
        <v>342</v>
      </c>
      <c r="D677" s="50" t="n">
        <v>71</v>
      </c>
      <c r="E677" s="51" t="n">
        <f aca="false">'Analisa Harga Satuan'!$H$1030</f>
        <v>4510000</v>
      </c>
      <c r="F677" s="52" t="n">
        <f aca="false">ROUND(D677*E677,0)</f>
        <v>320210000</v>
      </c>
      <c r="G677" s="49" t="s">
        <v>965</v>
      </c>
      <c r="H677" s="53" t="s">
        <v>181</v>
      </c>
    </row>
    <row r="678" customFormat="false" ht="15" hidden="false" customHeight="false" outlineLevel="0" collapsed="false">
      <c r="A678" s="49" t="s">
        <v>141</v>
      </c>
      <c r="B678" s="29" t="s">
        <v>344</v>
      </c>
      <c r="C678" s="49" t="s">
        <v>262</v>
      </c>
      <c r="D678" s="50" t="n">
        <v>426</v>
      </c>
      <c r="E678" s="51" t="n">
        <f aca="false">'Analisa Harga Satuan'!$H$840</f>
        <v>181500</v>
      </c>
      <c r="F678" s="52" t="n">
        <f aca="false">ROUND(D678*E678,0)</f>
        <v>77319000</v>
      </c>
      <c r="G678" s="49" t="s">
        <v>345</v>
      </c>
      <c r="H678" s="53" t="s">
        <v>181</v>
      </c>
    </row>
    <row r="679" customFormat="false" ht="15" hidden="false" customHeight="false" outlineLevel="0" collapsed="false">
      <c r="A679" s="49" t="s">
        <v>143</v>
      </c>
      <c r="B679" s="29" t="s">
        <v>346</v>
      </c>
      <c r="C679" s="49" t="s">
        <v>191</v>
      </c>
      <c r="D679" s="50" t="n">
        <v>71</v>
      </c>
      <c r="E679" s="51" t="n">
        <f aca="false">'Analisa Harga Satuan'!$H$841</f>
        <v>313500</v>
      </c>
      <c r="F679" s="52" t="n">
        <f aca="false">ROUND(D679*E679,0)</f>
        <v>22258500</v>
      </c>
      <c r="G679" s="49" t="s">
        <v>347</v>
      </c>
      <c r="H679" s="53" t="s">
        <v>181</v>
      </c>
    </row>
    <row r="680" customFormat="false" ht="15" hidden="false" customHeight="false" outlineLevel="0" collapsed="false">
      <c r="A680" s="49" t="s">
        <v>145</v>
      </c>
      <c r="B680" s="29" t="s">
        <v>348</v>
      </c>
      <c r="C680" s="49" t="s">
        <v>303</v>
      </c>
      <c r="D680" s="50" t="n">
        <v>15.68</v>
      </c>
      <c r="E680" s="51" t="n">
        <f aca="false">'Analisa Harga Satuan'!$F$57</f>
        <v>470250</v>
      </c>
      <c r="F680" s="52" t="n">
        <f aca="false">ROUND(D680*E680,0)</f>
        <v>7373520</v>
      </c>
      <c r="G680" s="49" t="s">
        <v>311</v>
      </c>
      <c r="H680" s="53" t="s">
        <v>305</v>
      </c>
    </row>
    <row r="681" customFormat="false" ht="15" hidden="false" customHeight="false" outlineLevel="0" collapsed="false">
      <c r="A681" s="49" t="s">
        <v>147</v>
      </c>
      <c r="B681" s="29" t="s">
        <v>349</v>
      </c>
      <c r="C681" s="49" t="s">
        <v>328</v>
      </c>
      <c r="D681" s="50" t="n">
        <v>1727.61</v>
      </c>
      <c r="E681" s="51" t="n">
        <f aca="false">'Analisa Harga Satuan'!$F$310</f>
        <v>23191</v>
      </c>
      <c r="F681" s="52" t="n">
        <f aca="false">ROUND(D681*E681,0)</f>
        <v>40065004</v>
      </c>
      <c r="G681" s="49" t="s">
        <v>329</v>
      </c>
      <c r="H681" s="53" t="s">
        <v>305</v>
      </c>
    </row>
    <row r="682" customFormat="false" ht="15" hidden="false" customHeight="false" outlineLevel="0" collapsed="false">
      <c r="A682" s="49" t="s">
        <v>149</v>
      </c>
      <c r="B682" s="29" t="s">
        <v>350</v>
      </c>
      <c r="C682" s="49" t="s">
        <v>303</v>
      </c>
      <c r="D682" s="50" t="n">
        <v>3.49</v>
      </c>
      <c r="E682" s="51" t="n">
        <f aca="false">'Analisa Harga Satuan'!$F$272</f>
        <v>1747048</v>
      </c>
      <c r="F682" s="52" t="n">
        <f aca="false">ROUND(D682*E682,0)</f>
        <v>6097198</v>
      </c>
      <c r="G682" s="49" t="s">
        <v>351</v>
      </c>
      <c r="H682" s="53" t="s">
        <v>305</v>
      </c>
    </row>
    <row r="683" customFormat="false" ht="15" hidden="false" customHeight="false" outlineLevel="0" collapsed="false">
      <c r="A683" s="60" t="s">
        <v>93</v>
      </c>
      <c r="B683" s="61" t="s">
        <v>966</v>
      </c>
    </row>
    <row r="684" customFormat="false" ht="15" hidden="false" customHeight="false" outlineLevel="0" collapsed="false">
      <c r="A684" s="49" t="s">
        <v>139</v>
      </c>
      <c r="B684" s="29" t="s">
        <v>323</v>
      </c>
      <c r="C684" s="49" t="s">
        <v>303</v>
      </c>
      <c r="D684" s="50" t="n">
        <v>3.2</v>
      </c>
      <c r="E684" s="51" t="n">
        <f aca="false">'Analisa Harga Satuan'!$F$228</f>
        <v>1386820</v>
      </c>
      <c r="F684" s="52" t="n">
        <f aca="false">ROUND(D684*E684,0)</f>
        <v>4437824</v>
      </c>
      <c r="G684" s="49" t="s">
        <v>324</v>
      </c>
      <c r="H684" s="53" t="s">
        <v>305</v>
      </c>
    </row>
    <row r="685" customFormat="false" ht="15" hidden="false" customHeight="false" outlineLevel="0" collapsed="false">
      <c r="A685" s="49" t="s">
        <v>141</v>
      </c>
      <c r="B685" s="29" t="s">
        <v>325</v>
      </c>
      <c r="C685" s="49" t="s">
        <v>303</v>
      </c>
      <c r="D685" s="50" t="n">
        <v>25.92</v>
      </c>
      <c r="E685" s="51" t="n">
        <f aca="false">'Analisa Harga Satuan'!$F$294</f>
        <v>1803236</v>
      </c>
      <c r="F685" s="52" t="n">
        <f aca="false">ROUND(D685*E685,0)</f>
        <v>46739877</v>
      </c>
      <c r="G685" s="49" t="s">
        <v>326</v>
      </c>
      <c r="H685" s="53" t="s">
        <v>305</v>
      </c>
    </row>
    <row r="686" customFormat="false" ht="15" hidden="false" customHeight="false" outlineLevel="0" collapsed="false">
      <c r="A686" s="49" t="s">
        <v>143</v>
      </c>
      <c r="B686" s="29" t="s">
        <v>327</v>
      </c>
      <c r="C686" s="49" t="s">
        <v>328</v>
      </c>
      <c r="D686" s="50" t="n">
        <v>2600.99</v>
      </c>
      <c r="E686" s="51" t="n">
        <f aca="false">'Analisa Harga Satuan'!$F$310</f>
        <v>23191</v>
      </c>
      <c r="F686" s="52" t="n">
        <f aca="false">ROUND(D686*E686,0)</f>
        <v>60319559</v>
      </c>
      <c r="G686" s="49" t="s">
        <v>329</v>
      </c>
      <c r="H686" s="53" t="s">
        <v>305</v>
      </c>
    </row>
    <row r="687" customFormat="false" ht="15" hidden="false" customHeight="false" outlineLevel="0" collapsed="false">
      <c r="A687" s="49" t="s">
        <v>145</v>
      </c>
      <c r="B687" s="29" t="s">
        <v>330</v>
      </c>
      <c r="C687" s="49" t="s">
        <v>331</v>
      </c>
      <c r="D687" s="50" t="n">
        <v>57.6</v>
      </c>
      <c r="E687" s="51" t="n">
        <f aca="false">'Analisa Harga Satuan'!$F$330</f>
        <v>398959</v>
      </c>
      <c r="F687" s="52" t="n">
        <f aca="false">ROUND(D687*E687,0)</f>
        <v>22980038</v>
      </c>
      <c r="G687" s="49" t="s">
        <v>332</v>
      </c>
      <c r="H687" s="53" t="s">
        <v>305</v>
      </c>
    </row>
    <row r="688" customFormat="false" ht="15" hidden="false" customHeight="false" outlineLevel="0" collapsed="false">
      <c r="A688" s="60" t="s">
        <v>102</v>
      </c>
      <c r="B688" s="61" t="s">
        <v>967</v>
      </c>
    </row>
    <row r="689" customFormat="false" ht="15" hidden="false" customHeight="false" outlineLevel="0" collapsed="false">
      <c r="A689" s="49" t="s">
        <v>139</v>
      </c>
      <c r="B689" s="29" t="s">
        <v>323</v>
      </c>
      <c r="C689" s="49" t="s">
        <v>303</v>
      </c>
      <c r="D689" s="50" t="n">
        <v>0.5</v>
      </c>
      <c r="E689" s="51" t="n">
        <f aca="false">'Analisa Harga Satuan'!$F$228</f>
        <v>1386820</v>
      </c>
      <c r="F689" s="52" t="n">
        <f aca="false">ROUND(D689*E689,0)</f>
        <v>693410</v>
      </c>
      <c r="G689" s="49" t="s">
        <v>324</v>
      </c>
      <c r="H689" s="53" t="s">
        <v>305</v>
      </c>
    </row>
    <row r="690" customFormat="false" ht="15" hidden="false" customHeight="false" outlineLevel="0" collapsed="false">
      <c r="A690" s="49" t="s">
        <v>141</v>
      </c>
      <c r="B690" s="29" t="s">
        <v>325</v>
      </c>
      <c r="C690" s="49" t="s">
        <v>303</v>
      </c>
      <c r="D690" s="50" t="n">
        <v>2.8</v>
      </c>
      <c r="E690" s="51" t="n">
        <f aca="false">'Analisa Harga Satuan'!$F$294</f>
        <v>1803236</v>
      </c>
      <c r="F690" s="52" t="n">
        <f aca="false">ROUND(D690*E690,0)</f>
        <v>5049061</v>
      </c>
      <c r="G690" s="49" t="s">
        <v>326</v>
      </c>
      <c r="H690" s="53" t="s">
        <v>305</v>
      </c>
    </row>
    <row r="691" customFormat="false" ht="15" hidden="false" customHeight="false" outlineLevel="0" collapsed="false">
      <c r="A691" s="49" t="s">
        <v>143</v>
      </c>
      <c r="B691" s="29" t="s">
        <v>327</v>
      </c>
      <c r="C691" s="49" t="s">
        <v>328</v>
      </c>
      <c r="D691" s="50" t="n">
        <v>291.28</v>
      </c>
      <c r="E691" s="51" t="n">
        <f aca="false">'Analisa Harga Satuan'!$F$310</f>
        <v>23191</v>
      </c>
      <c r="F691" s="52" t="n">
        <f aca="false">ROUND(D691*E691,0)</f>
        <v>6755074</v>
      </c>
      <c r="G691" s="49" t="s">
        <v>329</v>
      </c>
      <c r="H691" s="53" t="s">
        <v>305</v>
      </c>
    </row>
    <row r="692" customFormat="false" ht="15" hidden="false" customHeight="false" outlineLevel="0" collapsed="false">
      <c r="A692" s="49" t="s">
        <v>145</v>
      </c>
      <c r="B692" s="29" t="s">
        <v>330</v>
      </c>
      <c r="C692" s="49" t="s">
        <v>331</v>
      </c>
      <c r="D692" s="50" t="n">
        <v>11.2</v>
      </c>
      <c r="E692" s="51" t="n">
        <f aca="false">'Analisa Harga Satuan'!$F$330</f>
        <v>398959</v>
      </c>
      <c r="F692" s="52" t="n">
        <f aca="false">ROUND(D692*E692,0)</f>
        <v>4468341</v>
      </c>
      <c r="G692" s="49" t="s">
        <v>332</v>
      </c>
      <c r="H692" s="53" t="s">
        <v>305</v>
      </c>
    </row>
    <row r="693" customFormat="false" ht="15" hidden="false" customHeight="false" outlineLevel="0" collapsed="false">
      <c r="A693" s="60" t="s">
        <v>111</v>
      </c>
      <c r="B693" s="61" t="s">
        <v>968</v>
      </c>
    </row>
    <row r="694" customFormat="false" ht="15" hidden="false" customHeight="false" outlineLevel="0" collapsed="false">
      <c r="A694" s="49" t="s">
        <v>139</v>
      </c>
      <c r="B694" s="29" t="s">
        <v>325</v>
      </c>
      <c r="C694" s="49" t="s">
        <v>303</v>
      </c>
      <c r="D694" s="50" t="n">
        <v>5.76</v>
      </c>
      <c r="E694" s="51" t="n">
        <f aca="false">'Analisa Harga Satuan'!$F$294</f>
        <v>1803236</v>
      </c>
      <c r="F694" s="52" t="n">
        <f aca="false">ROUND(D694*E694,0)</f>
        <v>10386639</v>
      </c>
      <c r="G694" s="49" t="s">
        <v>326</v>
      </c>
      <c r="H694" s="53" t="s">
        <v>305</v>
      </c>
    </row>
    <row r="695" customFormat="false" ht="15" hidden="false" customHeight="false" outlineLevel="0" collapsed="false">
      <c r="A695" s="49" t="s">
        <v>141</v>
      </c>
      <c r="B695" s="29" t="s">
        <v>327</v>
      </c>
      <c r="C695" s="49" t="s">
        <v>328</v>
      </c>
      <c r="D695" s="50" t="n">
        <v>960.42</v>
      </c>
      <c r="E695" s="51" t="n">
        <f aca="false">'Analisa Harga Satuan'!$F$310</f>
        <v>23191</v>
      </c>
      <c r="F695" s="52" t="n">
        <f aca="false">ROUND(D695*E695,0)</f>
        <v>22273100</v>
      </c>
      <c r="G695" s="49" t="s">
        <v>329</v>
      </c>
      <c r="H695" s="53" t="s">
        <v>305</v>
      </c>
    </row>
    <row r="696" customFormat="false" ht="15" hidden="false" customHeight="false" outlineLevel="0" collapsed="false">
      <c r="A696" s="49" t="s">
        <v>143</v>
      </c>
      <c r="B696" s="29" t="s">
        <v>330</v>
      </c>
      <c r="C696" s="49" t="s">
        <v>331</v>
      </c>
      <c r="D696" s="50" t="n">
        <v>48</v>
      </c>
      <c r="E696" s="51" t="n">
        <f aca="false">'Analisa Harga Satuan'!$F$330</f>
        <v>398959</v>
      </c>
      <c r="F696" s="52" t="n">
        <f aca="false">ROUND(D696*E696,0)</f>
        <v>19150032</v>
      </c>
      <c r="G696" s="49" t="s">
        <v>332</v>
      </c>
      <c r="H696" s="53" t="s">
        <v>305</v>
      </c>
    </row>
    <row r="697" customFormat="false" ht="15" hidden="false" customHeight="false" outlineLevel="0" collapsed="false">
      <c r="A697" s="60" t="s">
        <v>119</v>
      </c>
      <c r="B697" s="61" t="s">
        <v>969</v>
      </c>
    </row>
    <row r="698" customFormat="false" ht="15" hidden="false" customHeight="false" outlineLevel="0" collapsed="false">
      <c r="A698" s="49" t="s">
        <v>139</v>
      </c>
      <c r="B698" s="29" t="s">
        <v>325</v>
      </c>
      <c r="C698" s="49" t="s">
        <v>303</v>
      </c>
      <c r="D698" s="50" t="n">
        <v>1.23</v>
      </c>
      <c r="E698" s="51" t="n">
        <f aca="false">'Analisa Harga Satuan'!$F$294</f>
        <v>1803236</v>
      </c>
      <c r="F698" s="52" t="n">
        <f aca="false">ROUND(D698*E698,0)</f>
        <v>2217980</v>
      </c>
      <c r="G698" s="49" t="s">
        <v>326</v>
      </c>
      <c r="H698" s="53" t="s">
        <v>305</v>
      </c>
    </row>
    <row r="699" customFormat="false" ht="15" hidden="false" customHeight="false" outlineLevel="0" collapsed="false">
      <c r="A699" s="49" t="s">
        <v>141</v>
      </c>
      <c r="B699" s="29" t="s">
        <v>327</v>
      </c>
      <c r="C699" s="49" t="s">
        <v>328</v>
      </c>
      <c r="D699" s="50" t="n">
        <v>271.24</v>
      </c>
      <c r="E699" s="51" t="n">
        <f aca="false">'Analisa Harga Satuan'!$F$310</f>
        <v>23191</v>
      </c>
      <c r="F699" s="52" t="n">
        <f aca="false">ROUND(D699*E699,0)</f>
        <v>6290327</v>
      </c>
      <c r="G699" s="49" t="s">
        <v>329</v>
      </c>
      <c r="H699" s="53" t="s">
        <v>305</v>
      </c>
    </row>
    <row r="700" customFormat="false" ht="15" hidden="false" customHeight="false" outlineLevel="0" collapsed="false">
      <c r="A700" s="49" t="s">
        <v>143</v>
      </c>
      <c r="B700" s="29" t="s">
        <v>330</v>
      </c>
      <c r="C700" s="49" t="s">
        <v>331</v>
      </c>
      <c r="D700" s="50" t="n">
        <v>12.32</v>
      </c>
      <c r="E700" s="51" t="n">
        <f aca="false">'Analisa Harga Satuan'!$F$330</f>
        <v>398959</v>
      </c>
      <c r="F700" s="52" t="n">
        <f aca="false">ROUND(D700*E700,0)</f>
        <v>4915175</v>
      </c>
      <c r="G700" s="49" t="s">
        <v>332</v>
      </c>
      <c r="H700" s="53" t="s">
        <v>305</v>
      </c>
    </row>
    <row r="701" customFormat="false" ht="15" hidden="false" customHeight="false" outlineLevel="0" collapsed="false">
      <c r="A701" s="60" t="s">
        <v>127</v>
      </c>
      <c r="B701" s="61" t="s">
        <v>970</v>
      </c>
    </row>
    <row r="702" customFormat="false" ht="15" hidden="false" customHeight="false" outlineLevel="0" collapsed="false">
      <c r="A702" s="49" t="s">
        <v>139</v>
      </c>
      <c r="B702" s="29" t="s">
        <v>323</v>
      </c>
      <c r="C702" s="49" t="s">
        <v>303</v>
      </c>
      <c r="D702" s="50" t="n">
        <v>4.09</v>
      </c>
      <c r="E702" s="51" t="n">
        <f aca="false">'Analisa Harga Satuan'!$F$228</f>
        <v>1386820</v>
      </c>
      <c r="F702" s="52" t="n">
        <f aca="false">ROUND(D702*E702,0)</f>
        <v>5672094</v>
      </c>
      <c r="G702" s="49" t="s">
        <v>324</v>
      </c>
      <c r="H702" s="53" t="s">
        <v>305</v>
      </c>
    </row>
    <row r="703" customFormat="false" ht="15" hidden="false" customHeight="false" outlineLevel="0" collapsed="false">
      <c r="A703" s="49" t="s">
        <v>141</v>
      </c>
      <c r="B703" s="29" t="s">
        <v>325</v>
      </c>
      <c r="C703" s="49" t="s">
        <v>303</v>
      </c>
      <c r="D703" s="50" t="n">
        <v>40.85</v>
      </c>
      <c r="E703" s="51" t="n">
        <f aca="false">'Analisa Harga Satuan'!$F$294</f>
        <v>1803236</v>
      </c>
      <c r="F703" s="52" t="n">
        <f aca="false">ROUND(D703*E703,0)</f>
        <v>73662191</v>
      </c>
      <c r="G703" s="49" t="s">
        <v>326</v>
      </c>
      <c r="H703" s="53" t="s">
        <v>305</v>
      </c>
    </row>
    <row r="704" customFormat="false" ht="15" hidden="false" customHeight="false" outlineLevel="0" collapsed="false">
      <c r="A704" s="49" t="s">
        <v>143</v>
      </c>
      <c r="B704" s="29" t="s">
        <v>327</v>
      </c>
      <c r="C704" s="49" t="s">
        <v>328</v>
      </c>
      <c r="D704" s="50" t="n">
        <v>8267.16</v>
      </c>
      <c r="E704" s="51" t="n">
        <f aca="false">'Analisa Harga Satuan'!$F$310</f>
        <v>23191</v>
      </c>
      <c r="F704" s="52" t="n">
        <f aca="false">ROUND(D704*E704,0)</f>
        <v>191723708</v>
      </c>
      <c r="G704" s="49" t="s">
        <v>329</v>
      </c>
      <c r="H704" s="53" t="s">
        <v>305</v>
      </c>
    </row>
    <row r="705" customFormat="false" ht="15" hidden="false" customHeight="false" outlineLevel="0" collapsed="false">
      <c r="A705" s="49" t="s">
        <v>145</v>
      </c>
      <c r="B705" s="29" t="s">
        <v>330</v>
      </c>
      <c r="C705" s="49" t="s">
        <v>331</v>
      </c>
      <c r="D705" s="50" t="n">
        <v>272.3</v>
      </c>
      <c r="E705" s="51" t="n">
        <f aca="false">'Analisa Harga Satuan'!$F$330</f>
        <v>398959</v>
      </c>
      <c r="F705" s="52" t="n">
        <f aca="false">ROUND(D705*E705,0)</f>
        <v>108636536</v>
      </c>
      <c r="G705" s="49" t="s">
        <v>332</v>
      </c>
      <c r="H705" s="53" t="s">
        <v>305</v>
      </c>
    </row>
    <row r="706" customFormat="false" ht="15" hidden="false" customHeight="false" outlineLevel="0" collapsed="false">
      <c r="A706" s="60" t="s">
        <v>137</v>
      </c>
      <c r="B706" s="61" t="s">
        <v>971</v>
      </c>
    </row>
    <row r="707" customFormat="false" ht="15" hidden="false" customHeight="false" outlineLevel="0" collapsed="false">
      <c r="A707" s="49" t="s">
        <v>139</v>
      </c>
      <c r="B707" s="29" t="s">
        <v>355</v>
      </c>
      <c r="C707" s="49" t="s">
        <v>303</v>
      </c>
      <c r="D707" s="50" t="n">
        <v>1.26</v>
      </c>
      <c r="E707" s="51" t="n">
        <f aca="false">'Analisa Harga Satuan'!$F$272</f>
        <v>1747048</v>
      </c>
      <c r="F707" s="52" t="n">
        <f aca="false">ROUND(D707*E707,0)</f>
        <v>2201280</v>
      </c>
      <c r="G707" s="49" t="s">
        <v>351</v>
      </c>
      <c r="H707" s="53" t="s">
        <v>305</v>
      </c>
    </row>
    <row r="708" customFormat="false" ht="15" hidden="false" customHeight="false" outlineLevel="0" collapsed="false">
      <c r="A708" s="49" t="s">
        <v>141</v>
      </c>
      <c r="B708" s="29" t="s">
        <v>327</v>
      </c>
      <c r="C708" s="49" t="s">
        <v>328</v>
      </c>
      <c r="D708" s="50" t="n">
        <v>328.53</v>
      </c>
      <c r="E708" s="51" t="n">
        <f aca="false">'Analisa Harga Satuan'!$F$310</f>
        <v>23191</v>
      </c>
      <c r="F708" s="52" t="n">
        <f aca="false">ROUND(D708*E708,0)</f>
        <v>7618939</v>
      </c>
      <c r="G708" s="49" t="s">
        <v>329</v>
      </c>
      <c r="H708" s="53" t="s">
        <v>305</v>
      </c>
    </row>
    <row r="709" customFormat="false" ht="15" hidden="false" customHeight="false" outlineLevel="0" collapsed="false">
      <c r="A709" s="49" t="s">
        <v>143</v>
      </c>
      <c r="B709" s="29" t="s">
        <v>330</v>
      </c>
      <c r="C709" s="49" t="s">
        <v>331</v>
      </c>
      <c r="D709" s="50" t="n">
        <v>16.83</v>
      </c>
      <c r="E709" s="51" t="n">
        <f aca="false">'Analisa Harga Satuan'!$F$330</f>
        <v>398959</v>
      </c>
      <c r="F709" s="52" t="n">
        <f aca="false">ROUND(D709*E709,0)</f>
        <v>6714480</v>
      </c>
      <c r="G709" s="49" t="s">
        <v>332</v>
      </c>
      <c r="H709" s="53" t="s">
        <v>305</v>
      </c>
    </row>
    <row r="710" customFormat="false" ht="15" hidden="false" customHeight="false" outlineLevel="0" collapsed="false">
      <c r="A710" s="60" t="s">
        <v>972</v>
      </c>
      <c r="B710" s="61" t="s">
        <v>353</v>
      </c>
    </row>
    <row r="711" customFormat="false" ht="23.85" hidden="false" customHeight="false" outlineLevel="0" collapsed="false">
      <c r="B711" s="54" t="s">
        <v>973</v>
      </c>
    </row>
    <row r="712" customFormat="false" ht="15" hidden="false" customHeight="false" outlineLevel="0" collapsed="false">
      <c r="A712" s="60" t="s">
        <v>78</v>
      </c>
      <c r="B712" s="61" t="s">
        <v>974</v>
      </c>
    </row>
    <row r="713" customFormat="false" ht="15" hidden="false" customHeight="false" outlineLevel="0" collapsed="false">
      <c r="A713" s="49" t="s">
        <v>139</v>
      </c>
      <c r="B713" s="29" t="s">
        <v>975</v>
      </c>
      <c r="C713" s="49" t="s">
        <v>976</v>
      </c>
      <c r="D713" s="50" t="n">
        <v>155.43</v>
      </c>
      <c r="E713" s="51" t="n">
        <f aca="false">'Analisa Harga Satuan'!$F$765</f>
        <v>23320</v>
      </c>
      <c r="F713" s="52" t="n">
        <f aca="false">ROUND(D713*E713,0)</f>
        <v>3624628</v>
      </c>
      <c r="G713" s="49" t="s">
        <v>977</v>
      </c>
      <c r="H713" s="53" t="s">
        <v>305</v>
      </c>
    </row>
    <row r="714" customFormat="false" ht="15" hidden="false" customHeight="false" outlineLevel="0" collapsed="false">
      <c r="A714" s="49" t="s">
        <v>141</v>
      </c>
      <c r="B714" s="29" t="s">
        <v>978</v>
      </c>
      <c r="C714" s="49" t="s">
        <v>976</v>
      </c>
      <c r="D714" s="50" t="n">
        <v>32.97</v>
      </c>
      <c r="E714" s="51" t="n">
        <f aca="false">'Analisa Harga Satuan'!$F$765</f>
        <v>23320</v>
      </c>
      <c r="F714" s="52" t="n">
        <f aca="false">ROUND(D714*E714,0)</f>
        <v>768860</v>
      </c>
      <c r="G714" s="49" t="s">
        <v>977</v>
      </c>
      <c r="H714" s="53" t="s">
        <v>305</v>
      </c>
    </row>
    <row r="715" customFormat="false" ht="15" hidden="false" customHeight="false" outlineLevel="0" collapsed="false">
      <c r="A715" s="49" t="s">
        <v>143</v>
      </c>
      <c r="B715" s="29" t="s">
        <v>979</v>
      </c>
      <c r="C715" s="49" t="s">
        <v>206</v>
      </c>
      <c r="D715" s="50" t="n">
        <v>64</v>
      </c>
      <c r="E715" s="51" t="n">
        <f aca="false">'Analisa Harga Satuan'!$H$1031</f>
        <v>57200</v>
      </c>
      <c r="F715" s="52" t="n">
        <f aca="false">ROUND(D715*E715,0)</f>
        <v>3660800</v>
      </c>
      <c r="G715" s="49" t="s">
        <v>980</v>
      </c>
      <c r="H715" s="53" t="s">
        <v>181</v>
      </c>
    </row>
    <row r="716" customFormat="false" ht="15" hidden="false" customHeight="false" outlineLevel="0" collapsed="false">
      <c r="A716" s="49" t="s">
        <v>145</v>
      </c>
      <c r="B716" s="29" t="s">
        <v>981</v>
      </c>
      <c r="C716" s="49" t="s">
        <v>206</v>
      </c>
      <c r="D716" s="50" t="n">
        <v>28</v>
      </c>
      <c r="E716" s="51" t="n">
        <f aca="false">'Analisa Harga Satuan'!$H$1032</f>
        <v>41800</v>
      </c>
      <c r="F716" s="52" t="n">
        <f aca="false">ROUND(D716*E716,0)</f>
        <v>1170400</v>
      </c>
      <c r="G716" s="49" t="s">
        <v>982</v>
      </c>
      <c r="H716" s="53" t="s">
        <v>181</v>
      </c>
    </row>
    <row r="717" customFormat="false" ht="15" hidden="false" customHeight="false" outlineLevel="0" collapsed="false">
      <c r="A717" s="49" t="s">
        <v>147</v>
      </c>
      <c r="B717" s="29" t="s">
        <v>983</v>
      </c>
      <c r="C717" s="49" t="s">
        <v>303</v>
      </c>
      <c r="D717" s="50" t="n">
        <v>0.13</v>
      </c>
      <c r="E717" s="51" t="n">
        <f aca="false">'Analisa Harga Satuan'!$H$1033</f>
        <v>27225000</v>
      </c>
      <c r="F717" s="52" t="n">
        <f aca="false">ROUND(D717*E717,0)</f>
        <v>3539250</v>
      </c>
      <c r="G717" s="49" t="s">
        <v>984</v>
      </c>
      <c r="H717" s="53" t="s">
        <v>181</v>
      </c>
    </row>
    <row r="718" customFormat="false" ht="15" hidden="false" customHeight="false" outlineLevel="0" collapsed="false">
      <c r="A718" s="49" t="s">
        <v>149</v>
      </c>
      <c r="B718" s="29" t="s">
        <v>985</v>
      </c>
      <c r="C718" s="49" t="s">
        <v>976</v>
      </c>
      <c r="D718" s="50" t="n">
        <v>4712</v>
      </c>
      <c r="E718" s="51" t="n">
        <f aca="false">'Analisa Harga Satuan'!$F$765</f>
        <v>23320</v>
      </c>
      <c r="F718" s="52" t="n">
        <f aca="false">ROUND(D718*E718,0)</f>
        <v>109883840</v>
      </c>
      <c r="G718" s="49" t="s">
        <v>977</v>
      </c>
      <c r="H718" s="53" t="s">
        <v>305</v>
      </c>
    </row>
    <row r="719" customFormat="false" ht="15" hidden="false" customHeight="false" outlineLevel="0" collapsed="false">
      <c r="A719" s="49" t="s">
        <v>151</v>
      </c>
      <c r="B719" s="29" t="s">
        <v>986</v>
      </c>
      <c r="C719" s="49" t="s">
        <v>976</v>
      </c>
      <c r="D719" s="50" t="n">
        <v>562.107</v>
      </c>
      <c r="E719" s="51" t="n">
        <f aca="false">'Analisa Harga Satuan'!$F$765</f>
        <v>23320</v>
      </c>
      <c r="F719" s="52" t="n">
        <f aca="false">ROUND(D719*E719,0)</f>
        <v>13108335</v>
      </c>
      <c r="G719" s="49" t="s">
        <v>977</v>
      </c>
      <c r="H719" s="53" t="s">
        <v>305</v>
      </c>
    </row>
    <row r="720" customFormat="false" ht="15" hidden="false" customHeight="false" outlineLevel="0" collapsed="false">
      <c r="A720" s="49" t="s">
        <v>423</v>
      </c>
      <c r="B720" s="29" t="s">
        <v>987</v>
      </c>
      <c r="C720" s="49" t="s">
        <v>976</v>
      </c>
      <c r="D720" s="50" t="n">
        <v>2124.888</v>
      </c>
      <c r="E720" s="51" t="n">
        <f aca="false">'Analisa Harga Satuan'!$F$765</f>
        <v>23320</v>
      </c>
      <c r="F720" s="52" t="n">
        <f aca="false">ROUND(D720*E720,0)</f>
        <v>49552388</v>
      </c>
      <c r="G720" s="49" t="s">
        <v>977</v>
      </c>
      <c r="H720" s="53" t="s">
        <v>305</v>
      </c>
    </row>
    <row r="721" customFormat="false" ht="15" hidden="false" customHeight="false" outlineLevel="0" collapsed="false">
      <c r="A721" s="49" t="s">
        <v>208</v>
      </c>
      <c r="B721" s="29" t="s">
        <v>988</v>
      </c>
      <c r="C721" s="49" t="s">
        <v>976</v>
      </c>
      <c r="D721" s="50" t="n">
        <v>2124.888</v>
      </c>
      <c r="E721" s="51" t="n">
        <f aca="false">'Analisa Harga Satuan'!$F$765</f>
        <v>23320</v>
      </c>
      <c r="F721" s="52" t="n">
        <f aca="false">ROUND(D721*E721,0)</f>
        <v>49552388</v>
      </c>
      <c r="G721" s="49" t="s">
        <v>977</v>
      </c>
      <c r="H721" s="53" t="s">
        <v>305</v>
      </c>
    </row>
    <row r="722" customFormat="false" ht="15" hidden="false" customHeight="false" outlineLevel="0" collapsed="false">
      <c r="A722" s="49" t="s">
        <v>217</v>
      </c>
      <c r="B722" s="29" t="s">
        <v>989</v>
      </c>
      <c r="C722" s="49" t="s">
        <v>976</v>
      </c>
      <c r="D722" s="50" t="n">
        <v>1055.25</v>
      </c>
      <c r="E722" s="51" t="n">
        <f aca="false">'Analisa Harga Satuan'!$F$765</f>
        <v>23320</v>
      </c>
      <c r="F722" s="52" t="n">
        <f aca="false">ROUND(D722*E722,0)</f>
        <v>24608430</v>
      </c>
      <c r="G722" s="49" t="s">
        <v>977</v>
      </c>
      <c r="H722" s="53" t="s">
        <v>305</v>
      </c>
    </row>
    <row r="723" customFormat="false" ht="15" hidden="false" customHeight="false" outlineLevel="0" collapsed="false">
      <c r="A723" s="49" t="s">
        <v>221</v>
      </c>
      <c r="B723" s="29" t="s">
        <v>990</v>
      </c>
      <c r="C723" s="49" t="s">
        <v>976</v>
      </c>
      <c r="D723" s="50" t="n">
        <v>200.85</v>
      </c>
      <c r="E723" s="51" t="n">
        <f aca="false">'Analisa Harga Satuan'!$F$765</f>
        <v>23320</v>
      </c>
      <c r="F723" s="52" t="n">
        <f aca="false">ROUND(D723*E723,0)</f>
        <v>4683822</v>
      </c>
      <c r="G723" s="49" t="s">
        <v>977</v>
      </c>
      <c r="H723" s="53" t="s">
        <v>305</v>
      </c>
    </row>
    <row r="724" customFormat="false" ht="15" hidden="false" customHeight="false" outlineLevel="0" collapsed="false">
      <c r="A724" s="49" t="s">
        <v>689</v>
      </c>
      <c r="B724" s="29" t="s">
        <v>991</v>
      </c>
      <c r="C724" s="49" t="s">
        <v>976</v>
      </c>
      <c r="D724" s="50" t="n">
        <v>34.7</v>
      </c>
      <c r="E724" s="51" t="n">
        <f aca="false">'Analisa Harga Satuan'!$F$765</f>
        <v>23320</v>
      </c>
      <c r="F724" s="52" t="n">
        <f aca="false">ROUND(D724*E724,0)</f>
        <v>809204</v>
      </c>
      <c r="G724" s="49" t="s">
        <v>977</v>
      </c>
      <c r="H724" s="53" t="s">
        <v>305</v>
      </c>
    </row>
    <row r="725" customFormat="false" ht="15" hidden="false" customHeight="false" outlineLevel="0" collapsed="false">
      <c r="A725" s="49" t="s">
        <v>692</v>
      </c>
      <c r="B725" s="29" t="s">
        <v>992</v>
      </c>
      <c r="C725" s="49" t="s">
        <v>206</v>
      </c>
      <c r="D725" s="50" t="n">
        <v>378</v>
      </c>
      <c r="E725" s="51" t="n">
        <f aca="false">'Analisa Harga Satuan'!$H$1034</f>
        <v>52800</v>
      </c>
      <c r="F725" s="52" t="n">
        <f aca="false">ROUND(D725*E725,0)</f>
        <v>19958400</v>
      </c>
      <c r="G725" s="49" t="s">
        <v>993</v>
      </c>
      <c r="H725" s="53" t="s">
        <v>181</v>
      </c>
    </row>
    <row r="726" customFormat="false" ht="25.5" hidden="false" customHeight="true" outlineLevel="0" collapsed="false">
      <c r="A726" s="49" t="s">
        <v>994</v>
      </c>
      <c r="B726" s="29" t="s">
        <v>995</v>
      </c>
      <c r="C726" s="49" t="s">
        <v>328</v>
      </c>
      <c r="D726" s="50" t="n">
        <v>10579.13</v>
      </c>
      <c r="E726" s="51" t="n">
        <f aca="false">'Analisa Harga Satuan'!$F$785</f>
        <v>14430</v>
      </c>
      <c r="F726" s="52" t="n">
        <f aca="false">ROUND(D726*E726,0)</f>
        <v>152656846</v>
      </c>
      <c r="G726" s="49" t="s">
        <v>996</v>
      </c>
      <c r="H726" s="53" t="s">
        <v>305</v>
      </c>
    </row>
    <row r="727" customFormat="false" ht="15" hidden="false" customHeight="false" outlineLevel="0" collapsed="false">
      <c r="A727" s="60" t="s">
        <v>93</v>
      </c>
      <c r="B727" s="61" t="s">
        <v>997</v>
      </c>
    </row>
    <row r="728" customFormat="false" ht="15" hidden="false" customHeight="false" outlineLevel="0" collapsed="false">
      <c r="A728" s="49" t="s">
        <v>139</v>
      </c>
      <c r="B728" s="29" t="s">
        <v>998</v>
      </c>
      <c r="C728" s="49" t="s">
        <v>303</v>
      </c>
      <c r="D728" s="50" t="n">
        <v>35.06</v>
      </c>
      <c r="E728" s="51" t="n">
        <f aca="false">'Analisa Harga Satuan'!$F$228</f>
        <v>1386820</v>
      </c>
      <c r="F728" s="52" t="n">
        <f aca="false">ROUND(D728*E728,0)</f>
        <v>48621909</v>
      </c>
      <c r="G728" s="49" t="s">
        <v>324</v>
      </c>
      <c r="H728" s="53" t="s">
        <v>305</v>
      </c>
    </row>
    <row r="729" customFormat="false" ht="15" hidden="false" customHeight="false" outlineLevel="0" collapsed="false">
      <c r="A729" s="49" t="s">
        <v>141</v>
      </c>
      <c r="B729" s="29" t="s">
        <v>355</v>
      </c>
      <c r="C729" s="49" t="s">
        <v>303</v>
      </c>
      <c r="D729" s="50" t="n">
        <v>92.68</v>
      </c>
      <c r="E729" s="51" t="n">
        <f aca="false">'Analisa Harga Satuan'!$F$272</f>
        <v>1747048</v>
      </c>
      <c r="F729" s="52" t="n">
        <f aca="false">ROUND(D729*E729,0)</f>
        <v>161916409</v>
      </c>
      <c r="G729" s="49" t="s">
        <v>351</v>
      </c>
      <c r="H729" s="53" t="s">
        <v>305</v>
      </c>
    </row>
    <row r="730" customFormat="false" ht="15" hidden="false" customHeight="false" outlineLevel="0" collapsed="false">
      <c r="A730" s="49" t="s">
        <v>143</v>
      </c>
      <c r="B730" s="29" t="s">
        <v>327</v>
      </c>
      <c r="C730" s="49" t="s">
        <v>328</v>
      </c>
      <c r="D730" s="50" t="n">
        <v>9649.69</v>
      </c>
      <c r="E730" s="51" t="n">
        <f aca="false">'Analisa Harga Satuan'!$F$310</f>
        <v>23191</v>
      </c>
      <c r="F730" s="52" t="n">
        <f aca="false">ROUND(D730*E730,0)</f>
        <v>223785961</v>
      </c>
      <c r="G730" s="49" t="s">
        <v>329</v>
      </c>
      <c r="H730" s="53" t="s">
        <v>305</v>
      </c>
    </row>
    <row r="731" customFormat="false" ht="15" hidden="false" customHeight="false" outlineLevel="0" collapsed="false">
      <c r="A731" s="60" t="s">
        <v>102</v>
      </c>
      <c r="B731" s="61" t="s">
        <v>999</v>
      </c>
    </row>
    <row r="732" customFormat="false" ht="15" hidden="false" customHeight="false" outlineLevel="0" collapsed="false">
      <c r="A732" s="49" t="s">
        <v>139</v>
      </c>
      <c r="B732" s="29" t="s">
        <v>355</v>
      </c>
      <c r="C732" s="49" t="s">
        <v>303</v>
      </c>
      <c r="D732" s="50" t="n">
        <v>3.41</v>
      </c>
      <c r="E732" s="51" t="n">
        <f aca="false">'Analisa Harga Satuan'!$F$272</f>
        <v>1747048</v>
      </c>
      <c r="F732" s="52" t="n">
        <f aca="false">ROUND(D732*E732,0)</f>
        <v>5957434</v>
      </c>
      <c r="G732" s="49" t="s">
        <v>351</v>
      </c>
      <c r="H732" s="53" t="s">
        <v>305</v>
      </c>
    </row>
    <row r="733" customFormat="false" ht="15" hidden="false" customHeight="false" outlineLevel="0" collapsed="false">
      <c r="A733" s="49" t="s">
        <v>141</v>
      </c>
      <c r="B733" s="29" t="s">
        <v>1000</v>
      </c>
      <c r="C733" s="49" t="s">
        <v>328</v>
      </c>
      <c r="D733" s="50" t="n">
        <v>165.64</v>
      </c>
      <c r="E733" s="51" t="n">
        <f aca="false">'Analisa Harga Satuan'!$F$344</f>
        <v>26098</v>
      </c>
      <c r="F733" s="52" t="n">
        <f aca="false">ROUND(D733*E733,0)</f>
        <v>4322873</v>
      </c>
      <c r="G733" s="49" t="s">
        <v>1001</v>
      </c>
      <c r="H733" s="53" t="s">
        <v>305</v>
      </c>
    </row>
    <row r="734" customFormat="false" ht="15" hidden="false" customHeight="false" outlineLevel="0" collapsed="false">
      <c r="A734" s="49" t="s">
        <v>143</v>
      </c>
      <c r="B734" s="29" t="s">
        <v>330</v>
      </c>
      <c r="C734" s="49" t="s">
        <v>331</v>
      </c>
      <c r="D734" s="50" t="n">
        <v>34.11</v>
      </c>
      <c r="E734" s="51" t="n">
        <f aca="false">'Analisa Harga Satuan'!$F$330</f>
        <v>398959</v>
      </c>
      <c r="F734" s="52" t="n">
        <f aca="false">ROUND(D734*E734,0)</f>
        <v>13608491</v>
      </c>
      <c r="G734" s="49" t="s">
        <v>332</v>
      </c>
      <c r="H734" s="53" t="s">
        <v>305</v>
      </c>
    </row>
    <row r="735" customFormat="false" ht="15" hidden="false" customHeight="false" outlineLevel="0" collapsed="false">
      <c r="A735" s="60" t="s">
        <v>111</v>
      </c>
      <c r="B735" s="61" t="s">
        <v>1002</v>
      </c>
    </row>
    <row r="736" customFormat="false" ht="15" hidden="false" customHeight="false" outlineLevel="0" collapsed="false">
      <c r="A736" s="49" t="s">
        <v>139</v>
      </c>
      <c r="B736" s="29" t="s">
        <v>355</v>
      </c>
      <c r="C736" s="49" t="s">
        <v>303</v>
      </c>
      <c r="D736" s="50" t="n">
        <v>1.3</v>
      </c>
      <c r="E736" s="51" t="n">
        <f aca="false">'Analisa Harga Satuan'!$F$272</f>
        <v>1747048</v>
      </c>
      <c r="F736" s="52" t="n">
        <f aca="false">ROUND(D736*E736,0)</f>
        <v>2271162</v>
      </c>
      <c r="G736" s="49" t="s">
        <v>351</v>
      </c>
      <c r="H736" s="53" t="s">
        <v>305</v>
      </c>
    </row>
    <row r="737" customFormat="false" ht="15" hidden="false" customHeight="false" outlineLevel="0" collapsed="false">
      <c r="A737" s="49" t="s">
        <v>141</v>
      </c>
      <c r="B737" s="29" t="s">
        <v>327</v>
      </c>
      <c r="C737" s="49" t="s">
        <v>328</v>
      </c>
      <c r="D737" s="50" t="n">
        <v>187.17</v>
      </c>
      <c r="E737" s="51" t="n">
        <f aca="false">'Analisa Harga Satuan'!$F$310</f>
        <v>23191</v>
      </c>
      <c r="F737" s="52" t="n">
        <f aca="false">ROUND(D737*E737,0)</f>
        <v>4340659</v>
      </c>
      <c r="G737" s="49" t="s">
        <v>329</v>
      </c>
      <c r="H737" s="53" t="s">
        <v>305</v>
      </c>
    </row>
    <row r="738" customFormat="false" ht="15" hidden="false" customHeight="false" outlineLevel="0" collapsed="false">
      <c r="A738" s="49" t="s">
        <v>143</v>
      </c>
      <c r="B738" s="29" t="s">
        <v>330</v>
      </c>
      <c r="C738" s="49" t="s">
        <v>331</v>
      </c>
      <c r="D738" s="50" t="n">
        <v>23.08</v>
      </c>
      <c r="E738" s="51" t="n">
        <f aca="false">'Analisa Harga Satuan'!$F$330</f>
        <v>398959</v>
      </c>
      <c r="F738" s="52" t="n">
        <f aca="false">ROUND(D738*E738,0)</f>
        <v>9207974</v>
      </c>
      <c r="G738" s="49" t="s">
        <v>332</v>
      </c>
      <c r="H738" s="53" t="s">
        <v>305</v>
      </c>
    </row>
    <row r="739" customFormat="false" ht="15" hidden="false" customHeight="false" outlineLevel="0" collapsed="false">
      <c r="A739" s="60" t="s">
        <v>119</v>
      </c>
      <c r="B739" s="61" t="s">
        <v>1003</v>
      </c>
    </row>
    <row r="740" customFormat="false" ht="15" hidden="false" customHeight="false" outlineLevel="0" collapsed="false">
      <c r="A740" s="49" t="s">
        <v>139</v>
      </c>
      <c r="B740" s="29" t="s">
        <v>355</v>
      </c>
      <c r="C740" s="49" t="s">
        <v>303</v>
      </c>
      <c r="D740" s="50" t="n">
        <v>1.07</v>
      </c>
      <c r="E740" s="51" t="n">
        <f aca="false">'Analisa Harga Satuan'!$F$272</f>
        <v>1747048</v>
      </c>
      <c r="F740" s="52" t="n">
        <f aca="false">ROUND(D740*E740,0)</f>
        <v>1869341</v>
      </c>
      <c r="G740" s="49" t="s">
        <v>351</v>
      </c>
      <c r="H740" s="53" t="s">
        <v>305</v>
      </c>
    </row>
    <row r="741" customFormat="false" ht="15" hidden="false" customHeight="false" outlineLevel="0" collapsed="false">
      <c r="A741" s="49" t="s">
        <v>141</v>
      </c>
      <c r="B741" s="29" t="s">
        <v>327</v>
      </c>
      <c r="C741" s="49" t="s">
        <v>328</v>
      </c>
      <c r="D741" s="50" t="n">
        <v>131.95</v>
      </c>
      <c r="E741" s="51" t="n">
        <f aca="false">'Analisa Harga Satuan'!$F$310</f>
        <v>23191</v>
      </c>
      <c r="F741" s="52" t="n">
        <f aca="false">ROUND(D741*E741,0)</f>
        <v>3060052</v>
      </c>
      <c r="G741" s="49" t="s">
        <v>329</v>
      </c>
      <c r="H741" s="53" t="s">
        <v>305</v>
      </c>
    </row>
    <row r="742" customFormat="false" ht="15" hidden="false" customHeight="false" outlineLevel="0" collapsed="false">
      <c r="A742" s="49" t="s">
        <v>143</v>
      </c>
      <c r="B742" s="29" t="s">
        <v>330</v>
      </c>
      <c r="C742" s="49" t="s">
        <v>331</v>
      </c>
      <c r="D742" s="50" t="n">
        <v>17.2</v>
      </c>
      <c r="E742" s="51" t="n">
        <f aca="false">'Analisa Harga Satuan'!$F$330</f>
        <v>398959</v>
      </c>
      <c r="F742" s="52" t="n">
        <f aca="false">ROUND(D742*E742,0)</f>
        <v>6862095</v>
      </c>
      <c r="G742" s="49" t="s">
        <v>332</v>
      </c>
      <c r="H742" s="53" t="s">
        <v>305</v>
      </c>
    </row>
    <row r="743" customFormat="false" ht="15" hidden="false" customHeight="false" outlineLevel="0" collapsed="false">
      <c r="A743" s="60" t="s">
        <v>127</v>
      </c>
      <c r="B743" s="61" t="s">
        <v>1004</v>
      </c>
    </row>
    <row r="744" customFormat="false" ht="15" hidden="false" customHeight="false" outlineLevel="0" collapsed="false">
      <c r="A744" s="49" t="s">
        <v>139</v>
      </c>
      <c r="B744" s="29" t="s">
        <v>355</v>
      </c>
      <c r="C744" s="49" t="s">
        <v>303</v>
      </c>
      <c r="D744" s="50" t="n">
        <v>0.45</v>
      </c>
      <c r="E744" s="51" t="n">
        <f aca="false">'Analisa Harga Satuan'!$F$272</f>
        <v>1747048</v>
      </c>
      <c r="F744" s="52" t="n">
        <f aca="false">ROUND(D744*E744,0)</f>
        <v>786172</v>
      </c>
      <c r="G744" s="49" t="s">
        <v>351</v>
      </c>
      <c r="H744" s="53" t="s">
        <v>305</v>
      </c>
    </row>
    <row r="745" customFormat="false" ht="15" hidden="false" customHeight="false" outlineLevel="0" collapsed="false">
      <c r="A745" s="49" t="s">
        <v>141</v>
      </c>
      <c r="B745" s="29" t="s">
        <v>327</v>
      </c>
      <c r="C745" s="49" t="s">
        <v>328</v>
      </c>
      <c r="D745" s="50" t="n">
        <v>59.06</v>
      </c>
      <c r="E745" s="51" t="n">
        <f aca="false">'Analisa Harga Satuan'!$F$310</f>
        <v>23191</v>
      </c>
      <c r="F745" s="52" t="n">
        <f aca="false">ROUND(D745*E745,0)</f>
        <v>1369660</v>
      </c>
      <c r="G745" s="49" t="s">
        <v>329</v>
      </c>
      <c r="H745" s="53" t="s">
        <v>305</v>
      </c>
    </row>
    <row r="746" customFormat="false" ht="15" hidden="false" customHeight="false" outlineLevel="0" collapsed="false">
      <c r="A746" s="49" t="s">
        <v>143</v>
      </c>
      <c r="B746" s="29" t="s">
        <v>330</v>
      </c>
      <c r="C746" s="49" t="s">
        <v>331</v>
      </c>
      <c r="D746" s="50" t="n">
        <v>5.4</v>
      </c>
      <c r="E746" s="51" t="n">
        <f aca="false">'Analisa Harga Satuan'!$F$330</f>
        <v>398959</v>
      </c>
      <c r="F746" s="52" t="n">
        <f aca="false">ROUND(D746*E746,0)</f>
        <v>2154379</v>
      </c>
      <c r="G746" s="49" t="s">
        <v>332</v>
      </c>
      <c r="H746" s="53" t="s">
        <v>305</v>
      </c>
    </row>
    <row r="747" customFormat="false" ht="15" hidden="false" customHeight="false" outlineLevel="0" collapsed="false">
      <c r="A747" s="60" t="s">
        <v>137</v>
      </c>
      <c r="B747" s="61" t="s">
        <v>1005</v>
      </c>
    </row>
    <row r="748" customFormat="false" ht="15" hidden="false" customHeight="false" outlineLevel="0" collapsed="false">
      <c r="A748" s="49" t="s">
        <v>139</v>
      </c>
      <c r="B748" s="29" t="s">
        <v>355</v>
      </c>
      <c r="C748" s="49" t="s">
        <v>303</v>
      </c>
      <c r="D748" s="50" t="n">
        <v>1.35</v>
      </c>
      <c r="E748" s="51" t="n">
        <f aca="false">'Analisa Harga Satuan'!$F$272</f>
        <v>1747048</v>
      </c>
      <c r="F748" s="52" t="n">
        <f aca="false">ROUND(D748*E748,0)</f>
        <v>2358515</v>
      </c>
      <c r="G748" s="49" t="s">
        <v>351</v>
      </c>
      <c r="H748" s="53" t="s">
        <v>305</v>
      </c>
    </row>
    <row r="749" customFormat="false" ht="15" hidden="false" customHeight="false" outlineLevel="0" collapsed="false">
      <c r="A749" s="49" t="s">
        <v>141</v>
      </c>
      <c r="B749" s="29" t="s">
        <v>327</v>
      </c>
      <c r="C749" s="49" t="s">
        <v>328</v>
      </c>
      <c r="D749" s="50" t="n">
        <v>343.62</v>
      </c>
      <c r="E749" s="51" t="n">
        <f aca="false">'Analisa Harga Satuan'!$F$310</f>
        <v>23191</v>
      </c>
      <c r="F749" s="52" t="n">
        <f aca="false">ROUND(D749*E749,0)</f>
        <v>7968891</v>
      </c>
      <c r="G749" s="49" t="s">
        <v>329</v>
      </c>
      <c r="H749" s="53" t="s">
        <v>305</v>
      </c>
    </row>
    <row r="750" customFormat="false" ht="15" hidden="false" customHeight="false" outlineLevel="0" collapsed="false">
      <c r="A750" s="49" t="s">
        <v>143</v>
      </c>
      <c r="B750" s="29" t="s">
        <v>330</v>
      </c>
      <c r="C750" s="49" t="s">
        <v>331</v>
      </c>
      <c r="D750" s="50" t="n">
        <v>23.4</v>
      </c>
      <c r="E750" s="51" t="n">
        <f aca="false">'Analisa Harga Satuan'!$F$330</f>
        <v>398959</v>
      </c>
      <c r="F750" s="52" t="n">
        <f aca="false">ROUND(D750*E750,0)</f>
        <v>9335641</v>
      </c>
      <c r="G750" s="49" t="s">
        <v>332</v>
      </c>
      <c r="H750" s="53" t="s">
        <v>305</v>
      </c>
    </row>
    <row r="751" customFormat="false" ht="15" hidden="false" customHeight="false" outlineLevel="0" collapsed="false">
      <c r="A751" s="60" t="s">
        <v>364</v>
      </c>
      <c r="B751" s="61" t="s">
        <v>365</v>
      </c>
    </row>
    <row r="752" customFormat="false" ht="15" hidden="false" customHeight="false" outlineLevel="0" collapsed="false">
      <c r="A752" s="49" t="s">
        <v>139</v>
      </c>
      <c r="B752" s="29" t="s">
        <v>366</v>
      </c>
      <c r="C752" s="49" t="s">
        <v>367</v>
      </c>
      <c r="D752" s="50" t="n">
        <v>200.22</v>
      </c>
      <c r="E752" s="51" t="n">
        <f aca="false">'Analisa Harga Satuan'!$F$355</f>
        <v>246954</v>
      </c>
      <c r="F752" s="52" t="n">
        <f aca="false">ROUND(D752*E752,0)</f>
        <v>49445130</v>
      </c>
      <c r="G752" s="49" t="s">
        <v>368</v>
      </c>
      <c r="H752" s="53" t="s">
        <v>305</v>
      </c>
    </row>
    <row r="753" customFormat="false" ht="25.5" hidden="false" customHeight="true" outlineLevel="0" collapsed="false">
      <c r="A753" s="49" t="s">
        <v>141</v>
      </c>
      <c r="B753" s="29" t="s">
        <v>369</v>
      </c>
      <c r="C753" s="49" t="s">
        <v>367</v>
      </c>
      <c r="D753" s="50" t="n">
        <v>52.89</v>
      </c>
      <c r="E753" s="51" t="n">
        <f aca="false">'Analisa Harga Satuan'!$F$366</f>
        <v>238292</v>
      </c>
      <c r="F753" s="52" t="n">
        <f aca="false">ROUND(D753*E753,0)</f>
        <v>12603264</v>
      </c>
      <c r="G753" s="49" t="s">
        <v>370</v>
      </c>
      <c r="H753" s="53" t="s">
        <v>305</v>
      </c>
    </row>
    <row r="754" customFormat="false" ht="15" hidden="false" customHeight="false" outlineLevel="0" collapsed="false">
      <c r="A754" s="60" t="s">
        <v>1006</v>
      </c>
      <c r="B754" s="61" t="s">
        <v>1007</v>
      </c>
    </row>
    <row r="755" customFormat="false" ht="15" hidden="false" customHeight="false" outlineLevel="0" collapsed="false">
      <c r="A755" s="49" t="s">
        <v>139</v>
      </c>
      <c r="B755" s="29" t="s">
        <v>1008</v>
      </c>
      <c r="C755" s="49" t="s">
        <v>976</v>
      </c>
      <c r="D755" s="50" t="n">
        <v>3230.25</v>
      </c>
      <c r="E755" s="51" t="n">
        <f aca="false">'Analisa Harga Satuan'!$F$765</f>
        <v>23320</v>
      </c>
      <c r="F755" s="52" t="n">
        <f aca="false">ROUND(D755*E755,0)</f>
        <v>75329430</v>
      </c>
      <c r="G755" s="49" t="s">
        <v>977</v>
      </c>
      <c r="H755" s="53" t="s">
        <v>305</v>
      </c>
    </row>
    <row r="756" customFormat="false" ht="15" hidden="false" customHeight="false" outlineLevel="0" collapsed="false">
      <c r="A756" s="49" t="s">
        <v>141</v>
      </c>
      <c r="B756" s="29" t="s">
        <v>1009</v>
      </c>
      <c r="C756" s="49" t="s">
        <v>976</v>
      </c>
      <c r="D756" s="50" t="n">
        <v>3314.52</v>
      </c>
      <c r="E756" s="51" t="n">
        <f aca="false">'Analisa Harga Satuan'!$F$765</f>
        <v>23320</v>
      </c>
      <c r="F756" s="52" t="n">
        <f aca="false">ROUND(D756*E756,0)</f>
        <v>77294606</v>
      </c>
      <c r="G756" s="49" t="s">
        <v>977</v>
      </c>
      <c r="H756" s="53" t="s">
        <v>305</v>
      </c>
    </row>
    <row r="757" customFormat="false" ht="15" hidden="false" customHeight="false" outlineLevel="0" collapsed="false">
      <c r="A757" s="49" t="s">
        <v>143</v>
      </c>
      <c r="B757" s="29" t="s">
        <v>990</v>
      </c>
      <c r="C757" s="49" t="s">
        <v>976</v>
      </c>
      <c r="D757" s="50" t="n">
        <v>70.89</v>
      </c>
      <c r="E757" s="51" t="n">
        <f aca="false">'Analisa Harga Satuan'!$F$765</f>
        <v>23320</v>
      </c>
      <c r="F757" s="52" t="n">
        <f aca="false">ROUND(D757*E757,0)</f>
        <v>1653155</v>
      </c>
      <c r="G757" s="49" t="s">
        <v>977</v>
      </c>
      <c r="H757" s="53" t="s">
        <v>305</v>
      </c>
    </row>
    <row r="758" customFormat="false" ht="15" hidden="false" customHeight="false" outlineLevel="0" collapsed="false">
      <c r="A758" s="49" t="s">
        <v>145</v>
      </c>
      <c r="B758" s="29" t="s">
        <v>1010</v>
      </c>
      <c r="C758" s="49" t="s">
        <v>976</v>
      </c>
      <c r="D758" s="50" t="n">
        <v>71.44</v>
      </c>
      <c r="E758" s="51" t="n">
        <f aca="false">'Analisa Harga Satuan'!$F$765</f>
        <v>23320</v>
      </c>
      <c r="F758" s="52" t="n">
        <f aca="false">ROUND(D758*E758,0)</f>
        <v>1665981</v>
      </c>
      <c r="G758" s="49" t="s">
        <v>977</v>
      </c>
      <c r="H758" s="53" t="s">
        <v>305</v>
      </c>
    </row>
    <row r="759" customFormat="false" ht="15" hidden="false" customHeight="false" outlineLevel="0" collapsed="false">
      <c r="A759" s="49" t="s">
        <v>147</v>
      </c>
      <c r="B759" s="29" t="s">
        <v>1011</v>
      </c>
      <c r="C759" s="49" t="s">
        <v>328</v>
      </c>
      <c r="D759" s="50" t="n">
        <v>108.2</v>
      </c>
      <c r="E759" s="51" t="n">
        <f aca="false">'Analisa Harga Satuan'!$F$765</f>
        <v>23320</v>
      </c>
      <c r="F759" s="52" t="n">
        <f aca="false">ROUND(D759*E759,0)</f>
        <v>2523224</v>
      </c>
      <c r="G759" s="49" t="s">
        <v>977</v>
      </c>
      <c r="H759" s="53" t="s">
        <v>305</v>
      </c>
    </row>
    <row r="760" customFormat="false" ht="15" hidden="false" customHeight="false" outlineLevel="0" collapsed="false">
      <c r="A760" s="49" t="s">
        <v>149</v>
      </c>
      <c r="B760" s="29" t="s">
        <v>992</v>
      </c>
      <c r="C760" s="49" t="s">
        <v>206</v>
      </c>
      <c r="D760" s="50" t="n">
        <v>196</v>
      </c>
      <c r="E760" s="51" t="n">
        <f aca="false">'Analisa Harga Satuan'!$H$1034</f>
        <v>52800</v>
      </c>
      <c r="F760" s="52" t="n">
        <f aca="false">ROUND(D760*E760,0)</f>
        <v>10348800</v>
      </c>
      <c r="G760" s="49" t="s">
        <v>993</v>
      </c>
      <c r="H760" s="53" t="s">
        <v>181</v>
      </c>
    </row>
    <row r="761" customFormat="false" ht="15" hidden="false" customHeight="false" outlineLevel="0" collapsed="false">
      <c r="A761" s="49" t="s">
        <v>151</v>
      </c>
      <c r="B761" s="29" t="s">
        <v>1012</v>
      </c>
      <c r="C761" s="49" t="s">
        <v>976</v>
      </c>
      <c r="D761" s="50" t="n">
        <v>435.12</v>
      </c>
      <c r="E761" s="51" t="n">
        <f aca="false">'Analisa Harga Satuan'!$F$765</f>
        <v>23320</v>
      </c>
      <c r="F761" s="52" t="n">
        <f aca="false">ROUND(D761*E761,0)</f>
        <v>10146998</v>
      </c>
      <c r="G761" s="49" t="s">
        <v>977</v>
      </c>
      <c r="H761" s="53" t="s">
        <v>305</v>
      </c>
    </row>
    <row r="762" customFormat="false" ht="15" hidden="false" customHeight="false" outlineLevel="0" collapsed="false">
      <c r="A762" s="49" t="s">
        <v>423</v>
      </c>
      <c r="B762" s="29" t="s">
        <v>1013</v>
      </c>
      <c r="C762" s="49" t="s">
        <v>328</v>
      </c>
      <c r="D762" s="50" t="n">
        <v>181.24</v>
      </c>
      <c r="E762" s="51" t="n">
        <f aca="false">'Analisa Harga Satuan'!$F$765</f>
        <v>23320</v>
      </c>
      <c r="F762" s="52" t="n">
        <f aca="false">ROUND(D762*E762,0)</f>
        <v>4226517</v>
      </c>
      <c r="G762" s="49" t="s">
        <v>977</v>
      </c>
      <c r="H762" s="53" t="s">
        <v>305</v>
      </c>
    </row>
    <row r="763" customFormat="false" ht="15" hidden="false" customHeight="false" outlineLevel="0" collapsed="false">
      <c r="A763" s="49" t="s">
        <v>208</v>
      </c>
      <c r="B763" s="29" t="s">
        <v>1014</v>
      </c>
      <c r="C763" s="49" t="s">
        <v>328</v>
      </c>
      <c r="D763" s="50" t="n">
        <v>116.1</v>
      </c>
      <c r="E763" s="51" t="n">
        <f aca="false">'Analisa Harga Satuan'!$F$765</f>
        <v>23320</v>
      </c>
      <c r="F763" s="52" t="n">
        <f aca="false">ROUND(D763*E763,0)</f>
        <v>2707452</v>
      </c>
      <c r="G763" s="49" t="s">
        <v>977</v>
      </c>
      <c r="H763" s="53" t="s">
        <v>305</v>
      </c>
    </row>
    <row r="764" customFormat="false" ht="15" hidden="false" customHeight="false" outlineLevel="0" collapsed="false">
      <c r="A764" s="49" t="s">
        <v>217</v>
      </c>
      <c r="B764" s="29" t="s">
        <v>1015</v>
      </c>
      <c r="C764" s="49" t="s">
        <v>257</v>
      </c>
      <c r="D764" s="50" t="n">
        <v>24</v>
      </c>
      <c r="E764" s="51" t="n">
        <f aca="false">'Analisa Harga Satuan'!$H$1035</f>
        <v>41800</v>
      </c>
      <c r="F764" s="52" t="n">
        <f aca="false">ROUND(D764*E764,0)</f>
        <v>1003200</v>
      </c>
      <c r="G764" s="49" t="s">
        <v>1016</v>
      </c>
      <c r="H764" s="53" t="s">
        <v>181</v>
      </c>
    </row>
    <row r="765" customFormat="false" ht="25.5" hidden="false" customHeight="true" outlineLevel="0" collapsed="false">
      <c r="A765" s="49" t="s">
        <v>221</v>
      </c>
      <c r="B765" s="29" t="s">
        <v>995</v>
      </c>
      <c r="C765" s="49" t="s">
        <v>328</v>
      </c>
      <c r="D765" s="50" t="n">
        <v>6544.77</v>
      </c>
      <c r="E765" s="51" t="n">
        <f aca="false">'Analisa Harga Satuan'!$F$785</f>
        <v>14430</v>
      </c>
      <c r="F765" s="52" t="n">
        <f aca="false">ROUND(D765*E765,0)</f>
        <v>94441031</v>
      </c>
      <c r="G765" s="49" t="s">
        <v>996</v>
      </c>
      <c r="H765" s="53" t="s">
        <v>305</v>
      </c>
    </row>
    <row r="766" customFormat="false" ht="15" hidden="false" customHeight="false" outlineLevel="0" collapsed="false">
      <c r="A766" s="55"/>
      <c r="B766" s="56" t="s">
        <v>1017</v>
      </c>
      <c r="C766" s="55"/>
      <c r="D766" s="55"/>
      <c r="E766" s="55"/>
      <c r="F766" s="27" t="n">
        <f aca="false">SUM(F675:F765)</f>
        <v>2376992884</v>
      </c>
      <c r="G766" s="55"/>
      <c r="H766" s="55"/>
    </row>
    <row r="767" customFormat="false" ht="15" hidden="false" customHeight="false" outlineLevel="0" collapsed="false">
      <c r="A767" s="46" t="s">
        <v>84</v>
      </c>
      <c r="B767" s="47" t="s">
        <v>97</v>
      </c>
      <c r="C767" s="48"/>
      <c r="D767" s="48"/>
      <c r="E767" s="48"/>
      <c r="F767" s="48"/>
      <c r="G767" s="48"/>
      <c r="H767" s="48"/>
    </row>
    <row r="768" customFormat="false" ht="15" hidden="false" customHeight="false" outlineLevel="0" collapsed="false">
      <c r="A768" s="60" t="s">
        <v>1018</v>
      </c>
      <c r="B768" s="61" t="s">
        <v>393</v>
      </c>
    </row>
    <row r="769" customFormat="false" ht="15" hidden="false" customHeight="false" outlineLevel="0" collapsed="false">
      <c r="A769" s="60" t="s">
        <v>78</v>
      </c>
      <c r="B769" s="61" t="s">
        <v>394</v>
      </c>
    </row>
    <row r="770" customFormat="false" ht="15" hidden="false" customHeight="false" outlineLevel="0" collapsed="false">
      <c r="A770" s="49" t="s">
        <v>139</v>
      </c>
      <c r="B770" s="29" t="s">
        <v>395</v>
      </c>
      <c r="C770" s="49" t="s">
        <v>331</v>
      </c>
      <c r="D770" s="50" t="n">
        <v>652.56</v>
      </c>
      <c r="E770" s="51" t="n">
        <f aca="false">'Analisa Harga Satuan'!$F$416</f>
        <v>265023</v>
      </c>
      <c r="F770" s="52" t="n">
        <f aca="false">ROUND(D770*E770,0)</f>
        <v>172943409</v>
      </c>
      <c r="G770" s="49" t="s">
        <v>396</v>
      </c>
      <c r="H770" s="53" t="s">
        <v>305</v>
      </c>
    </row>
    <row r="771" customFormat="false" ht="15" hidden="false" customHeight="false" outlineLevel="0" collapsed="false">
      <c r="A771" s="49" t="s">
        <v>141</v>
      </c>
      <c r="B771" s="29" t="s">
        <v>397</v>
      </c>
      <c r="C771" s="49" t="s">
        <v>328</v>
      </c>
      <c r="D771" s="50" t="n">
        <v>161.19</v>
      </c>
      <c r="E771" s="51" t="n">
        <f aca="false">'Analisa Harga Satuan'!$F$310</f>
        <v>23191</v>
      </c>
      <c r="F771" s="52" t="n">
        <f aca="false">ROUND(D771*E771,0)</f>
        <v>3738157</v>
      </c>
      <c r="G771" s="49" t="s">
        <v>329</v>
      </c>
      <c r="H771" s="53" t="s">
        <v>305</v>
      </c>
    </row>
    <row r="772" customFormat="false" ht="15" hidden="false" customHeight="false" outlineLevel="0" collapsed="false">
      <c r="A772" s="49" t="s">
        <v>143</v>
      </c>
      <c r="B772" s="29" t="s">
        <v>1019</v>
      </c>
      <c r="C772" s="49" t="s">
        <v>331</v>
      </c>
      <c r="D772" s="50" t="n">
        <v>1305.12</v>
      </c>
      <c r="E772" s="51" t="n">
        <f aca="false">'Analisa Harga Satuan'!$F$432</f>
        <v>103703</v>
      </c>
      <c r="F772" s="52" t="n">
        <f aca="false">ROUND(D772*E772,0)</f>
        <v>135344859</v>
      </c>
      <c r="G772" s="49" t="s">
        <v>399</v>
      </c>
      <c r="H772" s="53" t="s">
        <v>305</v>
      </c>
    </row>
    <row r="773" customFormat="false" ht="15" hidden="false" customHeight="false" outlineLevel="0" collapsed="false">
      <c r="A773" s="49" t="s">
        <v>145</v>
      </c>
      <c r="B773" s="29" t="s">
        <v>1020</v>
      </c>
      <c r="C773" s="49" t="s">
        <v>331</v>
      </c>
      <c r="D773" s="50" t="n">
        <v>149.48</v>
      </c>
      <c r="E773" s="51" t="n">
        <f aca="false">'Analisa Harga Satuan'!$F$432</f>
        <v>103703</v>
      </c>
      <c r="F773" s="52" t="n">
        <f aca="false">ROUND(D773*E773,0)</f>
        <v>15501524</v>
      </c>
      <c r="G773" s="49" t="s">
        <v>399</v>
      </c>
      <c r="H773" s="53" t="s">
        <v>305</v>
      </c>
    </row>
    <row r="774" customFormat="false" ht="15" hidden="false" customHeight="false" outlineLevel="0" collapsed="false">
      <c r="A774" s="49" t="s">
        <v>147</v>
      </c>
      <c r="B774" s="29" t="s">
        <v>400</v>
      </c>
      <c r="C774" s="49" t="s">
        <v>331</v>
      </c>
      <c r="D774" s="50" t="n">
        <v>50.85</v>
      </c>
      <c r="E774" s="51" t="n">
        <f aca="false">'Analisa Harga Satuan'!$F$448</f>
        <v>107987</v>
      </c>
      <c r="F774" s="52" t="n">
        <f aca="false">ROUND(D774*E774,0)</f>
        <v>5491139</v>
      </c>
      <c r="G774" s="49" t="s">
        <v>401</v>
      </c>
      <c r="H774" s="53" t="s">
        <v>305</v>
      </c>
    </row>
    <row r="775" customFormat="false" ht="15" hidden="false" customHeight="false" outlineLevel="0" collapsed="false">
      <c r="A775" s="49" t="s">
        <v>149</v>
      </c>
      <c r="B775" s="29" t="s">
        <v>1021</v>
      </c>
      <c r="C775" s="49" t="s">
        <v>331</v>
      </c>
      <c r="D775" s="50" t="n">
        <v>1454.6</v>
      </c>
      <c r="E775" s="51" t="n">
        <f aca="false">'Analisa Harga Satuan'!$F$479</f>
        <v>58982</v>
      </c>
      <c r="F775" s="52" t="n">
        <f aca="false">ROUND(D775*E775,0)</f>
        <v>85795217</v>
      </c>
      <c r="G775" s="49" t="s">
        <v>403</v>
      </c>
      <c r="H775" s="53" t="s">
        <v>305</v>
      </c>
    </row>
    <row r="776" customFormat="false" ht="15" hidden="false" customHeight="false" outlineLevel="0" collapsed="false">
      <c r="A776" s="49" t="s">
        <v>151</v>
      </c>
      <c r="B776" s="29" t="s">
        <v>1022</v>
      </c>
      <c r="C776" s="49" t="s">
        <v>331</v>
      </c>
      <c r="D776" s="50" t="n">
        <v>61.93</v>
      </c>
      <c r="E776" s="51" t="n">
        <f aca="false">'Analisa Harga Satuan'!$F$496</f>
        <v>448305</v>
      </c>
      <c r="F776" s="52" t="n">
        <f aca="false">ROUND(D776*E776,0)</f>
        <v>27763529</v>
      </c>
      <c r="G776" s="49" t="s">
        <v>1023</v>
      </c>
      <c r="H776" s="53" t="s">
        <v>305</v>
      </c>
    </row>
    <row r="777" customFormat="false" ht="15" hidden="false" customHeight="false" outlineLevel="0" collapsed="false">
      <c r="A777" s="60" t="s">
        <v>1024</v>
      </c>
      <c r="B777" s="61" t="s">
        <v>409</v>
      </c>
    </row>
    <row r="778" customFormat="false" ht="25.5" hidden="false" customHeight="true" outlineLevel="0" collapsed="false">
      <c r="A778" s="49" t="s">
        <v>139</v>
      </c>
      <c r="B778" s="29" t="s">
        <v>1025</v>
      </c>
      <c r="C778" s="49" t="s">
        <v>331</v>
      </c>
      <c r="D778" s="50" t="n">
        <v>115.27</v>
      </c>
      <c r="E778" s="51" t="n">
        <f aca="false">'Analisa Harga Satuan'!$H$842</f>
        <v>715000</v>
      </c>
      <c r="F778" s="52" t="n">
        <f aca="false">ROUND(D778*E778,0)</f>
        <v>82418050</v>
      </c>
      <c r="G778" s="49" t="s">
        <v>411</v>
      </c>
      <c r="H778" s="53" t="s">
        <v>181</v>
      </c>
    </row>
    <row r="779" customFormat="false" ht="25.5" hidden="false" customHeight="true" outlineLevel="0" collapsed="false">
      <c r="A779" s="49" t="s">
        <v>141</v>
      </c>
      <c r="B779" s="29" t="s">
        <v>1026</v>
      </c>
      <c r="C779" s="49" t="s">
        <v>331</v>
      </c>
      <c r="D779" s="50" t="n">
        <v>545.05</v>
      </c>
      <c r="E779" s="51" t="n">
        <f aca="false">'Analisa Harga Satuan'!$H$842</f>
        <v>715000</v>
      </c>
      <c r="F779" s="52" t="n">
        <f aca="false">ROUND(D779*E779,0)</f>
        <v>389710750</v>
      </c>
      <c r="G779" s="49" t="s">
        <v>411</v>
      </c>
      <c r="H779" s="53" t="s">
        <v>181</v>
      </c>
    </row>
    <row r="780" customFormat="false" ht="25.5" hidden="false" customHeight="true" outlineLevel="0" collapsed="false">
      <c r="A780" s="49" t="s">
        <v>143</v>
      </c>
      <c r="B780" s="29" t="s">
        <v>1027</v>
      </c>
      <c r="C780" s="49" t="s">
        <v>331</v>
      </c>
      <c r="D780" s="50" t="n">
        <v>89.94</v>
      </c>
      <c r="E780" s="51" t="n">
        <f aca="false">'Analisa Harga Satuan'!$H$842</f>
        <v>715000</v>
      </c>
      <c r="F780" s="52" t="n">
        <f aca="false">ROUND(D780*E780,0)</f>
        <v>64307100</v>
      </c>
      <c r="G780" s="49" t="s">
        <v>411</v>
      </c>
      <c r="H780" s="53" t="s">
        <v>181</v>
      </c>
    </row>
    <row r="781" customFormat="false" ht="25.5" hidden="false" customHeight="true" outlineLevel="0" collapsed="false">
      <c r="A781" s="49" t="s">
        <v>145</v>
      </c>
      <c r="B781" s="29" t="s">
        <v>1028</v>
      </c>
      <c r="C781" s="49" t="s">
        <v>331</v>
      </c>
      <c r="D781" s="50" t="n">
        <v>92.37</v>
      </c>
      <c r="E781" s="51" t="n">
        <f aca="false">'Analisa Harga Satuan'!$H$842</f>
        <v>715000</v>
      </c>
      <c r="F781" s="52" t="n">
        <f aca="false">ROUND(D781*E781,0)</f>
        <v>66044550</v>
      </c>
      <c r="G781" s="49" t="s">
        <v>411</v>
      </c>
      <c r="H781" s="53" t="s">
        <v>181</v>
      </c>
    </row>
    <row r="782" customFormat="false" ht="15" hidden="false" customHeight="false" outlineLevel="0" collapsed="false">
      <c r="A782" s="49" t="s">
        <v>147</v>
      </c>
      <c r="B782" s="29" t="s">
        <v>1029</v>
      </c>
      <c r="C782" s="49" t="s">
        <v>183</v>
      </c>
      <c r="D782" s="50" t="n">
        <v>2</v>
      </c>
      <c r="E782" s="51" t="n">
        <f aca="false">'Analisa Harga Satuan'!$H$1036</f>
        <v>41800000</v>
      </c>
      <c r="F782" s="52" t="n">
        <f aca="false">ROUND(D782*E782,0)</f>
        <v>83600000</v>
      </c>
      <c r="G782" s="49" t="s">
        <v>1030</v>
      </c>
      <c r="H782" s="53" t="s">
        <v>189</v>
      </c>
    </row>
    <row r="783" customFormat="false" ht="15" hidden="false" customHeight="false" outlineLevel="0" collapsed="false">
      <c r="A783" s="49" t="s">
        <v>149</v>
      </c>
      <c r="B783" s="29" t="s">
        <v>1031</v>
      </c>
      <c r="C783" s="49" t="s">
        <v>183</v>
      </c>
      <c r="D783" s="50" t="n">
        <v>2</v>
      </c>
      <c r="E783" s="51" t="n">
        <f aca="false">'Analisa Harga Satuan'!$H$1037</f>
        <v>49500000</v>
      </c>
      <c r="F783" s="52" t="n">
        <f aca="false">ROUND(D783*E783,0)</f>
        <v>99000000</v>
      </c>
      <c r="G783" s="49" t="s">
        <v>1032</v>
      </c>
      <c r="H783" s="53" t="s">
        <v>189</v>
      </c>
    </row>
    <row r="784" customFormat="false" ht="15" hidden="false" customHeight="false" outlineLevel="0" collapsed="false">
      <c r="A784" s="49" t="s">
        <v>151</v>
      </c>
      <c r="B784" s="29" t="s">
        <v>1033</v>
      </c>
      <c r="C784" s="49" t="s">
        <v>183</v>
      </c>
      <c r="D784" s="50" t="n">
        <v>1</v>
      </c>
      <c r="E784" s="51" t="n">
        <f aca="false">'Analisa Harga Satuan'!$H$1038</f>
        <v>13200000</v>
      </c>
      <c r="F784" s="52" t="n">
        <f aca="false">ROUND(D784*E784,0)</f>
        <v>13200000</v>
      </c>
      <c r="G784" s="49" t="s">
        <v>1034</v>
      </c>
      <c r="H784" s="53" t="s">
        <v>181</v>
      </c>
    </row>
    <row r="785" customFormat="false" ht="15" hidden="false" customHeight="false" outlineLevel="0" collapsed="false">
      <c r="A785" s="60" t="s">
        <v>1035</v>
      </c>
      <c r="B785" s="61" t="s">
        <v>436</v>
      </c>
    </row>
    <row r="786" customFormat="false" ht="15" hidden="false" customHeight="false" outlineLevel="0" collapsed="false">
      <c r="A786" s="60" t="s">
        <v>78</v>
      </c>
      <c r="B786" s="61" t="s">
        <v>394</v>
      </c>
    </row>
    <row r="787" customFormat="false" ht="15" hidden="false" customHeight="false" outlineLevel="0" collapsed="false">
      <c r="A787" s="49" t="s">
        <v>139</v>
      </c>
      <c r="B787" s="29" t="s">
        <v>1036</v>
      </c>
      <c r="C787" s="49" t="s">
        <v>331</v>
      </c>
      <c r="D787" s="50" t="n">
        <v>570.84</v>
      </c>
      <c r="E787" s="51" t="n">
        <f aca="false">'Analisa Harga Satuan'!$H$1039</f>
        <v>147840</v>
      </c>
      <c r="F787" s="52" t="n">
        <f aca="false">ROUND(D787*E787,0)</f>
        <v>84392986</v>
      </c>
      <c r="G787" s="49" t="s">
        <v>1037</v>
      </c>
      <c r="H787" s="53" t="s">
        <v>181</v>
      </c>
    </row>
    <row r="788" customFormat="false" ht="15" hidden="false" customHeight="false" outlineLevel="0" collapsed="false">
      <c r="A788" s="49" t="s">
        <v>141</v>
      </c>
      <c r="B788" s="29" t="s">
        <v>1038</v>
      </c>
      <c r="C788" s="49" t="s">
        <v>331</v>
      </c>
      <c r="D788" s="50" t="n">
        <v>533.96</v>
      </c>
      <c r="E788" s="51" t="n">
        <f aca="false">'Analisa Harga Satuan'!$H$1040</f>
        <v>433070</v>
      </c>
      <c r="F788" s="52" t="n">
        <f aca="false">ROUND(D788*E788,0)</f>
        <v>231242057</v>
      </c>
      <c r="G788" s="49" t="s">
        <v>1039</v>
      </c>
      <c r="H788" s="53" t="s">
        <v>181</v>
      </c>
    </row>
    <row r="789" customFormat="false" ht="25.5" hidden="false" customHeight="true" outlineLevel="0" collapsed="false">
      <c r="A789" s="49" t="s">
        <v>143</v>
      </c>
      <c r="B789" s="29" t="s">
        <v>1040</v>
      </c>
      <c r="C789" s="49" t="s">
        <v>331</v>
      </c>
      <c r="D789" s="50" t="n">
        <v>162.15</v>
      </c>
      <c r="E789" s="51" t="n">
        <f aca="false">'Analisa Harga Satuan'!$F$532</f>
        <v>513931</v>
      </c>
      <c r="F789" s="52" t="n">
        <f aca="false">ROUND(D789*E789,0)</f>
        <v>83333912</v>
      </c>
      <c r="G789" s="49" t="s">
        <v>440</v>
      </c>
      <c r="H789" s="53" t="s">
        <v>305</v>
      </c>
    </row>
    <row r="790" customFormat="false" ht="25.5" hidden="false" customHeight="true" outlineLevel="0" collapsed="false">
      <c r="A790" s="49" t="s">
        <v>145</v>
      </c>
      <c r="B790" s="29" t="s">
        <v>1041</v>
      </c>
      <c r="C790" s="49" t="s">
        <v>331</v>
      </c>
      <c r="D790" s="50" t="n">
        <v>40.04</v>
      </c>
      <c r="E790" s="51" t="n">
        <f aca="false">'Analisa Harga Satuan'!$F$551</f>
        <v>467731</v>
      </c>
      <c r="F790" s="52" t="n">
        <f aca="false">ROUND(D790*E790,0)</f>
        <v>18727949</v>
      </c>
      <c r="G790" s="49" t="s">
        <v>442</v>
      </c>
      <c r="H790" s="53" t="s">
        <v>305</v>
      </c>
    </row>
    <row r="791" customFormat="false" ht="15" hidden="false" customHeight="false" outlineLevel="0" collapsed="false">
      <c r="A791" s="49" t="s">
        <v>147</v>
      </c>
      <c r="B791" s="29" t="s">
        <v>445</v>
      </c>
      <c r="C791" s="49" t="s">
        <v>367</v>
      </c>
      <c r="D791" s="50" t="n">
        <v>90.54</v>
      </c>
      <c r="E791" s="51" t="n">
        <f aca="false">'Analisa Harga Satuan'!$F$586</f>
        <v>63745</v>
      </c>
      <c r="F791" s="52" t="n">
        <f aca="false">ROUND(D791*E791,0)</f>
        <v>5771472</v>
      </c>
      <c r="G791" s="49" t="s">
        <v>446</v>
      </c>
      <c r="H791" s="53" t="s">
        <v>305</v>
      </c>
    </row>
    <row r="792" customFormat="false" ht="15" hidden="false" customHeight="false" outlineLevel="0" collapsed="false">
      <c r="A792" s="60" t="s">
        <v>1042</v>
      </c>
      <c r="B792" s="61" t="s">
        <v>449</v>
      </c>
    </row>
    <row r="793" customFormat="false" ht="15" hidden="false" customHeight="false" outlineLevel="0" collapsed="false">
      <c r="A793" s="49" t="s">
        <v>139</v>
      </c>
      <c r="B793" s="29" t="s">
        <v>450</v>
      </c>
      <c r="C793" s="49" t="s">
        <v>331</v>
      </c>
      <c r="D793" s="50" t="n">
        <v>565.01</v>
      </c>
      <c r="E793" s="51" t="n">
        <f aca="false">'Analisa Harga Satuan'!$F$616</f>
        <v>226710</v>
      </c>
      <c r="F793" s="52" t="n">
        <f aca="false">ROUND(D793*E793,0)</f>
        <v>128093417</v>
      </c>
      <c r="G793" s="49" t="s">
        <v>451</v>
      </c>
      <c r="H793" s="53" t="s">
        <v>305</v>
      </c>
    </row>
    <row r="794" customFormat="false" ht="15" hidden="false" customHeight="false" outlineLevel="0" collapsed="false">
      <c r="A794" s="49" t="s">
        <v>141</v>
      </c>
      <c r="B794" s="29" t="s">
        <v>1043</v>
      </c>
      <c r="C794" s="49" t="s">
        <v>303</v>
      </c>
      <c r="D794" s="50" t="n">
        <v>6.66</v>
      </c>
      <c r="E794" s="51" t="n">
        <f aca="false">'Analisa Harga Satuan'!$F$250</f>
        <v>1605610</v>
      </c>
      <c r="F794" s="52" t="n">
        <f aca="false">ROUND(D794*E794,0)</f>
        <v>10693363</v>
      </c>
      <c r="G794" s="49" t="s">
        <v>362</v>
      </c>
      <c r="H794" s="53" t="s">
        <v>305</v>
      </c>
    </row>
    <row r="795" customFormat="false" ht="15" hidden="false" customHeight="false" outlineLevel="0" collapsed="false">
      <c r="A795" s="60" t="s">
        <v>1044</v>
      </c>
      <c r="B795" s="61" t="s">
        <v>453</v>
      </c>
    </row>
    <row r="796" customFormat="false" ht="15" hidden="false" customHeight="false" outlineLevel="0" collapsed="false">
      <c r="B796" s="54" t="s">
        <v>394</v>
      </c>
    </row>
    <row r="797" customFormat="false" ht="15" hidden="false" customHeight="false" outlineLevel="0" collapsed="false">
      <c r="A797" s="49" t="s">
        <v>139</v>
      </c>
      <c r="B797" s="29" t="s">
        <v>1045</v>
      </c>
      <c r="C797" s="49" t="s">
        <v>183</v>
      </c>
      <c r="D797" s="50" t="n">
        <v>2</v>
      </c>
      <c r="E797" s="51" t="n">
        <f aca="false">'Analisa Harga Satuan'!$H$1041</f>
        <v>10098000</v>
      </c>
      <c r="F797" s="52" t="n">
        <f aca="false">ROUND(D797*E797,0)</f>
        <v>20196000</v>
      </c>
      <c r="G797" s="49" t="s">
        <v>1046</v>
      </c>
      <c r="H797" s="53" t="s">
        <v>189</v>
      </c>
    </row>
    <row r="798" customFormat="false" ht="15" hidden="false" customHeight="false" outlineLevel="0" collapsed="false">
      <c r="A798" s="49" t="s">
        <v>141</v>
      </c>
      <c r="B798" s="29" t="s">
        <v>1047</v>
      </c>
      <c r="C798" s="49" t="s">
        <v>183</v>
      </c>
      <c r="D798" s="50" t="n">
        <v>3</v>
      </c>
      <c r="E798" s="51" t="n">
        <f aca="false">'Analisa Harga Satuan'!$H$1042</f>
        <v>5049000</v>
      </c>
      <c r="F798" s="52" t="n">
        <f aca="false">ROUND(D798*E798,0)</f>
        <v>15147000</v>
      </c>
      <c r="G798" s="49" t="s">
        <v>1048</v>
      </c>
      <c r="H798" s="53" t="s">
        <v>189</v>
      </c>
    </row>
    <row r="799" customFormat="false" ht="15" hidden="false" customHeight="false" outlineLevel="0" collapsed="false">
      <c r="A799" s="49" t="s">
        <v>143</v>
      </c>
      <c r="B799" s="29" t="s">
        <v>1049</v>
      </c>
      <c r="C799" s="49" t="s">
        <v>183</v>
      </c>
      <c r="D799" s="50" t="n">
        <v>7</v>
      </c>
      <c r="E799" s="51" t="n">
        <f aca="false">'Analisa Harga Satuan'!$H$1043</f>
        <v>2791800</v>
      </c>
      <c r="F799" s="52" t="n">
        <f aca="false">ROUND(D799*E799,0)</f>
        <v>19542600</v>
      </c>
      <c r="G799" s="49" t="s">
        <v>1050</v>
      </c>
      <c r="H799" s="53" t="s">
        <v>189</v>
      </c>
    </row>
    <row r="800" customFormat="false" ht="15" hidden="false" customHeight="false" outlineLevel="0" collapsed="false">
      <c r="A800" s="49" t="s">
        <v>145</v>
      </c>
      <c r="B800" s="29" t="s">
        <v>1051</v>
      </c>
      <c r="C800" s="49" t="s">
        <v>183</v>
      </c>
      <c r="D800" s="50" t="n">
        <v>1</v>
      </c>
      <c r="E800" s="51" t="n">
        <f aca="false">'Analisa Harga Satuan'!$H$1044</f>
        <v>3682800</v>
      </c>
      <c r="F800" s="52" t="n">
        <f aca="false">ROUND(D800*E800,0)</f>
        <v>3682800</v>
      </c>
      <c r="G800" s="49" t="s">
        <v>1052</v>
      </c>
      <c r="H800" s="53" t="s">
        <v>189</v>
      </c>
    </row>
    <row r="801" customFormat="false" ht="15" hidden="false" customHeight="false" outlineLevel="0" collapsed="false">
      <c r="A801" s="49" t="s">
        <v>147</v>
      </c>
      <c r="B801" s="29" t="s">
        <v>470</v>
      </c>
      <c r="C801" s="49" t="s">
        <v>183</v>
      </c>
      <c r="D801" s="50" t="n">
        <v>6</v>
      </c>
      <c r="E801" s="51" t="n">
        <f aca="false">'Analisa Harga Satuan'!$H$860</f>
        <v>3326400</v>
      </c>
      <c r="F801" s="52" t="n">
        <f aca="false">ROUND(D801*E801,0)</f>
        <v>19958400</v>
      </c>
      <c r="G801" s="49" t="s">
        <v>471</v>
      </c>
      <c r="H801" s="53" t="s">
        <v>189</v>
      </c>
    </row>
    <row r="802" customFormat="false" ht="15" hidden="false" customHeight="false" outlineLevel="0" collapsed="false">
      <c r="A802" s="49" t="s">
        <v>149</v>
      </c>
      <c r="B802" s="29" t="s">
        <v>1053</v>
      </c>
      <c r="C802" s="49" t="s">
        <v>183</v>
      </c>
      <c r="D802" s="50" t="n">
        <v>4</v>
      </c>
      <c r="E802" s="51" t="n">
        <f aca="false">'Analisa Harga Satuan'!$H$1045</f>
        <v>3801600</v>
      </c>
      <c r="F802" s="52" t="n">
        <f aca="false">ROUND(D802*E802,0)</f>
        <v>15206400</v>
      </c>
      <c r="G802" s="49" t="s">
        <v>1054</v>
      </c>
      <c r="H802" s="53" t="s">
        <v>189</v>
      </c>
    </row>
    <row r="803" customFormat="false" ht="15" hidden="false" customHeight="false" outlineLevel="0" collapsed="false">
      <c r="A803" s="49" t="s">
        <v>151</v>
      </c>
      <c r="B803" s="29" t="s">
        <v>1055</v>
      </c>
      <c r="C803" s="49" t="s">
        <v>183</v>
      </c>
      <c r="D803" s="50" t="n">
        <v>6</v>
      </c>
      <c r="E803" s="51" t="n">
        <f aca="false">'Analisa Harga Satuan'!$H$1046</f>
        <v>3088800</v>
      </c>
      <c r="F803" s="52" t="n">
        <f aca="false">ROUND(D803*E803,0)</f>
        <v>18532800</v>
      </c>
      <c r="G803" s="49" t="s">
        <v>1056</v>
      </c>
      <c r="H803" s="53" t="s">
        <v>189</v>
      </c>
    </row>
    <row r="804" customFormat="false" ht="15" hidden="false" customHeight="false" outlineLevel="0" collapsed="false">
      <c r="A804" s="49" t="s">
        <v>423</v>
      </c>
      <c r="B804" s="29" t="s">
        <v>1057</v>
      </c>
      <c r="C804" s="49" t="s">
        <v>183</v>
      </c>
      <c r="D804" s="50" t="n">
        <v>2</v>
      </c>
      <c r="E804" s="51" t="n">
        <f aca="false">'Analisa Harga Satuan'!$H$1047</f>
        <v>2138400</v>
      </c>
      <c r="F804" s="52" t="n">
        <f aca="false">ROUND(D804*E804,0)</f>
        <v>4276800</v>
      </c>
      <c r="G804" s="49" t="s">
        <v>1058</v>
      </c>
      <c r="H804" s="53" t="s">
        <v>189</v>
      </c>
    </row>
    <row r="805" customFormat="false" ht="15" hidden="false" customHeight="false" outlineLevel="0" collapsed="false">
      <c r="A805" s="49" t="s">
        <v>208</v>
      </c>
      <c r="B805" s="29" t="s">
        <v>1059</v>
      </c>
      <c r="C805" s="49" t="s">
        <v>183</v>
      </c>
      <c r="D805" s="50" t="n">
        <v>16</v>
      </c>
      <c r="E805" s="51" t="n">
        <f aca="false">'Analisa Harga Satuan'!$H$1048</f>
        <v>1485000</v>
      </c>
      <c r="F805" s="52" t="n">
        <f aca="false">ROUND(D805*E805,0)</f>
        <v>23760000</v>
      </c>
      <c r="G805" s="49" t="s">
        <v>1060</v>
      </c>
      <c r="H805" s="53" t="s">
        <v>189</v>
      </c>
    </row>
    <row r="806" customFormat="false" ht="15" hidden="false" customHeight="false" outlineLevel="0" collapsed="false">
      <c r="A806" s="49" t="s">
        <v>217</v>
      </c>
      <c r="B806" s="29" t="s">
        <v>1061</v>
      </c>
      <c r="C806" s="49" t="s">
        <v>183</v>
      </c>
      <c r="D806" s="50" t="n">
        <v>2</v>
      </c>
      <c r="E806" s="51" t="n">
        <f aca="false">'Analisa Harga Satuan'!$H$1048</f>
        <v>1485000</v>
      </c>
      <c r="F806" s="52" t="n">
        <f aca="false">ROUND(D806*E806,0)</f>
        <v>2970000</v>
      </c>
      <c r="G806" s="49" t="s">
        <v>1060</v>
      </c>
      <c r="H806" s="53" t="s">
        <v>189</v>
      </c>
    </row>
    <row r="807" customFormat="false" ht="15" hidden="false" customHeight="false" outlineLevel="0" collapsed="false">
      <c r="A807" s="49" t="s">
        <v>221</v>
      </c>
      <c r="B807" s="29" t="s">
        <v>472</v>
      </c>
      <c r="C807" s="49" t="s">
        <v>183</v>
      </c>
      <c r="D807" s="50" t="n">
        <v>4</v>
      </c>
      <c r="E807" s="51" t="n">
        <f aca="false">'Analisa Harga Satuan'!$H$861</f>
        <v>1009800</v>
      </c>
      <c r="F807" s="52" t="n">
        <f aca="false">ROUND(D807*E807,0)</f>
        <v>4039200</v>
      </c>
      <c r="G807" s="49" t="s">
        <v>473</v>
      </c>
      <c r="H807" s="53" t="s">
        <v>189</v>
      </c>
    </row>
    <row r="808" customFormat="false" ht="15" hidden="false" customHeight="false" outlineLevel="0" collapsed="false">
      <c r="A808" s="49" t="s">
        <v>689</v>
      </c>
      <c r="B808" s="29" t="s">
        <v>1062</v>
      </c>
      <c r="C808" s="49" t="s">
        <v>367</v>
      </c>
      <c r="D808" s="50" t="n">
        <v>17.6</v>
      </c>
      <c r="E808" s="51" t="n">
        <f aca="false">'Analisa Harga Satuan'!$H$1049</f>
        <v>948750</v>
      </c>
      <c r="F808" s="52" t="n">
        <f aca="false">ROUND(D808*E808,0)</f>
        <v>16698000</v>
      </c>
      <c r="G808" s="49" t="s">
        <v>1063</v>
      </c>
      <c r="H808" s="53" t="s">
        <v>181</v>
      </c>
    </row>
    <row r="809" customFormat="false" ht="15" hidden="false" customHeight="false" outlineLevel="0" collapsed="false">
      <c r="A809" s="60" t="s">
        <v>1064</v>
      </c>
      <c r="B809" s="61" t="s">
        <v>479</v>
      </c>
    </row>
    <row r="810" customFormat="false" ht="15" hidden="false" customHeight="false" outlineLevel="0" collapsed="false">
      <c r="A810" s="60" t="s">
        <v>78</v>
      </c>
      <c r="B810" s="61" t="s">
        <v>480</v>
      </c>
    </row>
    <row r="811" customFormat="false" ht="15" hidden="false" customHeight="false" outlineLevel="0" collapsed="false">
      <c r="B811" s="54" t="s">
        <v>394</v>
      </c>
    </row>
    <row r="812" customFormat="false" ht="15" hidden="false" customHeight="false" outlineLevel="0" collapsed="false">
      <c r="A812" s="49" t="s">
        <v>139</v>
      </c>
      <c r="B812" s="29" t="s">
        <v>481</v>
      </c>
      <c r="C812" s="49" t="s">
        <v>331</v>
      </c>
      <c r="D812" s="50" t="n">
        <v>224.37</v>
      </c>
      <c r="E812" s="51" t="n">
        <f aca="false">'Analisa Harga Satuan'!$F$631</f>
        <v>113025</v>
      </c>
      <c r="F812" s="52" t="n">
        <f aca="false">ROUND(D812*E812,0)</f>
        <v>25359419</v>
      </c>
      <c r="G812" s="49" t="s">
        <v>482</v>
      </c>
      <c r="H812" s="53" t="s">
        <v>305</v>
      </c>
    </row>
    <row r="813" customFormat="false" ht="15" hidden="false" customHeight="false" outlineLevel="0" collapsed="false">
      <c r="A813" s="49" t="s">
        <v>141</v>
      </c>
      <c r="B813" s="29" t="s">
        <v>483</v>
      </c>
      <c r="C813" s="49" t="s">
        <v>331</v>
      </c>
      <c r="D813" s="50" t="n">
        <v>182.8</v>
      </c>
      <c r="E813" s="51" t="n">
        <f aca="false">'Analisa Harga Satuan'!$F$647</f>
        <v>99605</v>
      </c>
      <c r="F813" s="52" t="n">
        <f aca="false">ROUND(D813*E813,0)</f>
        <v>18207794</v>
      </c>
      <c r="G813" s="49" t="s">
        <v>484</v>
      </c>
      <c r="H813" s="53" t="s">
        <v>305</v>
      </c>
    </row>
    <row r="814" customFormat="false" ht="15" hidden="false" customHeight="false" outlineLevel="0" collapsed="false">
      <c r="A814" s="49" t="s">
        <v>143</v>
      </c>
      <c r="B814" s="29" t="s">
        <v>485</v>
      </c>
      <c r="C814" s="49" t="s">
        <v>331</v>
      </c>
      <c r="D814" s="50" t="n">
        <v>41.58</v>
      </c>
      <c r="E814" s="51" t="n">
        <f aca="false">'Analisa Harga Satuan'!$F$663</f>
        <v>157850</v>
      </c>
      <c r="F814" s="52" t="n">
        <f aca="false">ROUND(D814*E814,0)</f>
        <v>6563403</v>
      </c>
      <c r="G814" s="49" t="s">
        <v>486</v>
      </c>
      <c r="H814" s="53" t="s">
        <v>305</v>
      </c>
    </row>
    <row r="815" customFormat="false" ht="15" hidden="false" customHeight="false" outlineLevel="0" collapsed="false">
      <c r="A815" s="49" t="s">
        <v>145</v>
      </c>
      <c r="B815" s="29" t="s">
        <v>1065</v>
      </c>
      <c r="C815" s="49" t="s">
        <v>206</v>
      </c>
      <c r="D815" s="50" t="n">
        <v>2</v>
      </c>
      <c r="E815" s="51" t="n">
        <f aca="false">'Analisa Harga Satuan'!$H$1050</f>
        <v>2238500</v>
      </c>
      <c r="F815" s="52" t="n">
        <f aca="false">ROUND(D815*E815,0)</f>
        <v>4477000</v>
      </c>
      <c r="G815" s="49" t="s">
        <v>1066</v>
      </c>
      <c r="H815" s="53" t="s">
        <v>181</v>
      </c>
    </row>
    <row r="816" customFormat="false" ht="15" hidden="false" customHeight="false" outlineLevel="0" collapsed="false">
      <c r="A816" s="60" t="s">
        <v>93</v>
      </c>
      <c r="B816" s="61" t="s">
        <v>488</v>
      </c>
    </row>
    <row r="817" customFormat="false" ht="15" hidden="false" customHeight="false" outlineLevel="0" collapsed="false">
      <c r="A817" s="49" t="s">
        <v>139</v>
      </c>
      <c r="B817" s="29" t="s">
        <v>489</v>
      </c>
      <c r="C817" s="49" t="s">
        <v>331</v>
      </c>
      <c r="D817" s="50" t="n">
        <v>37.05</v>
      </c>
      <c r="E817" s="51" t="n">
        <f aca="false">'Analisa Harga Satuan'!$F$678</f>
        <v>78914</v>
      </c>
      <c r="F817" s="52" t="n">
        <f aca="false">ROUND(D817*E817,0)</f>
        <v>2923764</v>
      </c>
      <c r="G817" s="49" t="s">
        <v>490</v>
      </c>
      <c r="H817" s="53" t="s">
        <v>305</v>
      </c>
    </row>
    <row r="818" customFormat="false" ht="15" hidden="false" customHeight="false" outlineLevel="0" collapsed="false">
      <c r="A818" s="49" t="s">
        <v>141</v>
      </c>
      <c r="B818" s="29" t="s">
        <v>491</v>
      </c>
      <c r="C818" s="49" t="s">
        <v>331</v>
      </c>
      <c r="D818" s="50" t="n">
        <v>37.05</v>
      </c>
      <c r="E818" s="51" t="n">
        <f aca="false">'Analisa Harga Satuan'!$F$693</f>
        <v>187220</v>
      </c>
      <c r="F818" s="52" t="n">
        <f aca="false">ROUND(D818*E818,0)</f>
        <v>6936501</v>
      </c>
      <c r="G818" s="49" t="s">
        <v>492</v>
      </c>
      <c r="H818" s="53" t="s">
        <v>305</v>
      </c>
    </row>
    <row r="819" customFormat="false" ht="15" hidden="false" customHeight="false" outlineLevel="0" collapsed="false">
      <c r="A819" s="49" t="s">
        <v>143</v>
      </c>
      <c r="B819" s="29" t="s">
        <v>1067</v>
      </c>
      <c r="C819" s="49" t="s">
        <v>331</v>
      </c>
      <c r="D819" s="50" t="n">
        <v>604.23</v>
      </c>
      <c r="E819" s="51" t="n">
        <f aca="false">'Analisa Harga Satuan'!$H$1051</f>
        <v>254375</v>
      </c>
      <c r="F819" s="52" t="n">
        <f aca="false">ROUND(D819*E819,0)</f>
        <v>153701006</v>
      </c>
      <c r="G819" s="49" t="s">
        <v>1068</v>
      </c>
      <c r="H819" s="53" t="s">
        <v>181</v>
      </c>
    </row>
    <row r="820" customFormat="false" ht="15" hidden="false" customHeight="false" outlineLevel="0" collapsed="false">
      <c r="A820" s="49" t="s">
        <v>145</v>
      </c>
      <c r="B820" s="29" t="s">
        <v>1069</v>
      </c>
      <c r="C820" s="49" t="s">
        <v>331</v>
      </c>
      <c r="D820" s="50" t="n">
        <v>604.23</v>
      </c>
      <c r="E820" s="51" t="n">
        <f aca="false">'Analisa Harga Satuan'!$H$1052</f>
        <v>112200</v>
      </c>
      <c r="F820" s="52" t="n">
        <f aca="false">ROUND(D820*E820,0)</f>
        <v>67794606</v>
      </c>
      <c r="G820" s="49" t="s">
        <v>1070</v>
      </c>
      <c r="H820" s="53" t="s">
        <v>181</v>
      </c>
    </row>
    <row r="821" customFormat="false" ht="15" hidden="false" customHeight="false" outlineLevel="0" collapsed="false">
      <c r="A821" s="49" t="s">
        <v>147</v>
      </c>
      <c r="B821" s="29" t="s">
        <v>1071</v>
      </c>
      <c r="C821" s="49" t="s">
        <v>367</v>
      </c>
      <c r="D821" s="50" t="n">
        <v>36.12</v>
      </c>
      <c r="E821" s="51" t="n">
        <f aca="false">'Analisa Harga Satuan'!$H$1053</f>
        <v>226875</v>
      </c>
      <c r="F821" s="52" t="n">
        <f aca="false">ROUND(D821*E821,0)</f>
        <v>8194725</v>
      </c>
      <c r="G821" s="49" t="s">
        <v>1072</v>
      </c>
      <c r="H821" s="53" t="s">
        <v>181</v>
      </c>
    </row>
    <row r="822" customFormat="false" ht="15" hidden="false" customHeight="false" outlineLevel="0" collapsed="false">
      <c r="A822" s="49" t="s">
        <v>149</v>
      </c>
      <c r="B822" s="29" t="s">
        <v>1073</v>
      </c>
      <c r="C822" s="49" t="s">
        <v>331</v>
      </c>
      <c r="D822" s="50" t="n">
        <v>205.21</v>
      </c>
      <c r="E822" s="51" t="n">
        <f aca="false">'Analisa Harga Satuan'!$H$1054</f>
        <v>474375</v>
      </c>
      <c r="F822" s="52" t="n">
        <f aca="false">ROUND(D822*E822,0)</f>
        <v>97346494</v>
      </c>
      <c r="G822" s="49" t="s">
        <v>1074</v>
      </c>
      <c r="H822" s="53" t="s">
        <v>181</v>
      </c>
    </row>
    <row r="823" customFormat="false" ht="15" hidden="false" customHeight="false" outlineLevel="0" collapsed="false">
      <c r="A823" s="60" t="s">
        <v>1075</v>
      </c>
      <c r="B823" s="61" t="s">
        <v>500</v>
      </c>
    </row>
    <row r="824" customFormat="false" ht="15" hidden="false" customHeight="false" outlineLevel="0" collapsed="false">
      <c r="A824" s="49" t="s">
        <v>139</v>
      </c>
      <c r="B824" s="29" t="s">
        <v>501</v>
      </c>
      <c r="C824" s="49" t="s">
        <v>331</v>
      </c>
      <c r="D824" s="50" t="n">
        <v>1242.48</v>
      </c>
      <c r="E824" s="51" t="n">
        <f aca="false">'Analisa Harga Satuan'!$F$711</f>
        <v>38744</v>
      </c>
      <c r="F824" s="52" t="n">
        <f aca="false">ROUND(D824*E824,0)</f>
        <v>48138645</v>
      </c>
      <c r="G824" s="49" t="s">
        <v>502</v>
      </c>
      <c r="H824" s="53" t="s">
        <v>305</v>
      </c>
    </row>
    <row r="825" customFormat="false" ht="15" hidden="false" customHeight="false" outlineLevel="0" collapsed="false">
      <c r="A825" s="49" t="s">
        <v>141</v>
      </c>
      <c r="B825" s="29" t="s">
        <v>503</v>
      </c>
      <c r="C825" s="49" t="s">
        <v>331</v>
      </c>
      <c r="D825" s="50" t="n">
        <v>212.12</v>
      </c>
      <c r="E825" s="51" t="n">
        <f aca="false">'Analisa Harga Satuan'!$F$729</f>
        <v>47896</v>
      </c>
      <c r="F825" s="52" t="n">
        <f aca="false">ROUND(D825*E825,0)</f>
        <v>10159700</v>
      </c>
      <c r="G825" s="49" t="s">
        <v>504</v>
      </c>
      <c r="H825" s="53" t="s">
        <v>305</v>
      </c>
    </row>
    <row r="826" customFormat="false" ht="15" hidden="false" customHeight="false" outlineLevel="0" collapsed="false">
      <c r="A826" s="49" t="s">
        <v>143</v>
      </c>
      <c r="B826" s="29" t="s">
        <v>505</v>
      </c>
      <c r="C826" s="49" t="s">
        <v>331</v>
      </c>
      <c r="D826" s="50" t="n">
        <v>224.37</v>
      </c>
      <c r="E826" s="51" t="n">
        <f aca="false">'Analisa Harga Satuan'!$F$746</f>
        <v>28932</v>
      </c>
      <c r="F826" s="52" t="n">
        <f aca="false">ROUND(D826*E826,0)</f>
        <v>6491473</v>
      </c>
      <c r="G826" s="49" t="s">
        <v>506</v>
      </c>
      <c r="H826" s="53" t="s">
        <v>305</v>
      </c>
    </row>
    <row r="827" customFormat="false" ht="15" hidden="false" customHeight="false" outlineLevel="0" collapsed="false">
      <c r="A827" s="60" t="s">
        <v>1076</v>
      </c>
      <c r="B827" s="61" t="s">
        <v>508</v>
      </c>
    </row>
    <row r="828" customFormat="false" ht="15" hidden="false" customHeight="false" outlineLevel="0" collapsed="false">
      <c r="A828" s="49" t="s">
        <v>139</v>
      </c>
      <c r="B828" s="29" t="s">
        <v>1077</v>
      </c>
      <c r="C828" s="49" t="s">
        <v>331</v>
      </c>
      <c r="D828" s="50" t="n">
        <v>21.83</v>
      </c>
      <c r="E828" s="51" t="n">
        <f aca="false">'Analisa Harga Satuan'!$F$383</f>
        <v>247478</v>
      </c>
      <c r="F828" s="52" t="n">
        <f aca="false">ROUND(D828*E828,0)</f>
        <v>5402445</v>
      </c>
      <c r="G828" s="49" t="s">
        <v>510</v>
      </c>
      <c r="H828" s="53" t="s">
        <v>305</v>
      </c>
    </row>
    <row r="829" customFormat="false" ht="15" hidden="false" customHeight="false" outlineLevel="0" collapsed="false">
      <c r="A829" s="49" t="s">
        <v>141</v>
      </c>
      <c r="B829" s="29" t="s">
        <v>1078</v>
      </c>
      <c r="C829" s="49" t="s">
        <v>331</v>
      </c>
      <c r="D829" s="50" t="n">
        <v>270.32</v>
      </c>
      <c r="E829" s="51" t="n">
        <f aca="false">'Analisa Harga Satuan'!$F$383</f>
        <v>247478</v>
      </c>
      <c r="F829" s="52" t="n">
        <f aca="false">ROUND(D829*E829,0)</f>
        <v>66898253</v>
      </c>
      <c r="G829" s="49" t="s">
        <v>510</v>
      </c>
      <c r="H829" s="53" t="s">
        <v>305</v>
      </c>
    </row>
    <row r="830" customFormat="false" ht="15" hidden="false" customHeight="false" outlineLevel="0" collapsed="false">
      <c r="A830" s="49" t="s">
        <v>143</v>
      </c>
      <c r="B830" s="29" t="s">
        <v>511</v>
      </c>
      <c r="C830" s="49" t="s">
        <v>331</v>
      </c>
      <c r="D830" s="50" t="n">
        <v>413.04</v>
      </c>
      <c r="E830" s="51" t="n">
        <f aca="false">'Analisa Harga Satuan'!$F$432</f>
        <v>103703</v>
      </c>
      <c r="F830" s="52" t="n">
        <f aca="false">ROUND(D830*E830,0)</f>
        <v>42833487</v>
      </c>
      <c r="G830" s="49" t="s">
        <v>399</v>
      </c>
      <c r="H830" s="53" t="s">
        <v>305</v>
      </c>
    </row>
    <row r="831" customFormat="false" ht="15" hidden="false" customHeight="false" outlineLevel="0" collapsed="false">
      <c r="A831" s="49" t="s">
        <v>145</v>
      </c>
      <c r="B831" s="29" t="s">
        <v>512</v>
      </c>
      <c r="C831" s="49" t="s">
        <v>331</v>
      </c>
      <c r="D831" s="50" t="n">
        <v>413.04</v>
      </c>
      <c r="E831" s="51" t="n">
        <f aca="false">'Analisa Harga Satuan'!$F$479</f>
        <v>58982</v>
      </c>
      <c r="F831" s="52" t="n">
        <f aca="false">ROUND(D831*E831,0)</f>
        <v>24361925</v>
      </c>
      <c r="G831" s="49" t="s">
        <v>403</v>
      </c>
      <c r="H831" s="53" t="s">
        <v>305</v>
      </c>
    </row>
    <row r="832" customFormat="false" ht="15" hidden="false" customHeight="false" outlineLevel="0" collapsed="false">
      <c r="A832" s="49" t="s">
        <v>147</v>
      </c>
      <c r="B832" s="29" t="s">
        <v>513</v>
      </c>
      <c r="C832" s="49" t="s">
        <v>206</v>
      </c>
      <c r="D832" s="50" t="n">
        <v>4</v>
      </c>
      <c r="E832" s="51" t="n">
        <f aca="false">'Analisa Harga Satuan'!$H$867</f>
        <v>1518000</v>
      </c>
      <c r="F832" s="52" t="n">
        <f aca="false">ROUND(D832*E832,0)</f>
        <v>6072000</v>
      </c>
      <c r="G832" s="49" t="s">
        <v>514</v>
      </c>
      <c r="H832" s="53" t="s">
        <v>181</v>
      </c>
    </row>
    <row r="833" customFormat="false" ht="15" hidden="false" customHeight="false" outlineLevel="0" collapsed="false">
      <c r="A833" s="49" t="s">
        <v>149</v>
      </c>
      <c r="B833" s="29" t="s">
        <v>310</v>
      </c>
      <c r="C833" s="49" t="s">
        <v>331</v>
      </c>
      <c r="D833" s="50" t="n">
        <v>11.36</v>
      </c>
      <c r="E833" s="51" t="n">
        <f aca="false">'Analisa Harga Satuan'!$F$798</f>
        <v>23568</v>
      </c>
      <c r="F833" s="52" t="n">
        <f aca="false">ROUND(D833*E833,0)</f>
        <v>267732</v>
      </c>
      <c r="G833" s="49" t="s">
        <v>515</v>
      </c>
      <c r="H833" s="53" t="s">
        <v>305</v>
      </c>
    </row>
    <row r="834" customFormat="false" ht="15" hidden="false" customHeight="false" outlineLevel="0" collapsed="false">
      <c r="A834" s="49" t="s">
        <v>151</v>
      </c>
      <c r="B834" s="29" t="s">
        <v>1079</v>
      </c>
      <c r="C834" s="49" t="s">
        <v>303</v>
      </c>
      <c r="D834" s="50" t="n">
        <v>13.39</v>
      </c>
      <c r="E834" s="51" t="n">
        <f aca="false">'Analisa Harga Satuan'!$F$228</f>
        <v>1386820</v>
      </c>
      <c r="F834" s="52" t="n">
        <f aca="false">ROUND(D834*E834,0)</f>
        <v>18569520</v>
      </c>
      <c r="G834" s="49" t="s">
        <v>324</v>
      </c>
      <c r="H834" s="53" t="s">
        <v>305</v>
      </c>
    </row>
    <row r="835" customFormat="false" ht="15" hidden="false" customHeight="false" outlineLevel="0" collapsed="false">
      <c r="A835" s="49" t="s">
        <v>423</v>
      </c>
      <c r="B835" s="29" t="s">
        <v>1080</v>
      </c>
      <c r="C835" s="49" t="s">
        <v>303</v>
      </c>
      <c r="D835" s="50" t="n">
        <v>1.77</v>
      </c>
      <c r="E835" s="51" t="n">
        <f aca="false">'Analisa Harga Satuan'!$F$228</f>
        <v>1386820</v>
      </c>
      <c r="F835" s="52" t="n">
        <f aca="false">ROUND(D835*E835,0)</f>
        <v>2454671</v>
      </c>
      <c r="G835" s="49" t="s">
        <v>324</v>
      </c>
      <c r="H835" s="53" t="s">
        <v>305</v>
      </c>
    </row>
    <row r="836" customFormat="false" ht="15" hidden="false" customHeight="false" outlineLevel="0" collapsed="false">
      <c r="A836" s="49" t="s">
        <v>208</v>
      </c>
      <c r="B836" s="29" t="s">
        <v>366</v>
      </c>
      <c r="C836" s="49" t="s">
        <v>367</v>
      </c>
      <c r="D836" s="50" t="n">
        <v>78.57</v>
      </c>
      <c r="E836" s="51" t="n">
        <f aca="false">'Analisa Harga Satuan'!$F$355</f>
        <v>246954</v>
      </c>
      <c r="F836" s="52" t="n">
        <f aca="false">ROUND(D836*E836,0)</f>
        <v>19403176</v>
      </c>
      <c r="G836" s="49" t="s">
        <v>368</v>
      </c>
      <c r="H836" s="53" t="s">
        <v>305</v>
      </c>
    </row>
    <row r="837" customFormat="false" ht="25.5" hidden="false" customHeight="true" outlineLevel="0" collapsed="false">
      <c r="A837" s="49" t="s">
        <v>217</v>
      </c>
      <c r="B837" s="29" t="s">
        <v>369</v>
      </c>
      <c r="C837" s="49" t="s">
        <v>367</v>
      </c>
      <c r="D837" s="50" t="n">
        <v>235.72</v>
      </c>
      <c r="E837" s="51" t="n">
        <f aca="false">'Analisa Harga Satuan'!$F$366</f>
        <v>238292</v>
      </c>
      <c r="F837" s="52" t="n">
        <f aca="false">ROUND(D837*E837,0)</f>
        <v>56170190</v>
      </c>
      <c r="G837" s="49" t="s">
        <v>370</v>
      </c>
      <c r="H837" s="53" t="s">
        <v>305</v>
      </c>
    </row>
    <row r="838" customFormat="false" ht="15" hidden="false" customHeight="false" outlineLevel="0" collapsed="false">
      <c r="A838" s="55"/>
      <c r="B838" s="56" t="s">
        <v>1081</v>
      </c>
      <c r="C838" s="55"/>
      <c r="D838" s="55"/>
      <c r="E838" s="55"/>
      <c r="F838" s="27" t="n">
        <f aca="false">SUM(F768:F837)</f>
        <v>2669851369</v>
      </c>
      <c r="G838" s="55"/>
      <c r="H838" s="55"/>
    </row>
    <row r="839" customFormat="false" ht="15" hidden="false" customHeight="false" outlineLevel="0" collapsed="false">
      <c r="A839" s="46" t="s">
        <v>86</v>
      </c>
      <c r="B839" s="47" t="s">
        <v>98</v>
      </c>
      <c r="C839" s="48"/>
      <c r="D839" s="48"/>
      <c r="E839" s="48"/>
      <c r="F839" s="48"/>
      <c r="G839" s="48"/>
      <c r="H839" s="48"/>
    </row>
    <row r="840" customFormat="false" ht="15" hidden="false" customHeight="false" outlineLevel="0" collapsed="false">
      <c r="A840" s="60" t="s">
        <v>78</v>
      </c>
      <c r="B840" s="61" t="s">
        <v>518</v>
      </c>
    </row>
    <row r="841" customFormat="false" ht="15" hidden="false" customHeight="false" outlineLevel="0" collapsed="false">
      <c r="A841" s="49" t="s">
        <v>139</v>
      </c>
      <c r="B841" s="29" t="s">
        <v>519</v>
      </c>
      <c r="C841" s="49" t="s">
        <v>520</v>
      </c>
      <c r="D841" s="50" t="n">
        <v>4</v>
      </c>
      <c r="E841" s="51" t="n">
        <f aca="false">'Analisa Harga Satuan'!$H$868</f>
        <v>715000</v>
      </c>
      <c r="F841" s="52" t="n">
        <f aca="false">ROUND(D841*E841,0)</f>
        <v>2860000</v>
      </c>
      <c r="G841" s="49" t="s">
        <v>521</v>
      </c>
      <c r="H841" s="53" t="s">
        <v>181</v>
      </c>
    </row>
    <row r="842" customFormat="false" ht="15" hidden="false" customHeight="false" outlineLevel="0" collapsed="false">
      <c r="A842" s="60" t="s">
        <v>93</v>
      </c>
      <c r="B842" s="61" t="s">
        <v>524</v>
      </c>
    </row>
    <row r="843" customFormat="false" ht="25.5" hidden="false" customHeight="true" outlineLevel="0" collapsed="false">
      <c r="B843" s="54" t="s">
        <v>1082</v>
      </c>
    </row>
    <row r="844" customFormat="false" ht="15" hidden="false" customHeight="false" outlineLevel="0" collapsed="false">
      <c r="B844" s="54" t="s">
        <v>1083</v>
      </c>
    </row>
    <row r="845" customFormat="false" ht="15" hidden="false" customHeight="false" outlineLevel="0" collapsed="false">
      <c r="A845" s="49" t="s">
        <v>139</v>
      </c>
      <c r="B845" s="29" t="s">
        <v>1084</v>
      </c>
      <c r="C845" s="49" t="s">
        <v>520</v>
      </c>
      <c r="D845" s="50" t="n">
        <v>5</v>
      </c>
      <c r="E845" s="51" t="n">
        <f aca="false">'Analisa Harga Satuan'!$H$1055</f>
        <v>12650000</v>
      </c>
      <c r="F845" s="52" t="n">
        <f aca="false">ROUND(D845*E845,0)</f>
        <v>63250000</v>
      </c>
      <c r="G845" s="49" t="s">
        <v>1085</v>
      </c>
      <c r="H845" s="53" t="s">
        <v>181</v>
      </c>
    </row>
    <row r="846" customFormat="false" ht="25.5" hidden="false" customHeight="true" outlineLevel="0" collapsed="false">
      <c r="A846" s="49" t="s">
        <v>141</v>
      </c>
      <c r="B846" s="29" t="s">
        <v>1086</v>
      </c>
      <c r="C846" s="49" t="s">
        <v>431</v>
      </c>
      <c r="D846" s="50" t="n">
        <v>25</v>
      </c>
      <c r="E846" s="51" t="n">
        <f aca="false">'Analisa Harga Satuan'!$H$1056</f>
        <v>313500</v>
      </c>
      <c r="F846" s="52" t="n">
        <f aca="false">ROUND(D846*E846,0)</f>
        <v>7837500</v>
      </c>
      <c r="G846" s="49" t="s">
        <v>1087</v>
      </c>
      <c r="H846" s="53" t="s">
        <v>181</v>
      </c>
    </row>
    <row r="847" customFormat="false" ht="25.5" hidden="false" customHeight="true" outlineLevel="0" collapsed="false">
      <c r="A847" s="49" t="s">
        <v>143</v>
      </c>
      <c r="B847" s="29" t="s">
        <v>1088</v>
      </c>
      <c r="C847" s="49" t="s">
        <v>431</v>
      </c>
      <c r="D847" s="50" t="n">
        <v>30</v>
      </c>
      <c r="E847" s="51" t="n">
        <f aca="false">'Analisa Harga Satuan'!$H$1057</f>
        <v>93500</v>
      </c>
      <c r="F847" s="52" t="n">
        <f aca="false">ROUND(D847*E847,0)</f>
        <v>2805000</v>
      </c>
      <c r="G847" s="49" t="s">
        <v>1089</v>
      </c>
      <c r="H847" s="53" t="s">
        <v>181</v>
      </c>
    </row>
    <row r="848" customFormat="false" ht="15" hidden="false" customHeight="false" outlineLevel="0" collapsed="false">
      <c r="A848" s="49" t="s">
        <v>145</v>
      </c>
      <c r="B848" s="29" t="s">
        <v>1090</v>
      </c>
      <c r="C848" s="49" t="s">
        <v>784</v>
      </c>
      <c r="D848" s="50" t="n">
        <v>6</v>
      </c>
      <c r="E848" s="51" t="n">
        <f aca="false">'Analisa Harga Satuan'!$H$1058</f>
        <v>357500</v>
      </c>
      <c r="F848" s="52" t="n">
        <f aca="false">ROUND(D848*E848,0)</f>
        <v>2145000</v>
      </c>
      <c r="G848" s="49" t="s">
        <v>1091</v>
      </c>
      <c r="H848" s="53" t="s">
        <v>181</v>
      </c>
    </row>
    <row r="849" customFormat="false" ht="15" hidden="false" customHeight="false" outlineLevel="0" collapsed="false">
      <c r="A849" s="55"/>
      <c r="B849" s="56" t="s">
        <v>1092</v>
      </c>
      <c r="C849" s="55"/>
      <c r="D849" s="55"/>
      <c r="E849" s="55"/>
      <c r="F849" s="27" t="n">
        <f aca="false">SUM(F840:F848)</f>
        <v>78897500</v>
      </c>
      <c r="G849" s="55"/>
      <c r="H849" s="55"/>
    </row>
    <row r="850" customFormat="false" ht="15" hidden="false" customHeight="false" outlineLevel="0" collapsed="false">
      <c r="A850" s="46" t="s">
        <v>88</v>
      </c>
      <c r="B850" s="47" t="s">
        <v>99</v>
      </c>
      <c r="C850" s="48"/>
      <c r="D850" s="48"/>
      <c r="E850" s="48"/>
      <c r="F850" s="48"/>
      <c r="G850" s="48"/>
      <c r="H850" s="48"/>
    </row>
    <row r="851" customFormat="false" ht="15" hidden="false" customHeight="false" outlineLevel="0" collapsed="false">
      <c r="A851" s="60" t="s">
        <v>1093</v>
      </c>
      <c r="B851" s="61" t="s">
        <v>1094</v>
      </c>
    </row>
    <row r="852" customFormat="false" ht="25.5" hidden="false" customHeight="true" outlineLevel="0" collapsed="false">
      <c r="A852" s="49" t="s">
        <v>139</v>
      </c>
      <c r="B852" s="29" t="s">
        <v>667</v>
      </c>
      <c r="C852" s="49" t="s">
        <v>520</v>
      </c>
      <c r="D852" s="50" t="n">
        <v>4</v>
      </c>
      <c r="E852" s="51" t="n">
        <f aca="false">'Analisa Harga Satuan'!$H$921</f>
        <v>2964500</v>
      </c>
      <c r="F852" s="52" t="n">
        <f aca="false">ROUND(D852*E852,0)</f>
        <v>11858000</v>
      </c>
      <c r="G852" s="49" t="s">
        <v>668</v>
      </c>
      <c r="H852" s="53" t="s">
        <v>181</v>
      </c>
    </row>
    <row r="853" customFormat="false" ht="25.5" hidden="false" customHeight="true" outlineLevel="0" collapsed="false">
      <c r="A853" s="49" t="s">
        <v>141</v>
      </c>
      <c r="B853" s="29" t="s">
        <v>669</v>
      </c>
      <c r="C853" s="49" t="s">
        <v>520</v>
      </c>
      <c r="D853" s="50" t="n">
        <v>1</v>
      </c>
      <c r="E853" s="51" t="n">
        <f aca="false">'Analisa Harga Satuan'!$H$922</f>
        <v>4658500</v>
      </c>
      <c r="F853" s="52" t="n">
        <f aca="false">ROUND(D853*E853,0)</f>
        <v>4658500</v>
      </c>
      <c r="G853" s="49" t="s">
        <v>670</v>
      </c>
      <c r="H853" s="53" t="s">
        <v>181</v>
      </c>
    </row>
    <row r="854" customFormat="false" ht="15" hidden="false" customHeight="false" outlineLevel="0" collapsed="false">
      <c r="A854" s="49" t="s">
        <v>143</v>
      </c>
      <c r="B854" s="29" t="s">
        <v>671</v>
      </c>
      <c r="C854" s="49" t="s">
        <v>520</v>
      </c>
      <c r="D854" s="50" t="n">
        <v>5</v>
      </c>
      <c r="E854" s="51" t="n">
        <f aca="false">'Analisa Harga Satuan'!$H$923</f>
        <v>360525</v>
      </c>
      <c r="F854" s="52" t="n">
        <f aca="false">ROUND(D854*E854,0)</f>
        <v>1802625</v>
      </c>
      <c r="G854" s="49" t="s">
        <v>672</v>
      </c>
      <c r="H854" s="53" t="s">
        <v>181</v>
      </c>
    </row>
    <row r="855" customFormat="false" ht="15" hidden="false" customHeight="false" outlineLevel="0" collapsed="false">
      <c r="A855" s="49" t="s">
        <v>145</v>
      </c>
      <c r="B855" s="29" t="s">
        <v>687</v>
      </c>
      <c r="C855" s="49" t="s">
        <v>520</v>
      </c>
      <c r="D855" s="50" t="n">
        <v>1</v>
      </c>
      <c r="E855" s="51" t="n">
        <f aca="false">'Analisa Harga Satuan'!$H$931</f>
        <v>1996500</v>
      </c>
      <c r="F855" s="52" t="n">
        <f aca="false">ROUND(D855*E855,0)</f>
        <v>1996500</v>
      </c>
      <c r="G855" s="49" t="s">
        <v>688</v>
      </c>
      <c r="H855" s="53" t="s">
        <v>181</v>
      </c>
    </row>
    <row r="856" customFormat="false" ht="15" hidden="false" customHeight="false" outlineLevel="0" collapsed="false">
      <c r="A856" s="49" t="s">
        <v>147</v>
      </c>
      <c r="B856" s="29" t="s">
        <v>690</v>
      </c>
      <c r="C856" s="49" t="s">
        <v>520</v>
      </c>
      <c r="D856" s="50" t="n">
        <v>1</v>
      </c>
      <c r="E856" s="51" t="n">
        <f aca="false">'Analisa Harga Satuan'!$H$932</f>
        <v>1633500</v>
      </c>
      <c r="F856" s="52" t="n">
        <f aca="false">ROUND(D856*E856,0)</f>
        <v>1633500</v>
      </c>
      <c r="G856" s="49" t="s">
        <v>691</v>
      </c>
      <c r="H856" s="53" t="s">
        <v>181</v>
      </c>
    </row>
    <row r="857" customFormat="false" ht="15" hidden="false" customHeight="false" outlineLevel="0" collapsed="false">
      <c r="A857" s="49" t="s">
        <v>149</v>
      </c>
      <c r="B857" s="29" t="s">
        <v>673</v>
      </c>
      <c r="C857" s="49" t="s">
        <v>520</v>
      </c>
      <c r="D857" s="50" t="n">
        <v>4</v>
      </c>
      <c r="E857" s="51" t="n">
        <f aca="false">'Analisa Harga Satuan'!$H$924</f>
        <v>208725</v>
      </c>
      <c r="F857" s="52" t="n">
        <f aca="false">ROUND(D857*E857,0)</f>
        <v>834900</v>
      </c>
      <c r="G857" s="49" t="s">
        <v>674</v>
      </c>
      <c r="H857" s="53" t="s">
        <v>181</v>
      </c>
    </row>
    <row r="858" customFormat="false" ht="15" hidden="false" customHeight="false" outlineLevel="0" collapsed="false">
      <c r="A858" s="49" t="s">
        <v>151</v>
      </c>
      <c r="B858" s="29" t="s">
        <v>675</v>
      </c>
      <c r="C858" s="49" t="s">
        <v>520</v>
      </c>
      <c r="D858" s="50" t="n">
        <v>4</v>
      </c>
      <c r="E858" s="51" t="n">
        <f aca="false">'Analisa Harga Satuan'!$H$925</f>
        <v>234025</v>
      </c>
      <c r="F858" s="52" t="n">
        <f aca="false">ROUND(D858*E858,0)</f>
        <v>936100</v>
      </c>
      <c r="G858" s="49" t="s">
        <v>676</v>
      </c>
      <c r="H858" s="53" t="s">
        <v>181</v>
      </c>
    </row>
    <row r="859" customFormat="false" ht="15" hidden="false" customHeight="false" outlineLevel="0" collapsed="false">
      <c r="A859" s="49" t="s">
        <v>423</v>
      </c>
      <c r="B859" s="29" t="s">
        <v>1095</v>
      </c>
      <c r="C859" s="49" t="s">
        <v>520</v>
      </c>
      <c r="D859" s="50" t="n">
        <v>4</v>
      </c>
      <c r="E859" s="51" t="n">
        <f aca="false">'Analisa Harga Satuan'!$H$1059</f>
        <v>1149500</v>
      </c>
      <c r="F859" s="52" t="n">
        <f aca="false">ROUND(D859*E859,0)</f>
        <v>4598000</v>
      </c>
      <c r="G859" s="49" t="s">
        <v>1096</v>
      </c>
      <c r="H859" s="53" t="s">
        <v>181</v>
      </c>
    </row>
    <row r="860" customFormat="false" ht="15" hidden="false" customHeight="false" outlineLevel="0" collapsed="false">
      <c r="A860" s="49" t="s">
        <v>208</v>
      </c>
      <c r="B860" s="29" t="s">
        <v>1097</v>
      </c>
      <c r="C860" s="49" t="s">
        <v>520</v>
      </c>
      <c r="D860" s="50" t="n">
        <v>4</v>
      </c>
      <c r="E860" s="51" t="n">
        <f aca="false">'Analisa Harga Satuan'!$H$1060</f>
        <v>465850</v>
      </c>
      <c r="F860" s="52" t="n">
        <f aca="false">ROUND(D860*E860,0)</f>
        <v>1863400</v>
      </c>
      <c r="G860" s="49" t="s">
        <v>1098</v>
      </c>
      <c r="H860" s="53" t="s">
        <v>181</v>
      </c>
    </row>
    <row r="861" customFormat="false" ht="15" hidden="false" customHeight="false" outlineLevel="0" collapsed="false">
      <c r="A861" s="60" t="s">
        <v>1099</v>
      </c>
      <c r="B861" s="61" t="s">
        <v>698</v>
      </c>
    </row>
    <row r="862" customFormat="false" ht="15" hidden="false" customHeight="false" outlineLevel="0" collapsed="false">
      <c r="A862" s="60" t="s">
        <v>78</v>
      </c>
      <c r="B862" s="61" t="s">
        <v>700</v>
      </c>
    </row>
    <row r="863" customFormat="false" ht="15" hidden="false" customHeight="false" outlineLevel="0" collapsed="false">
      <c r="A863" s="49" t="s">
        <v>139</v>
      </c>
      <c r="B863" s="29" t="s">
        <v>1100</v>
      </c>
      <c r="C863" s="49" t="s">
        <v>520</v>
      </c>
      <c r="D863" s="50" t="n">
        <v>1</v>
      </c>
      <c r="E863" s="51" t="n">
        <f aca="false">'Analisa Harga Satuan'!$H$1061</f>
        <v>15950000</v>
      </c>
      <c r="F863" s="52" t="n">
        <f aca="false">ROUND(D863*E863,0)</f>
        <v>15950000</v>
      </c>
      <c r="G863" s="49" t="s">
        <v>1101</v>
      </c>
      <c r="H863" s="53" t="s">
        <v>181</v>
      </c>
    </row>
    <row r="864" customFormat="false" ht="15" hidden="false" customHeight="false" outlineLevel="0" collapsed="false">
      <c r="B864" s="54" t="s">
        <v>1102</v>
      </c>
    </row>
    <row r="865" customFormat="false" ht="15" hidden="false" customHeight="false" outlineLevel="0" collapsed="false">
      <c r="A865" s="49" t="s">
        <v>141</v>
      </c>
      <c r="B865" s="29" t="s">
        <v>1103</v>
      </c>
      <c r="C865" s="49" t="s">
        <v>520</v>
      </c>
      <c r="D865" s="50" t="n">
        <v>4</v>
      </c>
      <c r="E865" s="51" t="n">
        <f aca="false">'Analisa Harga Satuan'!$H$1062</f>
        <v>423500</v>
      </c>
      <c r="F865" s="52" t="n">
        <f aca="false">ROUND(D865*E865,0)</f>
        <v>1694000</v>
      </c>
      <c r="G865" s="49" t="s">
        <v>1104</v>
      </c>
      <c r="H865" s="53" t="s">
        <v>181</v>
      </c>
    </row>
    <row r="866" customFormat="false" ht="15" hidden="false" customHeight="false" outlineLevel="0" collapsed="false">
      <c r="A866" s="49" t="s">
        <v>139</v>
      </c>
      <c r="B866" s="29" t="s">
        <v>1105</v>
      </c>
      <c r="C866" s="49" t="s">
        <v>520</v>
      </c>
      <c r="D866" s="50" t="n">
        <v>1</v>
      </c>
      <c r="E866" s="51" t="n">
        <f aca="false">'Analisa Harga Satuan'!$H$1063</f>
        <v>462000</v>
      </c>
      <c r="F866" s="52" t="n">
        <f aca="false">ROUND(D866*E866,0)</f>
        <v>462000</v>
      </c>
      <c r="G866" s="49" t="s">
        <v>1106</v>
      </c>
      <c r="H866" s="53" t="s">
        <v>181</v>
      </c>
    </row>
    <row r="867" customFormat="false" ht="15" hidden="false" customHeight="false" outlineLevel="0" collapsed="false">
      <c r="A867" s="60" t="s">
        <v>93</v>
      </c>
      <c r="B867" s="61" t="s">
        <v>726</v>
      </c>
    </row>
    <row r="868" customFormat="false" ht="15" hidden="false" customHeight="false" outlineLevel="0" collapsed="false">
      <c r="A868" s="49" t="s">
        <v>139</v>
      </c>
      <c r="B868" s="29" t="s">
        <v>727</v>
      </c>
      <c r="C868" s="49" t="s">
        <v>520</v>
      </c>
      <c r="D868" s="50" t="n">
        <v>2</v>
      </c>
      <c r="E868" s="51" t="n">
        <f aca="false">'Analisa Harga Satuan'!$H$947</f>
        <v>21450000</v>
      </c>
      <c r="F868" s="52" t="n">
        <f aca="false">ROUND(D868*E868,0)</f>
        <v>42900000</v>
      </c>
      <c r="G868" s="49" t="s">
        <v>728</v>
      </c>
      <c r="H868" s="53" t="s">
        <v>181</v>
      </c>
    </row>
    <row r="869" customFormat="false" ht="15" hidden="false" customHeight="false" outlineLevel="0" collapsed="false">
      <c r="A869" s="49"/>
      <c r="B869" s="29" t="s">
        <v>729</v>
      </c>
      <c r="C869" s="49" t="s">
        <v>179</v>
      </c>
      <c r="D869" s="50" t="n">
        <v>1</v>
      </c>
      <c r="E869" s="51" t="n">
        <f aca="false">'Analisa Harga Satuan'!$H$948</f>
        <v>1650000</v>
      </c>
      <c r="F869" s="52" t="n">
        <f aca="false">ROUND(D869*E869,0)</f>
        <v>1650000</v>
      </c>
      <c r="G869" s="49" t="s">
        <v>730</v>
      </c>
      <c r="H869" s="53" t="s">
        <v>181</v>
      </c>
    </row>
    <row r="870" customFormat="false" ht="15" hidden="false" customHeight="false" outlineLevel="0" collapsed="false">
      <c r="A870" s="60" t="s">
        <v>1107</v>
      </c>
      <c r="B870" s="61" t="s">
        <v>732</v>
      </c>
    </row>
    <row r="871" customFormat="false" ht="15" hidden="false" customHeight="false" outlineLevel="0" collapsed="false">
      <c r="A871" s="60" t="s">
        <v>78</v>
      </c>
      <c r="B871" s="61" t="s">
        <v>1108</v>
      </c>
    </row>
    <row r="872" customFormat="false" ht="15" hidden="false" customHeight="false" outlineLevel="0" collapsed="false">
      <c r="A872" s="49" t="s">
        <v>139</v>
      </c>
      <c r="B872" s="29" t="s">
        <v>1109</v>
      </c>
      <c r="C872" s="49" t="s">
        <v>367</v>
      </c>
      <c r="D872" s="50" t="n">
        <v>14</v>
      </c>
      <c r="E872" s="51" t="n">
        <f aca="false">'Analisa Harga Satuan'!$H$949</f>
        <v>159500</v>
      </c>
      <c r="F872" s="52" t="n">
        <f aca="false">ROUND(D872*E872,0)</f>
        <v>2233000</v>
      </c>
      <c r="G872" s="49" t="s">
        <v>735</v>
      </c>
      <c r="H872" s="53" t="s">
        <v>181</v>
      </c>
    </row>
    <row r="873" customFormat="false" ht="15" hidden="false" customHeight="false" outlineLevel="0" collapsed="false">
      <c r="A873" s="49" t="s">
        <v>141</v>
      </c>
      <c r="B873" s="29" t="s">
        <v>736</v>
      </c>
      <c r="C873" s="49" t="s">
        <v>367</v>
      </c>
      <c r="D873" s="50" t="n">
        <v>16</v>
      </c>
      <c r="E873" s="51" t="n">
        <f aca="false">'Analisa Harga Satuan'!$H$950</f>
        <v>85800</v>
      </c>
      <c r="F873" s="52" t="n">
        <f aca="false">ROUND(D873*E873,0)</f>
        <v>1372800</v>
      </c>
      <c r="G873" s="49" t="s">
        <v>737</v>
      </c>
      <c r="H873" s="53" t="s">
        <v>181</v>
      </c>
    </row>
    <row r="874" customFormat="false" ht="15" hidden="false" customHeight="false" outlineLevel="0" collapsed="false">
      <c r="A874" s="49" t="s">
        <v>143</v>
      </c>
      <c r="B874" s="29" t="s">
        <v>738</v>
      </c>
      <c r="C874" s="49" t="s">
        <v>367</v>
      </c>
      <c r="D874" s="50" t="n">
        <v>70</v>
      </c>
      <c r="E874" s="51" t="n">
        <f aca="false">'Analisa Harga Satuan'!$H$951</f>
        <v>63800</v>
      </c>
      <c r="F874" s="52" t="n">
        <f aca="false">ROUND(D874*E874,0)</f>
        <v>4466000</v>
      </c>
      <c r="G874" s="49" t="s">
        <v>739</v>
      </c>
      <c r="H874" s="53" t="s">
        <v>181</v>
      </c>
    </row>
    <row r="875" customFormat="false" ht="15" hidden="false" customHeight="false" outlineLevel="0" collapsed="false">
      <c r="A875" s="49" t="s">
        <v>145</v>
      </c>
      <c r="B875" s="29" t="s">
        <v>740</v>
      </c>
      <c r="C875" s="49" t="s">
        <v>367</v>
      </c>
      <c r="D875" s="50" t="n">
        <v>30</v>
      </c>
      <c r="E875" s="51" t="n">
        <f aca="false">'Analisa Harga Satuan'!$H$952</f>
        <v>52800</v>
      </c>
      <c r="F875" s="52" t="n">
        <f aca="false">ROUND(D875*E875,0)</f>
        <v>1584000</v>
      </c>
      <c r="G875" s="49" t="s">
        <v>741</v>
      </c>
      <c r="H875" s="53" t="s">
        <v>181</v>
      </c>
    </row>
    <row r="876" customFormat="false" ht="15" hidden="false" customHeight="false" outlineLevel="0" collapsed="false">
      <c r="A876" s="60" t="s">
        <v>1110</v>
      </c>
      <c r="B876" s="61" t="s">
        <v>746</v>
      </c>
    </row>
    <row r="877" customFormat="false" ht="15" hidden="false" customHeight="false" outlineLevel="0" collapsed="false">
      <c r="A877" s="60" t="s">
        <v>78</v>
      </c>
      <c r="B877" s="61" t="s">
        <v>1111</v>
      </c>
    </row>
    <row r="878" customFormat="false" ht="15" hidden="false" customHeight="false" outlineLevel="0" collapsed="false">
      <c r="A878" s="49" t="s">
        <v>139</v>
      </c>
      <c r="B878" s="29" t="s">
        <v>1112</v>
      </c>
      <c r="C878" s="49" t="s">
        <v>367</v>
      </c>
      <c r="D878" s="50" t="n">
        <v>12</v>
      </c>
      <c r="E878" s="51" t="n">
        <f aca="false">'Analisa Harga Satuan'!$H$954</f>
        <v>181500</v>
      </c>
      <c r="F878" s="52" t="n">
        <f aca="false">ROUND(D878*E878,0)</f>
        <v>2178000</v>
      </c>
      <c r="G878" s="49" t="s">
        <v>749</v>
      </c>
      <c r="H878" s="53" t="s">
        <v>181</v>
      </c>
    </row>
    <row r="879" customFormat="false" ht="15" hidden="false" customHeight="false" outlineLevel="0" collapsed="false">
      <c r="A879" s="49" t="s">
        <v>141</v>
      </c>
      <c r="B879" s="29" t="s">
        <v>750</v>
      </c>
      <c r="C879" s="49" t="s">
        <v>367</v>
      </c>
      <c r="D879" s="50" t="n">
        <v>20</v>
      </c>
      <c r="E879" s="51" t="n">
        <f aca="false">'Analisa Harga Satuan'!$H$955</f>
        <v>126500</v>
      </c>
      <c r="F879" s="52" t="n">
        <f aca="false">ROUND(D879*E879,0)</f>
        <v>2530000</v>
      </c>
      <c r="G879" s="49" t="s">
        <v>751</v>
      </c>
      <c r="H879" s="53" t="s">
        <v>181</v>
      </c>
    </row>
    <row r="880" customFormat="false" ht="15" hidden="false" customHeight="false" outlineLevel="0" collapsed="false">
      <c r="A880" s="49" t="s">
        <v>143</v>
      </c>
      <c r="B880" s="29" t="s">
        <v>762</v>
      </c>
      <c r="C880" s="49" t="s">
        <v>206</v>
      </c>
      <c r="D880" s="50" t="n">
        <v>2</v>
      </c>
      <c r="E880" s="51" t="n">
        <f aca="false">'Analisa Harga Satuan'!$H$958</f>
        <v>313500</v>
      </c>
      <c r="F880" s="52" t="n">
        <f aca="false">ROUND(D880*E880,0)</f>
        <v>627000</v>
      </c>
      <c r="G880" s="49" t="s">
        <v>757</v>
      </c>
      <c r="H880" s="53" t="s">
        <v>181</v>
      </c>
    </row>
    <row r="881" customFormat="false" ht="15" hidden="false" customHeight="false" outlineLevel="0" collapsed="false">
      <c r="A881" s="60" t="s">
        <v>1113</v>
      </c>
      <c r="B881" s="61" t="s">
        <v>764</v>
      </c>
    </row>
    <row r="882" customFormat="false" ht="15" hidden="false" customHeight="false" outlineLevel="0" collapsed="false">
      <c r="A882" s="60" t="s">
        <v>78</v>
      </c>
      <c r="B882" s="61" t="s">
        <v>1114</v>
      </c>
    </row>
    <row r="883" customFormat="false" ht="15" hidden="false" customHeight="false" outlineLevel="0" collapsed="false">
      <c r="A883" s="49" t="s">
        <v>139</v>
      </c>
      <c r="B883" s="29" t="s">
        <v>1115</v>
      </c>
      <c r="C883" s="49" t="s">
        <v>367</v>
      </c>
      <c r="D883" s="50" t="n">
        <v>15</v>
      </c>
      <c r="E883" s="51" t="n">
        <f aca="false">'Analisa Harga Satuan'!$H$960</f>
        <v>291500</v>
      </c>
      <c r="F883" s="52" t="n">
        <f aca="false">ROUND(D883*E883,0)</f>
        <v>4372500</v>
      </c>
      <c r="G883" s="49" t="s">
        <v>767</v>
      </c>
      <c r="H883" s="53" t="s">
        <v>181</v>
      </c>
    </row>
    <row r="884" customFormat="false" ht="15" hidden="false" customHeight="false" outlineLevel="0" collapsed="false">
      <c r="A884" s="49" t="s">
        <v>141</v>
      </c>
      <c r="B884" s="29" t="s">
        <v>748</v>
      </c>
      <c r="C884" s="49" t="s">
        <v>367</v>
      </c>
      <c r="D884" s="50" t="n">
        <v>17</v>
      </c>
      <c r="E884" s="51" t="n">
        <f aca="false">'Analisa Harga Satuan'!$H$954</f>
        <v>181500</v>
      </c>
      <c r="F884" s="52" t="n">
        <f aca="false">ROUND(D884*E884,0)</f>
        <v>3085500</v>
      </c>
      <c r="G884" s="49" t="s">
        <v>749</v>
      </c>
      <c r="H884" s="53" t="s">
        <v>181</v>
      </c>
    </row>
    <row r="885" customFormat="false" ht="15" hidden="false" customHeight="false" outlineLevel="0" collapsed="false">
      <c r="A885" s="49" t="s">
        <v>143</v>
      </c>
      <c r="B885" s="29" t="s">
        <v>771</v>
      </c>
      <c r="C885" s="49" t="s">
        <v>206</v>
      </c>
      <c r="D885" s="50" t="n">
        <v>2</v>
      </c>
      <c r="E885" s="51" t="n">
        <f aca="false">'Analisa Harga Satuan'!$H$962</f>
        <v>467500</v>
      </c>
      <c r="F885" s="52" t="n">
        <f aca="false">ROUND(D885*E885,0)</f>
        <v>935000</v>
      </c>
      <c r="G885" s="49" t="s">
        <v>772</v>
      </c>
      <c r="H885" s="53" t="s">
        <v>181</v>
      </c>
    </row>
    <row r="886" customFormat="false" ht="15" hidden="false" customHeight="false" outlineLevel="0" collapsed="false">
      <c r="A886" s="49" t="s">
        <v>145</v>
      </c>
      <c r="B886" s="29" t="s">
        <v>1116</v>
      </c>
      <c r="C886" s="49" t="s">
        <v>183</v>
      </c>
      <c r="D886" s="50" t="n">
        <v>1</v>
      </c>
      <c r="E886" s="51" t="n">
        <f aca="false">'Analisa Harga Satuan'!$H$1064</f>
        <v>15950000</v>
      </c>
      <c r="F886" s="52" t="n">
        <f aca="false">ROUND(D886*E886,0)</f>
        <v>15950000</v>
      </c>
      <c r="G886" s="49" t="s">
        <v>1117</v>
      </c>
      <c r="H886" s="53" t="s">
        <v>181</v>
      </c>
    </row>
    <row r="887" customFormat="false" ht="15" hidden="false" customHeight="false" outlineLevel="0" collapsed="false">
      <c r="A887" s="49" t="s">
        <v>147</v>
      </c>
      <c r="B887" s="29" t="s">
        <v>1118</v>
      </c>
      <c r="C887" s="49" t="s">
        <v>183</v>
      </c>
      <c r="D887" s="50" t="n">
        <v>1</v>
      </c>
      <c r="E887" s="51" t="n">
        <f aca="false">'Analisa Harga Satuan'!$H$959</f>
        <v>4950000</v>
      </c>
      <c r="F887" s="52" t="n">
        <f aca="false">ROUND(D887*E887,0)</f>
        <v>4950000</v>
      </c>
      <c r="G887" s="49" t="s">
        <v>759</v>
      </c>
      <c r="H887" s="53" t="s">
        <v>181</v>
      </c>
    </row>
    <row r="888" customFormat="false" ht="15" hidden="false" customHeight="false" outlineLevel="0" collapsed="false">
      <c r="A888" s="60" t="s">
        <v>1119</v>
      </c>
      <c r="B888" s="61" t="s">
        <v>779</v>
      </c>
    </row>
    <row r="889" customFormat="false" ht="15" hidden="false" customHeight="false" outlineLevel="0" collapsed="false">
      <c r="A889" s="60" t="s">
        <v>78</v>
      </c>
      <c r="B889" s="61" t="s">
        <v>780</v>
      </c>
    </row>
    <row r="890" customFormat="false" ht="15" hidden="false" customHeight="false" outlineLevel="0" collapsed="false">
      <c r="A890" s="49" t="s">
        <v>139</v>
      </c>
      <c r="B890" s="29" t="s">
        <v>748</v>
      </c>
      <c r="C890" s="49" t="s">
        <v>367</v>
      </c>
      <c r="D890" s="50" t="n">
        <v>59</v>
      </c>
      <c r="E890" s="51" t="n">
        <f aca="false">'Analisa Harga Satuan'!$H$954</f>
        <v>181500</v>
      </c>
      <c r="F890" s="52" t="n">
        <f aca="false">ROUND(D890*E890,0)</f>
        <v>10708500</v>
      </c>
      <c r="G890" s="49" t="s">
        <v>749</v>
      </c>
      <c r="H890" s="53" t="s">
        <v>181</v>
      </c>
    </row>
    <row r="891" customFormat="false" ht="25.5" hidden="false" customHeight="true" outlineLevel="0" collapsed="false">
      <c r="A891" s="49" t="s">
        <v>141</v>
      </c>
      <c r="B891" s="29" t="s">
        <v>1120</v>
      </c>
      <c r="C891" s="49" t="s">
        <v>367</v>
      </c>
      <c r="D891" s="50" t="n">
        <v>20</v>
      </c>
      <c r="E891" s="51" t="n">
        <f aca="false">'Analisa Harga Satuan'!$H$954</f>
        <v>181500</v>
      </c>
      <c r="F891" s="52" t="n">
        <f aca="false">ROUND(D891*E891,0)</f>
        <v>3630000</v>
      </c>
      <c r="G891" s="49" t="s">
        <v>749</v>
      </c>
      <c r="H891" s="53" t="s">
        <v>181</v>
      </c>
    </row>
    <row r="892" customFormat="false" ht="25.5" hidden="false" customHeight="true" outlineLevel="0" collapsed="false">
      <c r="A892" s="49" t="s">
        <v>143</v>
      </c>
      <c r="B892" s="29" t="s">
        <v>1121</v>
      </c>
      <c r="C892" s="49" t="s">
        <v>367</v>
      </c>
      <c r="D892" s="50" t="n">
        <v>85</v>
      </c>
      <c r="E892" s="51" t="n">
        <f aca="false">'Analisa Harga Satuan'!$H$1065</f>
        <v>360525</v>
      </c>
      <c r="F892" s="52" t="n">
        <f aca="false">ROUND(D892*E892,0)</f>
        <v>30644625</v>
      </c>
      <c r="G892" s="49" t="s">
        <v>1122</v>
      </c>
      <c r="H892" s="53" t="s">
        <v>181</v>
      </c>
    </row>
    <row r="893" customFormat="false" ht="15" hidden="false" customHeight="false" outlineLevel="0" collapsed="false">
      <c r="A893" s="49" t="s">
        <v>145</v>
      </c>
      <c r="B893" s="29" t="s">
        <v>781</v>
      </c>
      <c r="C893" s="49" t="s">
        <v>206</v>
      </c>
      <c r="D893" s="50" t="n">
        <v>10</v>
      </c>
      <c r="E893" s="51" t="n">
        <f aca="false">'Analisa Harga Satuan'!$H$965</f>
        <v>533500</v>
      </c>
      <c r="F893" s="52" t="n">
        <f aca="false">ROUND(D893*E893,0)</f>
        <v>5335000</v>
      </c>
      <c r="G893" s="49" t="s">
        <v>782</v>
      </c>
      <c r="H893" s="53" t="s">
        <v>181</v>
      </c>
    </row>
    <row r="894" customFormat="false" ht="15" hidden="false" customHeight="false" outlineLevel="0" collapsed="false">
      <c r="A894" s="49" t="s">
        <v>147</v>
      </c>
      <c r="B894" s="29" t="s">
        <v>783</v>
      </c>
      <c r="C894" s="49" t="s">
        <v>784</v>
      </c>
      <c r="D894" s="50" t="n">
        <v>10</v>
      </c>
      <c r="E894" s="51" t="n">
        <f aca="false">'Analisa Harga Satuan'!$H$966</f>
        <v>137500</v>
      </c>
      <c r="F894" s="52" t="n">
        <f aca="false">ROUND(D894*E894,0)</f>
        <v>1375000</v>
      </c>
      <c r="G894" s="49" t="s">
        <v>785</v>
      </c>
      <c r="H894" s="53" t="s">
        <v>181</v>
      </c>
    </row>
    <row r="895" customFormat="false" ht="15" hidden="false" customHeight="false" outlineLevel="0" collapsed="false">
      <c r="A895" s="55"/>
      <c r="B895" s="56" t="s">
        <v>1123</v>
      </c>
      <c r="C895" s="55"/>
      <c r="D895" s="55"/>
      <c r="E895" s="55"/>
      <c r="F895" s="27" t="n">
        <f aca="false">SUM(F851:F894)</f>
        <v>188814450</v>
      </c>
      <c r="G895" s="55"/>
      <c r="H895" s="55"/>
    </row>
    <row r="896" customFormat="false" ht="15" hidden="false" customHeight="false" outlineLevel="0" collapsed="false">
      <c r="A896" s="46" t="s">
        <v>90</v>
      </c>
      <c r="B896" s="47" t="s">
        <v>100</v>
      </c>
      <c r="C896" s="48"/>
      <c r="D896" s="48"/>
      <c r="E896" s="48"/>
      <c r="F896" s="48"/>
      <c r="G896" s="48"/>
      <c r="H896" s="48"/>
    </row>
    <row r="897" customFormat="false" ht="15" hidden="false" customHeight="false" outlineLevel="0" collapsed="false">
      <c r="A897" s="60" t="s">
        <v>1124</v>
      </c>
      <c r="B897" s="61" t="s">
        <v>1125</v>
      </c>
    </row>
    <row r="898" customFormat="false" ht="15" hidden="false" customHeight="false" outlineLevel="0" collapsed="false">
      <c r="A898" s="60" t="s">
        <v>78</v>
      </c>
      <c r="B898" s="61" t="s">
        <v>789</v>
      </c>
    </row>
    <row r="899" customFormat="false" ht="15" hidden="false" customHeight="false" outlineLevel="0" collapsed="false">
      <c r="A899" s="49" t="s">
        <v>139</v>
      </c>
      <c r="B899" s="29" t="s">
        <v>795</v>
      </c>
      <c r="C899" s="49" t="s">
        <v>183</v>
      </c>
      <c r="D899" s="50" t="n">
        <v>1</v>
      </c>
      <c r="E899" s="51" t="n">
        <f aca="false">'Analisa Harga Satuan'!$H$969</f>
        <v>10450000</v>
      </c>
      <c r="F899" s="52" t="n">
        <f aca="false">ROUND(D899*E899,0)</f>
        <v>10450000</v>
      </c>
      <c r="G899" s="49" t="s">
        <v>796</v>
      </c>
      <c r="H899" s="53" t="s">
        <v>189</v>
      </c>
    </row>
    <row r="900" customFormat="false" ht="15" hidden="false" customHeight="false" outlineLevel="0" collapsed="false">
      <c r="A900" s="60" t="s">
        <v>93</v>
      </c>
      <c r="B900" s="61" t="s">
        <v>1126</v>
      </c>
    </row>
    <row r="901" customFormat="false" ht="15" hidden="false" customHeight="false" outlineLevel="0" collapsed="false">
      <c r="A901" s="49" t="s">
        <v>139</v>
      </c>
      <c r="B901" s="29" t="s">
        <v>1127</v>
      </c>
      <c r="C901" s="49" t="s">
        <v>431</v>
      </c>
      <c r="D901" s="50" t="n">
        <v>48.76</v>
      </c>
      <c r="E901" s="51" t="n">
        <f aca="false">'Analisa Harga Satuan'!$H$975</f>
        <v>423500</v>
      </c>
      <c r="F901" s="52" t="n">
        <f aca="false">ROUND(D901*E901,0)</f>
        <v>20649860</v>
      </c>
      <c r="G901" s="49" t="s">
        <v>815</v>
      </c>
      <c r="H901" s="53" t="s">
        <v>181</v>
      </c>
    </row>
    <row r="902" customFormat="false" ht="15" hidden="false" customHeight="false" outlineLevel="0" collapsed="false">
      <c r="A902" s="60" t="s">
        <v>1128</v>
      </c>
      <c r="B902" s="61" t="s">
        <v>820</v>
      </c>
    </row>
    <row r="903" customFormat="false" ht="15" hidden="false" customHeight="false" outlineLevel="0" collapsed="false">
      <c r="A903" s="60" t="s">
        <v>78</v>
      </c>
      <c r="B903" s="61" t="s">
        <v>1129</v>
      </c>
    </row>
    <row r="904" customFormat="false" ht="15" hidden="false" customHeight="false" outlineLevel="0" collapsed="false">
      <c r="A904" s="49" t="s">
        <v>139</v>
      </c>
      <c r="B904" s="29" t="s">
        <v>822</v>
      </c>
      <c r="C904" s="49" t="s">
        <v>206</v>
      </c>
      <c r="D904" s="50" t="n">
        <v>6</v>
      </c>
      <c r="E904" s="51" t="n">
        <f aca="false">'Analisa Harga Satuan'!$H$977</f>
        <v>107525</v>
      </c>
      <c r="F904" s="52" t="n">
        <f aca="false">ROUND(D904*E904,0)</f>
        <v>645150</v>
      </c>
      <c r="G904" s="49" t="s">
        <v>823</v>
      </c>
      <c r="H904" s="53" t="s">
        <v>181</v>
      </c>
    </row>
    <row r="905" customFormat="false" ht="15" hidden="false" customHeight="false" outlineLevel="0" collapsed="false">
      <c r="A905" s="49" t="s">
        <v>141</v>
      </c>
      <c r="B905" s="29" t="s">
        <v>824</v>
      </c>
      <c r="C905" s="49" t="s">
        <v>206</v>
      </c>
      <c r="D905" s="50" t="n">
        <v>8</v>
      </c>
      <c r="E905" s="51" t="n">
        <f aca="false">'Analisa Harga Satuan'!$H$978</f>
        <v>170775</v>
      </c>
      <c r="F905" s="52" t="n">
        <f aca="false">ROUND(D905*E905,0)</f>
        <v>1366200</v>
      </c>
      <c r="G905" s="49" t="s">
        <v>825</v>
      </c>
      <c r="H905" s="53" t="s">
        <v>181</v>
      </c>
    </row>
    <row r="906" customFormat="false" ht="15" hidden="false" customHeight="false" outlineLevel="0" collapsed="false">
      <c r="A906" s="49" t="s">
        <v>143</v>
      </c>
      <c r="B906" s="29" t="s">
        <v>826</v>
      </c>
      <c r="C906" s="49" t="s">
        <v>206</v>
      </c>
      <c r="D906" s="50" t="n">
        <v>16</v>
      </c>
      <c r="E906" s="51" t="n">
        <f aca="false">'Analisa Harga Satuan'!$H$979</f>
        <v>499675</v>
      </c>
      <c r="F906" s="52" t="n">
        <f aca="false">ROUND(D906*E906,0)</f>
        <v>7994800</v>
      </c>
      <c r="G906" s="49" t="s">
        <v>827</v>
      </c>
      <c r="H906" s="53" t="s">
        <v>181</v>
      </c>
    </row>
    <row r="907" customFormat="false" ht="15" hidden="false" customHeight="false" outlineLevel="0" collapsed="false">
      <c r="A907" s="49" t="s">
        <v>145</v>
      </c>
      <c r="B907" s="29" t="s">
        <v>1130</v>
      </c>
      <c r="C907" s="49" t="s">
        <v>206</v>
      </c>
      <c r="D907" s="50" t="n">
        <v>12</v>
      </c>
      <c r="E907" s="51" t="n">
        <f aca="false">'Analisa Harga Satuan'!$H$1066</f>
        <v>1834250</v>
      </c>
      <c r="F907" s="52" t="n">
        <f aca="false">ROUND(D907*E907,0)</f>
        <v>22011000</v>
      </c>
      <c r="G907" s="49" t="s">
        <v>1131</v>
      </c>
      <c r="H907" s="53" t="s">
        <v>181</v>
      </c>
    </row>
    <row r="908" customFormat="false" ht="15" hidden="false" customHeight="false" outlineLevel="0" collapsed="false">
      <c r="A908" s="49" t="s">
        <v>147</v>
      </c>
      <c r="B908" s="29" t="s">
        <v>830</v>
      </c>
      <c r="C908" s="49" t="s">
        <v>206</v>
      </c>
      <c r="D908" s="50" t="n">
        <v>8</v>
      </c>
      <c r="E908" s="51" t="n">
        <f aca="false">'Analisa Harga Satuan'!$H$981</f>
        <v>72600</v>
      </c>
      <c r="F908" s="52" t="n">
        <f aca="false">ROUND(D908*E908,0)</f>
        <v>580800</v>
      </c>
      <c r="G908" s="49" t="s">
        <v>831</v>
      </c>
      <c r="H908" s="53" t="s">
        <v>181</v>
      </c>
    </row>
    <row r="909" customFormat="false" ht="15" hidden="false" customHeight="false" outlineLevel="0" collapsed="false">
      <c r="A909" s="49" t="s">
        <v>149</v>
      </c>
      <c r="B909" s="29" t="s">
        <v>832</v>
      </c>
      <c r="C909" s="49" t="s">
        <v>206</v>
      </c>
      <c r="D909" s="50" t="n">
        <v>6</v>
      </c>
      <c r="E909" s="51" t="n">
        <f aca="false">'Analisa Harga Satuan'!$H$982</f>
        <v>99000</v>
      </c>
      <c r="F909" s="52" t="n">
        <f aca="false">ROUND(D909*E909,0)</f>
        <v>594000</v>
      </c>
      <c r="G909" s="49" t="s">
        <v>833</v>
      </c>
      <c r="H909" s="53" t="s">
        <v>181</v>
      </c>
    </row>
    <row r="910" customFormat="false" ht="15" hidden="false" customHeight="false" outlineLevel="0" collapsed="false">
      <c r="A910" s="49" t="s">
        <v>151</v>
      </c>
      <c r="B910" s="29" t="s">
        <v>1132</v>
      </c>
      <c r="C910" s="49" t="s">
        <v>206</v>
      </c>
      <c r="D910" s="50" t="n">
        <v>2</v>
      </c>
      <c r="E910" s="51" t="n">
        <f aca="false">'Analisa Harga Satuan'!$H$1067</f>
        <v>376200</v>
      </c>
      <c r="F910" s="52" t="n">
        <f aca="false">ROUND(D910*E910,0)</f>
        <v>752400</v>
      </c>
      <c r="G910" s="49" t="s">
        <v>1133</v>
      </c>
      <c r="H910" s="53" t="s">
        <v>181</v>
      </c>
    </row>
    <row r="911" customFormat="false" ht="15" hidden="false" customHeight="false" outlineLevel="0" collapsed="false">
      <c r="A911" s="49" t="s">
        <v>423</v>
      </c>
      <c r="B911" s="29" t="s">
        <v>834</v>
      </c>
      <c r="C911" s="49" t="s">
        <v>206</v>
      </c>
      <c r="D911" s="50" t="n">
        <v>12</v>
      </c>
      <c r="E911" s="51" t="n">
        <f aca="false">'Analisa Harga Satuan'!$H$983</f>
        <v>81840</v>
      </c>
      <c r="F911" s="52" t="n">
        <f aca="false">ROUND(D911*E911,0)</f>
        <v>982080</v>
      </c>
      <c r="G911" s="49" t="s">
        <v>835</v>
      </c>
      <c r="H911" s="53" t="s">
        <v>181</v>
      </c>
    </row>
    <row r="912" customFormat="false" ht="15" hidden="false" customHeight="false" outlineLevel="0" collapsed="false">
      <c r="A912" s="49" t="s">
        <v>208</v>
      </c>
      <c r="B912" s="29" t="s">
        <v>836</v>
      </c>
      <c r="C912" s="49" t="s">
        <v>206</v>
      </c>
      <c r="D912" s="50" t="n">
        <v>5</v>
      </c>
      <c r="E912" s="51" t="n">
        <f aca="false">'Analisa Harga Satuan'!$H$984</f>
        <v>487025</v>
      </c>
      <c r="F912" s="52" t="n">
        <f aca="false">ROUND(D912*E912,0)</f>
        <v>2435125</v>
      </c>
      <c r="G912" s="49" t="s">
        <v>837</v>
      </c>
      <c r="H912" s="53" t="s">
        <v>181</v>
      </c>
    </row>
    <row r="913" customFormat="false" ht="15" hidden="false" customHeight="false" outlineLevel="0" collapsed="false">
      <c r="A913" s="49" t="s">
        <v>217</v>
      </c>
      <c r="B913" s="29" t="s">
        <v>838</v>
      </c>
      <c r="C913" s="49" t="s">
        <v>784</v>
      </c>
      <c r="D913" s="50" t="n">
        <v>30</v>
      </c>
      <c r="E913" s="51" t="n">
        <f aca="false">'Analisa Harga Satuan'!$H$985</f>
        <v>236500</v>
      </c>
      <c r="F913" s="52" t="n">
        <f aca="false">ROUND(D913*E913,0)</f>
        <v>7095000</v>
      </c>
      <c r="G913" s="49" t="s">
        <v>839</v>
      </c>
      <c r="H913" s="53" t="s">
        <v>181</v>
      </c>
    </row>
    <row r="914" customFormat="false" ht="15" hidden="false" customHeight="false" outlineLevel="0" collapsed="false">
      <c r="A914" s="49" t="s">
        <v>221</v>
      </c>
      <c r="B914" s="29" t="s">
        <v>840</v>
      </c>
      <c r="C914" s="49" t="s">
        <v>784</v>
      </c>
      <c r="D914" s="50" t="n">
        <v>28</v>
      </c>
      <c r="E914" s="51" t="n">
        <f aca="false">'Analisa Harga Satuan'!$H$986</f>
        <v>258500</v>
      </c>
      <c r="F914" s="52" t="n">
        <f aca="false">ROUND(D914*E914,0)</f>
        <v>7238000</v>
      </c>
      <c r="G914" s="49" t="s">
        <v>841</v>
      </c>
      <c r="H914" s="53" t="s">
        <v>181</v>
      </c>
    </row>
    <row r="915" customFormat="false" ht="15" hidden="false" customHeight="false" outlineLevel="0" collapsed="false">
      <c r="A915" s="49" t="s">
        <v>689</v>
      </c>
      <c r="B915" s="29" t="s">
        <v>842</v>
      </c>
      <c r="C915" s="49" t="s">
        <v>784</v>
      </c>
      <c r="D915" s="50" t="n">
        <v>5</v>
      </c>
      <c r="E915" s="51" t="n">
        <f aca="false">'Analisa Harga Satuan'!$H$987</f>
        <v>236500</v>
      </c>
      <c r="F915" s="52" t="n">
        <f aca="false">ROUND(D915*E915,0)</f>
        <v>1182500</v>
      </c>
      <c r="G915" s="49" t="s">
        <v>843</v>
      </c>
      <c r="H915" s="53" t="s">
        <v>181</v>
      </c>
    </row>
    <row r="916" customFormat="false" ht="15" hidden="false" customHeight="false" outlineLevel="0" collapsed="false">
      <c r="A916" s="49" t="s">
        <v>692</v>
      </c>
      <c r="B916" s="29" t="s">
        <v>729</v>
      </c>
      <c r="C916" s="49" t="s">
        <v>179</v>
      </c>
      <c r="D916" s="50" t="n">
        <v>1</v>
      </c>
      <c r="E916" s="51" t="n">
        <f aca="false">'Analisa Harga Satuan'!$H$948</f>
        <v>1650000</v>
      </c>
      <c r="F916" s="52" t="n">
        <f aca="false">ROUND(D916*E916,0)</f>
        <v>1650000</v>
      </c>
      <c r="G916" s="49" t="s">
        <v>730</v>
      </c>
      <c r="H916" s="53" t="s">
        <v>181</v>
      </c>
    </row>
    <row r="917" customFormat="false" ht="15" hidden="false" customHeight="false" outlineLevel="0" collapsed="false">
      <c r="A917" s="60" t="s">
        <v>1134</v>
      </c>
      <c r="B917" s="61" t="s">
        <v>886</v>
      </c>
    </row>
    <row r="918" customFormat="false" ht="15" hidden="false" customHeight="false" outlineLevel="0" collapsed="false">
      <c r="A918" s="60" t="s">
        <v>78</v>
      </c>
      <c r="B918" s="61" t="s">
        <v>849</v>
      </c>
    </row>
    <row r="919" customFormat="false" ht="15" hidden="false" customHeight="false" outlineLevel="0" collapsed="false">
      <c r="A919" s="49" t="s">
        <v>139</v>
      </c>
      <c r="B919" s="29" t="s">
        <v>1135</v>
      </c>
      <c r="C919" s="49" t="s">
        <v>520</v>
      </c>
      <c r="D919" s="50" t="n">
        <v>1</v>
      </c>
      <c r="E919" s="51" t="n">
        <f aca="false">'Analisa Harga Satuan'!$H$1068</f>
        <v>9350000</v>
      </c>
      <c r="F919" s="52" t="n">
        <f aca="false">ROUND(D919*E919,0)</f>
        <v>9350000</v>
      </c>
      <c r="G919" s="49" t="s">
        <v>1136</v>
      </c>
      <c r="H919" s="53" t="s">
        <v>181</v>
      </c>
    </row>
    <row r="920" customFormat="false" ht="25.5" hidden="false" customHeight="true" outlineLevel="0" collapsed="false">
      <c r="A920" s="49" t="s">
        <v>143</v>
      </c>
      <c r="B920" s="29" t="s">
        <v>891</v>
      </c>
      <c r="C920" s="49" t="s">
        <v>784</v>
      </c>
      <c r="D920" s="50" t="n">
        <v>1</v>
      </c>
      <c r="E920" s="51" t="n">
        <f aca="false">'Analisa Harga Satuan'!$H$1006</f>
        <v>495000</v>
      </c>
      <c r="F920" s="52" t="n">
        <f aca="false">ROUND(D920*E920,0)</f>
        <v>495000</v>
      </c>
      <c r="G920" s="49" t="s">
        <v>892</v>
      </c>
      <c r="H920" s="53" t="s">
        <v>181</v>
      </c>
    </row>
    <row r="921" customFormat="false" ht="15" hidden="false" customHeight="false" outlineLevel="0" collapsed="false">
      <c r="A921" s="60" t="s">
        <v>93</v>
      </c>
      <c r="B921" s="61" t="s">
        <v>1137</v>
      </c>
    </row>
    <row r="922" customFormat="false" ht="15" hidden="false" customHeight="false" outlineLevel="0" collapsed="false">
      <c r="A922" s="49" t="s">
        <v>139</v>
      </c>
      <c r="B922" s="29" t="s">
        <v>894</v>
      </c>
      <c r="C922" s="49" t="s">
        <v>520</v>
      </c>
      <c r="D922" s="50" t="n">
        <v>1</v>
      </c>
      <c r="E922" s="51" t="n">
        <f aca="false">'Analisa Harga Satuan'!$H$1007</f>
        <v>715000</v>
      </c>
      <c r="F922" s="52" t="n">
        <f aca="false">ROUND(D922*E922,0)</f>
        <v>715000</v>
      </c>
      <c r="G922" s="49" t="s">
        <v>895</v>
      </c>
      <c r="H922" s="53" t="s">
        <v>181</v>
      </c>
    </row>
    <row r="923" customFormat="false" ht="15" hidden="false" customHeight="false" outlineLevel="0" collapsed="false">
      <c r="A923" s="49" t="s">
        <v>141</v>
      </c>
      <c r="B923" s="29" t="s">
        <v>896</v>
      </c>
      <c r="C923" s="49" t="s">
        <v>367</v>
      </c>
      <c r="D923" s="50" t="n">
        <v>12</v>
      </c>
      <c r="E923" s="51" t="n">
        <f aca="false">'Analisa Harga Satuan'!$H$1008</f>
        <v>52800</v>
      </c>
      <c r="F923" s="52" t="n">
        <f aca="false">ROUND(D923*E923,0)</f>
        <v>633600</v>
      </c>
      <c r="G923" s="49" t="s">
        <v>897</v>
      </c>
      <c r="H923" s="53" t="s">
        <v>181</v>
      </c>
    </row>
    <row r="924" customFormat="false" ht="15" hidden="false" customHeight="false" outlineLevel="0" collapsed="false">
      <c r="A924" s="49" t="s">
        <v>145</v>
      </c>
      <c r="B924" s="29" t="s">
        <v>900</v>
      </c>
      <c r="C924" s="49" t="s">
        <v>206</v>
      </c>
      <c r="D924" s="50" t="n">
        <v>5</v>
      </c>
      <c r="E924" s="51" t="n">
        <f aca="false">'Analisa Harga Satuan'!$H$1010</f>
        <v>436425</v>
      </c>
      <c r="F924" s="52" t="n">
        <f aca="false">ROUND(D924*E924,0)</f>
        <v>2182125</v>
      </c>
      <c r="G924" s="49" t="s">
        <v>901</v>
      </c>
      <c r="H924" s="53" t="s">
        <v>181</v>
      </c>
    </row>
    <row r="925" customFormat="false" ht="15" hidden="false" customHeight="false" outlineLevel="0" collapsed="false">
      <c r="A925" s="49" t="s">
        <v>147</v>
      </c>
      <c r="B925" s="29" t="s">
        <v>902</v>
      </c>
      <c r="C925" s="49" t="s">
        <v>206</v>
      </c>
      <c r="D925" s="50" t="n">
        <v>1</v>
      </c>
      <c r="E925" s="51" t="n">
        <f aca="false">'Analisa Harga Satuan'!$H$1011</f>
        <v>360525</v>
      </c>
      <c r="F925" s="52" t="n">
        <f aca="false">ROUND(D925*E925,0)</f>
        <v>360525</v>
      </c>
      <c r="G925" s="49" t="s">
        <v>903</v>
      </c>
      <c r="H925" s="53" t="s">
        <v>181</v>
      </c>
    </row>
    <row r="926" customFormat="false" ht="15" hidden="false" customHeight="false" outlineLevel="0" collapsed="false">
      <c r="A926" s="49" t="s">
        <v>149</v>
      </c>
      <c r="B926" s="29" t="s">
        <v>904</v>
      </c>
      <c r="C926" s="49" t="s">
        <v>206</v>
      </c>
      <c r="D926" s="50" t="n">
        <v>1</v>
      </c>
      <c r="E926" s="51" t="n">
        <f aca="false">'Analisa Harga Satuan'!$H$1012</f>
        <v>487025</v>
      </c>
      <c r="F926" s="52" t="n">
        <f aca="false">ROUND(D926*E926,0)</f>
        <v>487025</v>
      </c>
      <c r="G926" s="49" t="s">
        <v>905</v>
      </c>
      <c r="H926" s="53" t="s">
        <v>181</v>
      </c>
    </row>
    <row r="927" customFormat="false" ht="15" hidden="false" customHeight="false" outlineLevel="0" collapsed="false">
      <c r="A927" s="49" t="s">
        <v>151</v>
      </c>
      <c r="B927" s="29" t="s">
        <v>906</v>
      </c>
      <c r="C927" s="49" t="s">
        <v>206</v>
      </c>
      <c r="D927" s="50" t="n">
        <v>1</v>
      </c>
      <c r="E927" s="51" t="n">
        <f aca="false">'Analisa Harga Satuan'!$H$1013</f>
        <v>208725</v>
      </c>
      <c r="F927" s="52" t="n">
        <f aca="false">ROUND(D927*E927,0)</f>
        <v>208725</v>
      </c>
      <c r="G927" s="49" t="s">
        <v>907</v>
      </c>
      <c r="H927" s="53" t="s">
        <v>181</v>
      </c>
    </row>
    <row r="928" customFormat="false" ht="25.5" hidden="false" customHeight="true" outlineLevel="0" collapsed="false">
      <c r="A928" s="49" t="s">
        <v>423</v>
      </c>
      <c r="B928" s="29" t="s">
        <v>908</v>
      </c>
      <c r="C928" s="49" t="s">
        <v>784</v>
      </c>
      <c r="D928" s="50" t="n">
        <v>5</v>
      </c>
      <c r="E928" s="51" t="n">
        <f aca="false">'Analisa Harga Satuan'!$H$1014</f>
        <v>324500</v>
      </c>
      <c r="F928" s="52" t="n">
        <f aca="false">ROUND(D928*E928,0)</f>
        <v>1622500</v>
      </c>
      <c r="G928" s="49" t="s">
        <v>909</v>
      </c>
      <c r="H928" s="53" t="s">
        <v>181</v>
      </c>
    </row>
    <row r="929" customFormat="false" ht="25.5" hidden="false" customHeight="true" outlineLevel="0" collapsed="false">
      <c r="A929" s="49" t="s">
        <v>208</v>
      </c>
      <c r="B929" s="29" t="s">
        <v>910</v>
      </c>
      <c r="C929" s="49" t="s">
        <v>784</v>
      </c>
      <c r="D929" s="50" t="n">
        <v>1</v>
      </c>
      <c r="E929" s="51" t="n">
        <f aca="false">'Analisa Harga Satuan'!$H$1014</f>
        <v>324500</v>
      </c>
      <c r="F929" s="52" t="n">
        <f aca="false">ROUND(D929*E929,0)</f>
        <v>324500</v>
      </c>
      <c r="G929" s="49" t="s">
        <v>909</v>
      </c>
      <c r="H929" s="53" t="s">
        <v>181</v>
      </c>
    </row>
    <row r="930" customFormat="false" ht="25.5" hidden="false" customHeight="true" outlineLevel="0" collapsed="false">
      <c r="A930" s="49" t="s">
        <v>217</v>
      </c>
      <c r="B930" s="29" t="s">
        <v>911</v>
      </c>
      <c r="C930" s="49" t="s">
        <v>784</v>
      </c>
      <c r="D930" s="50" t="n">
        <v>1</v>
      </c>
      <c r="E930" s="51" t="n">
        <f aca="false">'Analisa Harga Satuan'!$H$1014</f>
        <v>324500</v>
      </c>
      <c r="F930" s="52" t="n">
        <f aca="false">ROUND(D930*E930,0)</f>
        <v>324500</v>
      </c>
      <c r="G930" s="49" t="s">
        <v>909</v>
      </c>
      <c r="H930" s="53" t="s">
        <v>181</v>
      </c>
    </row>
    <row r="931" customFormat="false" ht="15" hidden="false" customHeight="false" outlineLevel="0" collapsed="false">
      <c r="A931" s="60" t="s">
        <v>1134</v>
      </c>
      <c r="B931" s="61" t="s">
        <v>934</v>
      </c>
    </row>
    <row r="932" customFormat="false" ht="15" hidden="false" customHeight="false" outlineLevel="0" collapsed="false">
      <c r="A932" s="60" t="s">
        <v>78</v>
      </c>
      <c r="B932" s="61" t="s">
        <v>935</v>
      </c>
    </row>
    <row r="933" customFormat="false" ht="15" hidden="false" customHeight="false" outlineLevel="0" collapsed="false">
      <c r="A933" s="49" t="s">
        <v>139</v>
      </c>
      <c r="B933" s="29" t="s">
        <v>1138</v>
      </c>
      <c r="C933" s="49" t="s">
        <v>520</v>
      </c>
      <c r="D933" s="50" t="n">
        <v>14</v>
      </c>
      <c r="E933" s="51" t="n">
        <f aca="false">'Analisa Harga Satuan'!$H$1069</f>
        <v>4235000</v>
      </c>
      <c r="F933" s="52" t="n">
        <f aca="false">ROUND(D933*E933,0)</f>
        <v>59290000</v>
      </c>
      <c r="G933" s="49" t="s">
        <v>1139</v>
      </c>
      <c r="H933" s="53" t="s">
        <v>181</v>
      </c>
    </row>
    <row r="934" customFormat="false" ht="15" hidden="false" customHeight="false" outlineLevel="0" collapsed="false">
      <c r="A934" s="49" t="s">
        <v>141</v>
      </c>
      <c r="B934" s="29" t="s">
        <v>1140</v>
      </c>
      <c r="C934" s="49" t="s">
        <v>367</v>
      </c>
      <c r="D934" s="50" t="n">
        <v>40</v>
      </c>
      <c r="E934" s="51" t="n">
        <f aca="false">'Analisa Harga Satuan'!$H$1027</f>
        <v>115500</v>
      </c>
      <c r="F934" s="52" t="n">
        <f aca="false">ROUND(D934*E934,0)</f>
        <v>4620000</v>
      </c>
      <c r="G934" s="49" t="s">
        <v>952</v>
      </c>
      <c r="H934" s="53" t="s">
        <v>181</v>
      </c>
    </row>
    <row r="935" customFormat="false" ht="15" hidden="false" customHeight="false" outlineLevel="0" collapsed="false">
      <c r="A935" s="49" t="s">
        <v>143</v>
      </c>
      <c r="B935" s="29" t="s">
        <v>1141</v>
      </c>
      <c r="C935" s="49" t="s">
        <v>943</v>
      </c>
      <c r="D935" s="50" t="n">
        <v>1</v>
      </c>
      <c r="E935" s="51" t="n">
        <f aca="false">'Analisa Harga Satuan'!$H$1070</f>
        <v>10450000</v>
      </c>
      <c r="F935" s="52" t="n">
        <f aca="false">ROUND(D935*E935,0)</f>
        <v>10450000</v>
      </c>
      <c r="G935" s="49" t="s">
        <v>1142</v>
      </c>
      <c r="H935" s="53" t="s">
        <v>189</v>
      </c>
    </row>
    <row r="936" customFormat="false" ht="15" hidden="false" customHeight="false" outlineLevel="0" collapsed="false">
      <c r="B936" s="54" t="s">
        <v>1143</v>
      </c>
    </row>
    <row r="937" customFormat="false" ht="15" hidden="false" customHeight="false" outlineLevel="0" collapsed="false">
      <c r="A937" s="49" t="s">
        <v>145</v>
      </c>
      <c r="B937" s="29" t="s">
        <v>945</v>
      </c>
      <c r="C937" s="49" t="s">
        <v>179</v>
      </c>
      <c r="D937" s="50" t="n">
        <v>1</v>
      </c>
      <c r="E937" s="51" t="n">
        <f aca="false">'Analisa Harga Satuan'!$H$1025</f>
        <v>1375000</v>
      </c>
      <c r="F937" s="52" t="n">
        <f aca="false">ROUND(D937*E937,0)</f>
        <v>1375000</v>
      </c>
      <c r="G937" s="49" t="s">
        <v>946</v>
      </c>
      <c r="H937" s="53" t="s">
        <v>181</v>
      </c>
    </row>
    <row r="938" customFormat="false" ht="15" hidden="false" customHeight="false" outlineLevel="0" collapsed="false">
      <c r="A938" s="60" t="s">
        <v>93</v>
      </c>
      <c r="B938" s="61" t="s">
        <v>947</v>
      </c>
    </row>
    <row r="939" customFormat="false" ht="25.5" hidden="false" customHeight="true" outlineLevel="0" collapsed="false">
      <c r="A939" s="49" t="s">
        <v>139</v>
      </c>
      <c r="B939" s="29" t="s">
        <v>1144</v>
      </c>
      <c r="C939" s="49" t="s">
        <v>943</v>
      </c>
      <c r="D939" s="50" t="n">
        <v>1</v>
      </c>
      <c r="E939" s="51" t="n">
        <f aca="false">'Analisa Harga Satuan'!$H$1071</f>
        <v>13750000</v>
      </c>
      <c r="F939" s="52" t="n">
        <f aca="false">ROUND(D939*E939,0)</f>
        <v>13750000</v>
      </c>
      <c r="G939" s="49" t="s">
        <v>1145</v>
      </c>
      <c r="H939" s="53" t="s">
        <v>189</v>
      </c>
    </row>
    <row r="940" customFormat="false" ht="15" hidden="false" customHeight="false" outlineLevel="0" collapsed="false">
      <c r="A940" s="49" t="s">
        <v>141</v>
      </c>
      <c r="B940" s="29" t="s">
        <v>1146</v>
      </c>
      <c r="C940" s="49" t="s">
        <v>367</v>
      </c>
      <c r="D940" s="50" t="n">
        <v>40</v>
      </c>
      <c r="E940" s="51" t="n">
        <f aca="false">'Analisa Harga Satuan'!$H$1027</f>
        <v>115500</v>
      </c>
      <c r="F940" s="52" t="n">
        <f aca="false">ROUND(D940*E940,0)</f>
        <v>4620000</v>
      </c>
      <c r="G940" s="49" t="s">
        <v>952</v>
      </c>
      <c r="H940" s="53" t="s">
        <v>181</v>
      </c>
    </row>
    <row r="941" customFormat="false" ht="15" hidden="false" customHeight="false" outlineLevel="0" collapsed="false">
      <c r="A941" s="49" t="s">
        <v>143</v>
      </c>
      <c r="B941" s="29" t="s">
        <v>945</v>
      </c>
      <c r="C941" s="49" t="s">
        <v>179</v>
      </c>
      <c r="D941" s="50" t="n">
        <v>1</v>
      </c>
      <c r="E941" s="51" t="n">
        <f aca="false">'Analisa Harga Satuan'!$H$1025</f>
        <v>1375000</v>
      </c>
      <c r="F941" s="52" t="n">
        <f aca="false">ROUND(D941*E941,0)</f>
        <v>1375000</v>
      </c>
      <c r="G941" s="49" t="s">
        <v>946</v>
      </c>
      <c r="H941" s="53" t="s">
        <v>181</v>
      </c>
    </row>
    <row r="942" customFormat="false" ht="15" hidden="false" customHeight="false" outlineLevel="0" collapsed="false">
      <c r="A942" s="55"/>
      <c r="B942" s="56" t="s">
        <v>1147</v>
      </c>
      <c r="C942" s="55"/>
      <c r="D942" s="55"/>
      <c r="E942" s="55"/>
      <c r="F942" s="27" t="n">
        <f aca="false">SUM(F897:F941)</f>
        <v>197810415</v>
      </c>
      <c r="G942" s="55"/>
      <c r="H942" s="55"/>
    </row>
    <row r="943" customFormat="false" ht="15" hidden="false" customHeight="false" outlineLevel="0" collapsed="false">
      <c r="A943" s="57"/>
      <c r="B943" s="58" t="s">
        <v>101</v>
      </c>
      <c r="C943" s="57"/>
      <c r="D943" s="57"/>
      <c r="E943" s="57"/>
      <c r="F943" s="34" t="n">
        <f aca="false">F673+F766+F838+F849+F895+F942</f>
        <v>5683028385</v>
      </c>
      <c r="G943" s="57"/>
      <c r="H943" s="57"/>
    </row>
    <row r="945" customFormat="false" ht="15" hidden="false" customHeight="false" outlineLevel="0" collapsed="false">
      <c r="A945" s="59" t="s">
        <v>102</v>
      </c>
      <c r="B945" s="24" t="s">
        <v>103</v>
      </c>
      <c r="C945" s="23"/>
      <c r="D945" s="23"/>
      <c r="E945" s="23"/>
      <c r="F945" s="23"/>
      <c r="G945" s="23"/>
      <c r="H945" s="23"/>
    </row>
    <row r="946" customFormat="false" ht="15" hidden="false" customHeight="false" outlineLevel="0" collapsed="false">
      <c r="A946" s="46" t="s">
        <v>80</v>
      </c>
      <c r="B946" s="47" t="s">
        <v>104</v>
      </c>
      <c r="C946" s="48"/>
      <c r="D946" s="48"/>
      <c r="E946" s="48"/>
      <c r="F946" s="48"/>
      <c r="G946" s="48"/>
      <c r="H946" s="48"/>
    </row>
    <row r="947" customFormat="false" ht="15" hidden="false" customHeight="false" outlineLevel="0" collapsed="false">
      <c r="A947" s="60" t="s">
        <v>78</v>
      </c>
      <c r="B947" s="61" t="s">
        <v>959</v>
      </c>
    </row>
    <row r="948" customFormat="false" ht="15" hidden="false" customHeight="false" outlineLevel="0" collapsed="false">
      <c r="A948" s="49" t="s">
        <v>139</v>
      </c>
      <c r="B948" s="29" t="s">
        <v>302</v>
      </c>
      <c r="C948" s="49" t="s">
        <v>303</v>
      </c>
      <c r="D948" s="50" t="n">
        <v>85.2</v>
      </c>
      <c r="E948" s="51" t="n">
        <f aca="false">'Analisa Harga Satuan'!$F$17</f>
        <v>105050</v>
      </c>
      <c r="F948" s="52" t="n">
        <f aca="false">ROUND(D948*E948,0)</f>
        <v>8950260</v>
      </c>
      <c r="G948" s="49" t="s">
        <v>304</v>
      </c>
      <c r="H948" s="53" t="s">
        <v>305</v>
      </c>
    </row>
    <row r="949" customFormat="false" ht="15" hidden="false" customHeight="false" outlineLevel="0" collapsed="false">
      <c r="A949" s="49" t="s">
        <v>141</v>
      </c>
      <c r="B949" s="29" t="s">
        <v>306</v>
      </c>
      <c r="C949" s="49" t="s">
        <v>303</v>
      </c>
      <c r="D949" s="50" t="n">
        <v>85.2</v>
      </c>
      <c r="E949" s="51" t="n">
        <f aca="false">'Analisa Harga Satuan'!$F$31</f>
        <v>113135</v>
      </c>
      <c r="F949" s="52" t="n">
        <f aca="false">ROUND(D949*E949,0)</f>
        <v>9639102</v>
      </c>
      <c r="G949" s="49" t="s">
        <v>307</v>
      </c>
      <c r="H949" s="53" t="s">
        <v>305</v>
      </c>
    </row>
    <row r="950" customFormat="false" ht="15" hidden="false" customHeight="false" outlineLevel="0" collapsed="false">
      <c r="A950" s="49" t="s">
        <v>143</v>
      </c>
      <c r="B950" s="29" t="s">
        <v>960</v>
      </c>
      <c r="C950" s="49" t="s">
        <v>303</v>
      </c>
      <c r="D950" s="50" t="n">
        <v>7.1</v>
      </c>
      <c r="E950" s="51" t="n">
        <f aca="false">'Analisa Harga Satuan'!$F$57</f>
        <v>470250</v>
      </c>
      <c r="F950" s="52" t="n">
        <f aca="false">ROUND(D950*E950,0)</f>
        <v>3338775</v>
      </c>
      <c r="G950" s="49" t="s">
        <v>311</v>
      </c>
      <c r="H950" s="53" t="s">
        <v>305</v>
      </c>
    </row>
    <row r="951" customFormat="false" ht="15" hidden="false" customHeight="false" outlineLevel="0" collapsed="false">
      <c r="A951" s="60" t="s">
        <v>93</v>
      </c>
      <c r="B951" s="61" t="s">
        <v>312</v>
      </c>
    </row>
    <row r="952" customFormat="false" ht="15" hidden="false" customHeight="false" outlineLevel="0" collapsed="false">
      <c r="A952" s="49" t="s">
        <v>139</v>
      </c>
      <c r="B952" s="29" t="s">
        <v>313</v>
      </c>
      <c r="C952" s="49" t="s">
        <v>303</v>
      </c>
      <c r="D952" s="50" t="n">
        <v>521.62</v>
      </c>
      <c r="E952" s="51" t="n">
        <f aca="false">'Analisa Harga Satuan'!$F$73</f>
        <v>211750</v>
      </c>
      <c r="F952" s="52" t="n">
        <f aca="false">ROUND(D952*E952,0)</f>
        <v>110453035</v>
      </c>
      <c r="G952" s="49" t="s">
        <v>314</v>
      </c>
      <c r="H952" s="53" t="s">
        <v>305</v>
      </c>
    </row>
    <row r="953" customFormat="false" ht="15" hidden="false" customHeight="false" outlineLevel="0" collapsed="false">
      <c r="A953" s="49" t="s">
        <v>141</v>
      </c>
      <c r="B953" s="29" t="s">
        <v>315</v>
      </c>
      <c r="C953" s="49" t="s">
        <v>303</v>
      </c>
      <c r="D953" s="50" t="n">
        <v>521.62</v>
      </c>
      <c r="E953" s="51" t="n">
        <f aca="false">'Analisa Harga Satuan'!$F$89</f>
        <v>25355</v>
      </c>
      <c r="F953" s="52" t="n">
        <f aca="false">ROUND(D953*E953,0)</f>
        <v>13225675</v>
      </c>
      <c r="G953" s="49" t="s">
        <v>316</v>
      </c>
      <c r="H953" s="53" t="s">
        <v>305</v>
      </c>
    </row>
    <row r="954" customFormat="false" ht="15" hidden="false" customHeight="false" outlineLevel="0" collapsed="false">
      <c r="A954" s="49" t="s">
        <v>143</v>
      </c>
      <c r="B954" s="29" t="s">
        <v>310</v>
      </c>
      <c r="C954" s="49" t="s">
        <v>303</v>
      </c>
      <c r="D954" s="50" t="n">
        <v>53.28</v>
      </c>
      <c r="E954" s="51" t="n">
        <f aca="false">'Analisa Harga Satuan'!$F$57</f>
        <v>470250</v>
      </c>
      <c r="F954" s="52" t="n">
        <f aca="false">ROUND(D954*E954,0)</f>
        <v>25054920</v>
      </c>
      <c r="G954" s="49" t="s">
        <v>311</v>
      </c>
      <c r="H954" s="53" t="s">
        <v>305</v>
      </c>
    </row>
    <row r="955" customFormat="false" ht="15" hidden="false" customHeight="false" outlineLevel="0" collapsed="false">
      <c r="A955" s="55"/>
      <c r="B955" s="56" t="s">
        <v>1148</v>
      </c>
      <c r="C955" s="55"/>
      <c r="D955" s="55"/>
      <c r="E955" s="55"/>
      <c r="F955" s="27" t="n">
        <f aca="false">SUM(F947:F954)</f>
        <v>170661767</v>
      </c>
      <c r="G955" s="55"/>
      <c r="H955" s="55"/>
    </row>
    <row r="956" customFormat="false" ht="15" hidden="false" customHeight="false" outlineLevel="0" collapsed="false">
      <c r="A956" s="46" t="s">
        <v>82</v>
      </c>
      <c r="B956" s="47" t="s">
        <v>105</v>
      </c>
      <c r="C956" s="48"/>
      <c r="D956" s="48"/>
      <c r="E956" s="48"/>
      <c r="F956" s="48"/>
      <c r="G956" s="48"/>
      <c r="H956" s="48"/>
    </row>
    <row r="957" customFormat="false" ht="15" hidden="false" customHeight="false" outlineLevel="0" collapsed="false">
      <c r="A957" s="60" t="s">
        <v>962</v>
      </c>
      <c r="B957" s="61" t="s">
        <v>321</v>
      </c>
    </row>
    <row r="958" customFormat="false" ht="15" hidden="false" customHeight="false" outlineLevel="0" collapsed="false">
      <c r="A958" s="60" t="s">
        <v>78</v>
      </c>
      <c r="B958" s="61" t="s">
        <v>1149</v>
      </c>
    </row>
    <row r="959" customFormat="false" ht="25.5" hidden="false" customHeight="true" outlineLevel="0" collapsed="false">
      <c r="A959" s="49" t="s">
        <v>139</v>
      </c>
      <c r="B959" s="29" t="s">
        <v>341</v>
      </c>
      <c r="C959" s="49" t="s">
        <v>342</v>
      </c>
      <c r="D959" s="50" t="n">
        <v>142</v>
      </c>
      <c r="E959" s="51" t="n">
        <f aca="false">'Analisa Harga Satuan'!$H$839</f>
        <v>7480000</v>
      </c>
      <c r="F959" s="52" t="n">
        <f aca="false">ROUND(D959*E959,0)</f>
        <v>1062160000</v>
      </c>
      <c r="G959" s="49" t="s">
        <v>343</v>
      </c>
      <c r="H959" s="53" t="s">
        <v>181</v>
      </c>
    </row>
    <row r="960" customFormat="false" ht="15" hidden="false" customHeight="false" outlineLevel="0" collapsed="false">
      <c r="A960" s="49" t="s">
        <v>141</v>
      </c>
      <c r="B960" s="29" t="s">
        <v>344</v>
      </c>
      <c r="C960" s="49" t="s">
        <v>262</v>
      </c>
      <c r="D960" s="50" t="n">
        <v>1065</v>
      </c>
      <c r="E960" s="51" t="n">
        <f aca="false">'Analisa Harga Satuan'!$H$840</f>
        <v>181500</v>
      </c>
      <c r="F960" s="52" t="n">
        <f aca="false">ROUND(D960*E960,0)</f>
        <v>193297500</v>
      </c>
      <c r="G960" s="49" t="s">
        <v>345</v>
      </c>
      <c r="H960" s="53" t="s">
        <v>181</v>
      </c>
    </row>
    <row r="961" customFormat="false" ht="15" hidden="false" customHeight="false" outlineLevel="0" collapsed="false">
      <c r="A961" s="49" t="s">
        <v>143</v>
      </c>
      <c r="B961" s="29" t="s">
        <v>1150</v>
      </c>
      <c r="C961" s="49" t="s">
        <v>262</v>
      </c>
      <c r="D961" s="50" t="n">
        <v>89.22</v>
      </c>
      <c r="E961" s="51" t="n">
        <f aca="false">'Analisa Harga Satuan'!$H$1072</f>
        <v>104500</v>
      </c>
      <c r="F961" s="52" t="n">
        <f aca="false">ROUND(D961*E961,0)</f>
        <v>9323490</v>
      </c>
      <c r="G961" s="49" t="s">
        <v>1151</v>
      </c>
      <c r="H961" s="53" t="s">
        <v>181</v>
      </c>
    </row>
    <row r="962" customFormat="false" ht="15" hidden="false" customHeight="false" outlineLevel="0" collapsed="false">
      <c r="A962" s="49" t="s">
        <v>145</v>
      </c>
      <c r="B962" s="29" t="s">
        <v>346</v>
      </c>
      <c r="C962" s="49" t="s">
        <v>191</v>
      </c>
      <c r="D962" s="50" t="n">
        <v>71</v>
      </c>
      <c r="E962" s="51" t="n">
        <f aca="false">'Analisa Harga Satuan'!$H$841</f>
        <v>313500</v>
      </c>
      <c r="F962" s="52" t="n">
        <f aca="false">ROUND(D962*E962,0)</f>
        <v>22258500</v>
      </c>
      <c r="G962" s="49" t="s">
        <v>347</v>
      </c>
      <c r="H962" s="53" t="s">
        <v>181</v>
      </c>
    </row>
    <row r="963" customFormat="false" ht="15" hidden="false" customHeight="false" outlineLevel="0" collapsed="false">
      <c r="A963" s="49" t="s">
        <v>147</v>
      </c>
      <c r="B963" s="29" t="s">
        <v>348</v>
      </c>
      <c r="C963" s="49" t="s">
        <v>303</v>
      </c>
      <c r="D963" s="50" t="n">
        <v>47.05</v>
      </c>
      <c r="E963" s="51" t="n">
        <f aca="false">'Analisa Harga Satuan'!$F$57</f>
        <v>470250</v>
      </c>
      <c r="F963" s="52" t="n">
        <f aca="false">ROUND(D963*E963,0)</f>
        <v>22125263</v>
      </c>
      <c r="G963" s="49" t="s">
        <v>311</v>
      </c>
      <c r="H963" s="53" t="s">
        <v>305</v>
      </c>
    </row>
    <row r="964" customFormat="false" ht="15" hidden="false" customHeight="false" outlineLevel="0" collapsed="false">
      <c r="A964" s="49" t="s">
        <v>149</v>
      </c>
      <c r="B964" s="29" t="s">
        <v>349</v>
      </c>
      <c r="C964" s="49" t="s">
        <v>328</v>
      </c>
      <c r="D964" s="50" t="n">
        <v>1727.61</v>
      </c>
      <c r="E964" s="51" t="n">
        <f aca="false">'Analisa Harga Satuan'!$F$310</f>
        <v>23191</v>
      </c>
      <c r="F964" s="52" t="n">
        <f aca="false">ROUND(D964*E964,0)</f>
        <v>40065004</v>
      </c>
      <c r="G964" s="49" t="s">
        <v>329</v>
      </c>
      <c r="H964" s="53" t="s">
        <v>305</v>
      </c>
    </row>
    <row r="965" customFormat="false" ht="15" hidden="false" customHeight="false" outlineLevel="0" collapsed="false">
      <c r="A965" s="49" t="s">
        <v>151</v>
      </c>
      <c r="B965" s="29" t="s">
        <v>350</v>
      </c>
      <c r="C965" s="49" t="s">
        <v>303</v>
      </c>
      <c r="D965" s="50" t="n">
        <v>3.49</v>
      </c>
      <c r="E965" s="51" t="n">
        <f aca="false">'Analisa Harga Satuan'!$F$272</f>
        <v>1747048</v>
      </c>
      <c r="F965" s="52" t="n">
        <f aca="false">ROUND(D965*E965,0)</f>
        <v>6097198</v>
      </c>
      <c r="G965" s="49" t="s">
        <v>351</v>
      </c>
      <c r="H965" s="53" t="s">
        <v>305</v>
      </c>
    </row>
    <row r="966" customFormat="false" ht="15" hidden="false" customHeight="false" outlineLevel="0" collapsed="false">
      <c r="A966" s="60" t="s">
        <v>93</v>
      </c>
      <c r="B966" s="61" t="s">
        <v>1152</v>
      </c>
    </row>
    <row r="967" customFormat="false" ht="15" hidden="false" customHeight="false" outlineLevel="0" collapsed="false">
      <c r="A967" s="49" t="s">
        <v>139</v>
      </c>
      <c r="B967" s="29" t="s">
        <v>323</v>
      </c>
      <c r="C967" s="49" t="s">
        <v>303</v>
      </c>
      <c r="D967" s="50" t="n">
        <v>3.2</v>
      </c>
      <c r="E967" s="51" t="n">
        <f aca="false">'Analisa Harga Satuan'!$F$228</f>
        <v>1386820</v>
      </c>
      <c r="F967" s="52" t="n">
        <f aca="false">ROUND(D967*E967,0)</f>
        <v>4437824</v>
      </c>
      <c r="G967" s="49" t="s">
        <v>324</v>
      </c>
      <c r="H967" s="53" t="s">
        <v>305</v>
      </c>
    </row>
    <row r="968" customFormat="false" ht="15" hidden="false" customHeight="false" outlineLevel="0" collapsed="false">
      <c r="A968" s="49" t="s">
        <v>141</v>
      </c>
      <c r="B968" s="29" t="s">
        <v>325</v>
      </c>
      <c r="C968" s="49" t="s">
        <v>303</v>
      </c>
      <c r="D968" s="50" t="n">
        <v>25.92</v>
      </c>
      <c r="E968" s="51" t="n">
        <f aca="false">'Analisa Harga Satuan'!$F$294</f>
        <v>1803236</v>
      </c>
      <c r="F968" s="52" t="n">
        <f aca="false">ROUND(D968*E968,0)</f>
        <v>46739877</v>
      </c>
      <c r="G968" s="49" t="s">
        <v>326</v>
      </c>
      <c r="H968" s="53" t="s">
        <v>305</v>
      </c>
    </row>
    <row r="969" customFormat="false" ht="15" hidden="false" customHeight="false" outlineLevel="0" collapsed="false">
      <c r="A969" s="49" t="s">
        <v>143</v>
      </c>
      <c r="B969" s="29" t="s">
        <v>327</v>
      </c>
      <c r="C969" s="49" t="s">
        <v>328</v>
      </c>
      <c r="D969" s="50" t="n">
        <v>2600.99</v>
      </c>
      <c r="E969" s="51" t="n">
        <f aca="false">'Analisa Harga Satuan'!$F$310</f>
        <v>23191</v>
      </c>
      <c r="F969" s="52" t="n">
        <f aca="false">ROUND(D969*E969,0)</f>
        <v>60319559</v>
      </c>
      <c r="G969" s="49" t="s">
        <v>329</v>
      </c>
      <c r="H969" s="53" t="s">
        <v>305</v>
      </c>
    </row>
    <row r="970" customFormat="false" ht="15" hidden="false" customHeight="false" outlineLevel="0" collapsed="false">
      <c r="A970" s="49" t="s">
        <v>145</v>
      </c>
      <c r="B970" s="29" t="s">
        <v>330</v>
      </c>
      <c r="C970" s="49" t="s">
        <v>331</v>
      </c>
      <c r="D970" s="50" t="n">
        <v>57.6</v>
      </c>
      <c r="E970" s="51" t="n">
        <f aca="false">'Analisa Harga Satuan'!$F$330</f>
        <v>398959</v>
      </c>
      <c r="F970" s="52" t="n">
        <f aca="false">ROUND(D970*E970,0)</f>
        <v>22980038</v>
      </c>
      <c r="G970" s="49" t="s">
        <v>332</v>
      </c>
      <c r="H970" s="53" t="s">
        <v>305</v>
      </c>
    </row>
    <row r="971" customFormat="false" ht="15" hidden="false" customHeight="false" outlineLevel="0" collapsed="false">
      <c r="A971" s="60" t="s">
        <v>102</v>
      </c>
      <c r="B971" s="61" t="s">
        <v>1153</v>
      </c>
    </row>
    <row r="972" customFormat="false" ht="15" hidden="false" customHeight="false" outlineLevel="0" collapsed="false">
      <c r="A972" s="49" t="s">
        <v>139</v>
      </c>
      <c r="B972" s="29" t="s">
        <v>323</v>
      </c>
      <c r="C972" s="49" t="s">
        <v>303</v>
      </c>
      <c r="D972" s="50" t="n">
        <v>0.5</v>
      </c>
      <c r="E972" s="51" t="n">
        <f aca="false">'Analisa Harga Satuan'!$F$228</f>
        <v>1386820</v>
      </c>
      <c r="F972" s="52" t="n">
        <f aca="false">ROUND(D972*E972,0)</f>
        <v>693410</v>
      </c>
      <c r="G972" s="49" t="s">
        <v>324</v>
      </c>
      <c r="H972" s="53" t="s">
        <v>305</v>
      </c>
    </row>
    <row r="973" customFormat="false" ht="15" hidden="false" customHeight="false" outlineLevel="0" collapsed="false">
      <c r="A973" s="49" t="s">
        <v>141</v>
      </c>
      <c r="B973" s="29" t="s">
        <v>325</v>
      </c>
      <c r="C973" s="49" t="s">
        <v>303</v>
      </c>
      <c r="D973" s="50" t="n">
        <v>2.8</v>
      </c>
      <c r="E973" s="51" t="n">
        <f aca="false">'Analisa Harga Satuan'!$F$294</f>
        <v>1803236</v>
      </c>
      <c r="F973" s="52" t="n">
        <f aca="false">ROUND(D973*E973,0)</f>
        <v>5049061</v>
      </c>
      <c r="G973" s="49" t="s">
        <v>326</v>
      </c>
      <c r="H973" s="53" t="s">
        <v>305</v>
      </c>
    </row>
    <row r="974" customFormat="false" ht="15" hidden="false" customHeight="false" outlineLevel="0" collapsed="false">
      <c r="A974" s="49" t="s">
        <v>143</v>
      </c>
      <c r="B974" s="29" t="s">
        <v>327</v>
      </c>
      <c r="C974" s="49" t="s">
        <v>328</v>
      </c>
      <c r="D974" s="50" t="n">
        <v>291.28</v>
      </c>
      <c r="E974" s="51" t="n">
        <f aca="false">'Analisa Harga Satuan'!$F$310</f>
        <v>23191</v>
      </c>
      <c r="F974" s="52" t="n">
        <f aca="false">ROUND(D974*E974,0)</f>
        <v>6755074</v>
      </c>
      <c r="G974" s="49" t="s">
        <v>329</v>
      </c>
      <c r="H974" s="53" t="s">
        <v>305</v>
      </c>
    </row>
    <row r="975" customFormat="false" ht="15" hidden="false" customHeight="false" outlineLevel="0" collapsed="false">
      <c r="A975" s="49" t="s">
        <v>145</v>
      </c>
      <c r="B975" s="29" t="s">
        <v>330</v>
      </c>
      <c r="C975" s="49" t="s">
        <v>331</v>
      </c>
      <c r="D975" s="50" t="n">
        <v>11.2</v>
      </c>
      <c r="E975" s="51" t="n">
        <f aca="false">'Analisa Harga Satuan'!$F$330</f>
        <v>398959</v>
      </c>
      <c r="F975" s="52" t="n">
        <f aca="false">ROUND(D975*E975,0)</f>
        <v>4468341</v>
      </c>
      <c r="G975" s="49" t="s">
        <v>332</v>
      </c>
      <c r="H975" s="53" t="s">
        <v>305</v>
      </c>
    </row>
    <row r="976" customFormat="false" ht="15" hidden="false" customHeight="false" outlineLevel="0" collapsed="false">
      <c r="A976" s="60" t="s">
        <v>111</v>
      </c>
      <c r="B976" s="61" t="s">
        <v>1154</v>
      </c>
    </row>
    <row r="977" customFormat="false" ht="15" hidden="false" customHeight="false" outlineLevel="0" collapsed="false">
      <c r="A977" s="49" t="s">
        <v>139</v>
      </c>
      <c r="B977" s="29" t="s">
        <v>325</v>
      </c>
      <c r="C977" s="49" t="s">
        <v>303</v>
      </c>
      <c r="D977" s="50" t="n">
        <v>5.76</v>
      </c>
      <c r="E977" s="51" t="n">
        <f aca="false">'Analisa Harga Satuan'!$F$294</f>
        <v>1803236</v>
      </c>
      <c r="F977" s="52" t="n">
        <f aca="false">ROUND(D977*E977,0)</f>
        <v>10386639</v>
      </c>
      <c r="G977" s="49" t="s">
        <v>326</v>
      </c>
      <c r="H977" s="53" t="s">
        <v>305</v>
      </c>
    </row>
    <row r="978" customFormat="false" ht="15" hidden="false" customHeight="false" outlineLevel="0" collapsed="false">
      <c r="A978" s="49" t="s">
        <v>141</v>
      </c>
      <c r="B978" s="29" t="s">
        <v>327</v>
      </c>
      <c r="C978" s="49" t="s">
        <v>328</v>
      </c>
      <c r="D978" s="50" t="n">
        <v>960.42</v>
      </c>
      <c r="E978" s="51" t="n">
        <f aca="false">'Analisa Harga Satuan'!$F$310</f>
        <v>23191</v>
      </c>
      <c r="F978" s="52" t="n">
        <f aca="false">ROUND(D978*E978,0)</f>
        <v>22273100</v>
      </c>
      <c r="G978" s="49" t="s">
        <v>329</v>
      </c>
      <c r="H978" s="53" t="s">
        <v>305</v>
      </c>
    </row>
    <row r="979" customFormat="false" ht="15" hidden="false" customHeight="false" outlineLevel="0" collapsed="false">
      <c r="A979" s="49" t="s">
        <v>143</v>
      </c>
      <c r="B979" s="29" t="s">
        <v>330</v>
      </c>
      <c r="C979" s="49" t="s">
        <v>331</v>
      </c>
      <c r="D979" s="50" t="n">
        <v>48</v>
      </c>
      <c r="E979" s="51" t="n">
        <f aca="false">'Analisa Harga Satuan'!$F$330</f>
        <v>398959</v>
      </c>
      <c r="F979" s="52" t="n">
        <f aca="false">ROUND(D979*E979,0)</f>
        <v>19150032</v>
      </c>
      <c r="G979" s="49" t="s">
        <v>332</v>
      </c>
      <c r="H979" s="53" t="s">
        <v>305</v>
      </c>
    </row>
    <row r="980" customFormat="false" ht="15" hidden="false" customHeight="false" outlineLevel="0" collapsed="false">
      <c r="A980" s="60" t="s">
        <v>119</v>
      </c>
      <c r="B980" s="61" t="s">
        <v>1155</v>
      </c>
    </row>
    <row r="981" customFormat="false" ht="15" hidden="false" customHeight="false" outlineLevel="0" collapsed="false">
      <c r="A981" s="49" t="s">
        <v>139</v>
      </c>
      <c r="B981" s="29" t="s">
        <v>325</v>
      </c>
      <c r="C981" s="49" t="s">
        <v>303</v>
      </c>
      <c r="D981" s="50" t="n">
        <v>1.23</v>
      </c>
      <c r="E981" s="51" t="n">
        <f aca="false">'Analisa Harga Satuan'!$F$294</f>
        <v>1803236</v>
      </c>
      <c r="F981" s="52" t="n">
        <f aca="false">ROUND(D981*E981,0)</f>
        <v>2217980</v>
      </c>
      <c r="G981" s="49" t="s">
        <v>326</v>
      </c>
      <c r="H981" s="53" t="s">
        <v>305</v>
      </c>
    </row>
    <row r="982" customFormat="false" ht="15" hidden="false" customHeight="false" outlineLevel="0" collapsed="false">
      <c r="A982" s="49" t="s">
        <v>141</v>
      </c>
      <c r="B982" s="29" t="s">
        <v>327</v>
      </c>
      <c r="C982" s="49" t="s">
        <v>328</v>
      </c>
      <c r="D982" s="50" t="n">
        <v>271.24</v>
      </c>
      <c r="E982" s="51" t="n">
        <f aca="false">'Analisa Harga Satuan'!$F$310</f>
        <v>23191</v>
      </c>
      <c r="F982" s="52" t="n">
        <f aca="false">ROUND(D982*E982,0)</f>
        <v>6290327</v>
      </c>
      <c r="G982" s="49" t="s">
        <v>329</v>
      </c>
      <c r="H982" s="53" t="s">
        <v>305</v>
      </c>
    </row>
    <row r="983" customFormat="false" ht="15" hidden="false" customHeight="false" outlineLevel="0" collapsed="false">
      <c r="A983" s="49" t="s">
        <v>143</v>
      </c>
      <c r="B983" s="29" t="s">
        <v>330</v>
      </c>
      <c r="C983" s="49" t="s">
        <v>331</v>
      </c>
      <c r="D983" s="50" t="n">
        <v>12.32</v>
      </c>
      <c r="E983" s="51" t="n">
        <f aca="false">'Analisa Harga Satuan'!$F$330</f>
        <v>398959</v>
      </c>
      <c r="F983" s="52" t="n">
        <f aca="false">ROUND(D983*E983,0)</f>
        <v>4915175</v>
      </c>
      <c r="G983" s="49" t="s">
        <v>332</v>
      </c>
      <c r="H983" s="53" t="s">
        <v>305</v>
      </c>
    </row>
    <row r="984" customFormat="false" ht="15" hidden="false" customHeight="false" outlineLevel="0" collapsed="false">
      <c r="A984" s="60" t="s">
        <v>127</v>
      </c>
      <c r="B984" s="61" t="s">
        <v>970</v>
      </c>
    </row>
    <row r="985" customFormat="false" ht="15" hidden="false" customHeight="false" outlineLevel="0" collapsed="false">
      <c r="A985" s="49" t="s">
        <v>139</v>
      </c>
      <c r="B985" s="29" t="s">
        <v>323</v>
      </c>
      <c r="C985" s="49" t="s">
        <v>303</v>
      </c>
      <c r="D985" s="50" t="n">
        <v>4.09</v>
      </c>
      <c r="E985" s="51" t="n">
        <f aca="false">'Analisa Harga Satuan'!$F$228</f>
        <v>1386820</v>
      </c>
      <c r="F985" s="52" t="n">
        <f aca="false">ROUND(D985*E985,0)</f>
        <v>5672094</v>
      </c>
      <c r="G985" s="49" t="s">
        <v>324</v>
      </c>
      <c r="H985" s="53" t="s">
        <v>305</v>
      </c>
    </row>
    <row r="986" customFormat="false" ht="15" hidden="false" customHeight="false" outlineLevel="0" collapsed="false">
      <c r="A986" s="49" t="s">
        <v>141</v>
      </c>
      <c r="B986" s="29" t="s">
        <v>325</v>
      </c>
      <c r="C986" s="49" t="s">
        <v>303</v>
      </c>
      <c r="D986" s="50" t="n">
        <v>40.85</v>
      </c>
      <c r="E986" s="51" t="n">
        <f aca="false">'Analisa Harga Satuan'!$F$294</f>
        <v>1803236</v>
      </c>
      <c r="F986" s="52" t="n">
        <f aca="false">ROUND(D986*E986,0)</f>
        <v>73662191</v>
      </c>
      <c r="G986" s="49" t="s">
        <v>326</v>
      </c>
      <c r="H986" s="53" t="s">
        <v>305</v>
      </c>
    </row>
    <row r="987" customFormat="false" ht="15" hidden="false" customHeight="false" outlineLevel="0" collapsed="false">
      <c r="A987" s="49" t="s">
        <v>143</v>
      </c>
      <c r="B987" s="29" t="s">
        <v>327</v>
      </c>
      <c r="C987" s="49" t="s">
        <v>328</v>
      </c>
      <c r="D987" s="50" t="n">
        <v>8267.16</v>
      </c>
      <c r="E987" s="51" t="n">
        <f aca="false">'Analisa Harga Satuan'!$F$310</f>
        <v>23191</v>
      </c>
      <c r="F987" s="52" t="n">
        <f aca="false">ROUND(D987*E987,0)</f>
        <v>191723708</v>
      </c>
      <c r="G987" s="49" t="s">
        <v>329</v>
      </c>
      <c r="H987" s="53" t="s">
        <v>305</v>
      </c>
    </row>
    <row r="988" customFormat="false" ht="15" hidden="false" customHeight="false" outlineLevel="0" collapsed="false">
      <c r="A988" s="49" t="s">
        <v>145</v>
      </c>
      <c r="B988" s="29" t="s">
        <v>330</v>
      </c>
      <c r="C988" s="49" t="s">
        <v>331</v>
      </c>
      <c r="D988" s="50" t="n">
        <v>272.3</v>
      </c>
      <c r="E988" s="51" t="n">
        <f aca="false">'Analisa Harga Satuan'!$F$330</f>
        <v>398959</v>
      </c>
      <c r="F988" s="52" t="n">
        <f aca="false">ROUND(D988*E988,0)</f>
        <v>108636536</v>
      </c>
      <c r="G988" s="49" t="s">
        <v>332</v>
      </c>
      <c r="H988" s="53" t="s">
        <v>305</v>
      </c>
    </row>
    <row r="989" customFormat="false" ht="15" hidden="false" customHeight="false" outlineLevel="0" collapsed="false">
      <c r="A989" s="60" t="s">
        <v>137</v>
      </c>
      <c r="B989" s="61" t="s">
        <v>971</v>
      </c>
    </row>
    <row r="990" customFormat="false" ht="15" hidden="false" customHeight="false" outlineLevel="0" collapsed="false">
      <c r="A990" s="49" t="s">
        <v>139</v>
      </c>
      <c r="B990" s="29" t="s">
        <v>355</v>
      </c>
      <c r="C990" s="49" t="s">
        <v>303</v>
      </c>
      <c r="D990" s="50" t="n">
        <v>1.26</v>
      </c>
      <c r="E990" s="51" t="n">
        <f aca="false">'Analisa Harga Satuan'!$F$272</f>
        <v>1747048</v>
      </c>
      <c r="F990" s="52" t="n">
        <f aca="false">ROUND(D990*E990,0)</f>
        <v>2201280</v>
      </c>
      <c r="G990" s="49" t="s">
        <v>351</v>
      </c>
      <c r="H990" s="53" t="s">
        <v>305</v>
      </c>
    </row>
    <row r="991" customFormat="false" ht="15" hidden="false" customHeight="false" outlineLevel="0" collapsed="false">
      <c r="A991" s="49" t="s">
        <v>141</v>
      </c>
      <c r="B991" s="29" t="s">
        <v>327</v>
      </c>
      <c r="C991" s="49" t="s">
        <v>328</v>
      </c>
      <c r="D991" s="50" t="n">
        <v>328.53</v>
      </c>
      <c r="E991" s="51" t="n">
        <f aca="false">'Analisa Harga Satuan'!$F$310</f>
        <v>23191</v>
      </c>
      <c r="F991" s="52" t="n">
        <f aca="false">ROUND(D991*E991,0)</f>
        <v>7618939</v>
      </c>
      <c r="G991" s="49" t="s">
        <v>329</v>
      </c>
      <c r="H991" s="53" t="s">
        <v>305</v>
      </c>
    </row>
    <row r="992" customFormat="false" ht="15" hidden="false" customHeight="false" outlineLevel="0" collapsed="false">
      <c r="A992" s="49" t="s">
        <v>143</v>
      </c>
      <c r="B992" s="29" t="s">
        <v>330</v>
      </c>
      <c r="C992" s="49" t="s">
        <v>331</v>
      </c>
      <c r="D992" s="50" t="n">
        <v>16.83</v>
      </c>
      <c r="E992" s="51" t="n">
        <f aca="false">'Analisa Harga Satuan'!$F$330</f>
        <v>398959</v>
      </c>
      <c r="F992" s="52" t="n">
        <f aca="false">ROUND(D992*E992,0)</f>
        <v>6714480</v>
      </c>
      <c r="G992" s="49" t="s">
        <v>332</v>
      </c>
      <c r="H992" s="53" t="s">
        <v>305</v>
      </c>
    </row>
    <row r="993" customFormat="false" ht="15" hidden="false" customHeight="false" outlineLevel="0" collapsed="false">
      <c r="A993" s="60" t="s">
        <v>972</v>
      </c>
      <c r="B993" s="61" t="s">
        <v>353</v>
      </c>
    </row>
    <row r="994" customFormat="false" ht="23.85" hidden="false" customHeight="false" outlineLevel="0" collapsed="false">
      <c r="B994" s="54" t="s">
        <v>973</v>
      </c>
    </row>
    <row r="995" customFormat="false" ht="15" hidden="false" customHeight="false" outlineLevel="0" collapsed="false">
      <c r="A995" s="60" t="s">
        <v>78</v>
      </c>
      <c r="B995" s="61" t="s">
        <v>974</v>
      </c>
    </row>
    <row r="996" customFormat="false" ht="15" hidden="false" customHeight="false" outlineLevel="0" collapsed="false">
      <c r="A996" s="49" t="s">
        <v>139</v>
      </c>
      <c r="B996" s="29" t="s">
        <v>975</v>
      </c>
      <c r="C996" s="49" t="s">
        <v>976</v>
      </c>
      <c r="D996" s="50" t="n">
        <v>155.43</v>
      </c>
      <c r="E996" s="51" t="n">
        <f aca="false">'Analisa Harga Satuan'!$F$765</f>
        <v>23320</v>
      </c>
      <c r="F996" s="52" t="n">
        <f aca="false">ROUND(D996*E996,0)</f>
        <v>3624628</v>
      </c>
      <c r="G996" s="49" t="s">
        <v>977</v>
      </c>
      <c r="H996" s="53" t="s">
        <v>305</v>
      </c>
    </row>
    <row r="997" customFormat="false" ht="15" hidden="false" customHeight="false" outlineLevel="0" collapsed="false">
      <c r="A997" s="49" t="s">
        <v>141</v>
      </c>
      <c r="B997" s="29" t="s">
        <v>978</v>
      </c>
      <c r="C997" s="49" t="s">
        <v>976</v>
      </c>
      <c r="D997" s="50" t="n">
        <v>32.97</v>
      </c>
      <c r="E997" s="51" t="n">
        <f aca="false">'Analisa Harga Satuan'!$F$765</f>
        <v>23320</v>
      </c>
      <c r="F997" s="52" t="n">
        <f aca="false">ROUND(D997*E997,0)</f>
        <v>768860</v>
      </c>
      <c r="G997" s="49" t="s">
        <v>977</v>
      </c>
      <c r="H997" s="53" t="s">
        <v>305</v>
      </c>
    </row>
    <row r="998" customFormat="false" ht="15" hidden="false" customHeight="false" outlineLevel="0" collapsed="false">
      <c r="A998" s="49" t="s">
        <v>143</v>
      </c>
      <c r="B998" s="29" t="s">
        <v>979</v>
      </c>
      <c r="C998" s="49" t="s">
        <v>206</v>
      </c>
      <c r="D998" s="50" t="n">
        <v>64</v>
      </c>
      <c r="E998" s="51" t="n">
        <f aca="false">'Analisa Harga Satuan'!$H$1031</f>
        <v>57200</v>
      </c>
      <c r="F998" s="52" t="n">
        <f aca="false">ROUND(D998*E998,0)</f>
        <v>3660800</v>
      </c>
      <c r="G998" s="49" t="s">
        <v>980</v>
      </c>
      <c r="H998" s="53" t="s">
        <v>181</v>
      </c>
    </row>
    <row r="999" customFormat="false" ht="15" hidden="false" customHeight="false" outlineLevel="0" collapsed="false">
      <c r="A999" s="49" t="s">
        <v>145</v>
      </c>
      <c r="B999" s="29" t="s">
        <v>981</v>
      </c>
      <c r="C999" s="49" t="s">
        <v>206</v>
      </c>
      <c r="D999" s="50" t="n">
        <v>28</v>
      </c>
      <c r="E999" s="51" t="n">
        <f aca="false">'Analisa Harga Satuan'!$H$1032</f>
        <v>41800</v>
      </c>
      <c r="F999" s="52" t="n">
        <f aca="false">ROUND(D999*E999,0)</f>
        <v>1170400</v>
      </c>
      <c r="G999" s="49" t="s">
        <v>982</v>
      </c>
      <c r="H999" s="53" t="s">
        <v>181</v>
      </c>
    </row>
    <row r="1000" customFormat="false" ht="15" hidden="false" customHeight="false" outlineLevel="0" collapsed="false">
      <c r="A1000" s="49" t="s">
        <v>147</v>
      </c>
      <c r="B1000" s="29" t="s">
        <v>983</v>
      </c>
      <c r="C1000" s="49" t="s">
        <v>303</v>
      </c>
      <c r="D1000" s="50" t="n">
        <v>0.13</v>
      </c>
      <c r="E1000" s="51" t="n">
        <f aca="false">'Analisa Harga Satuan'!$H$1033</f>
        <v>27225000</v>
      </c>
      <c r="F1000" s="52" t="n">
        <f aca="false">ROUND(D1000*E1000,0)</f>
        <v>3539250</v>
      </c>
      <c r="G1000" s="49" t="s">
        <v>984</v>
      </c>
      <c r="H1000" s="53" t="s">
        <v>181</v>
      </c>
    </row>
    <row r="1001" customFormat="false" ht="15" hidden="false" customHeight="false" outlineLevel="0" collapsed="false">
      <c r="A1001" s="49" t="s">
        <v>149</v>
      </c>
      <c r="B1001" s="29" t="s">
        <v>985</v>
      </c>
      <c r="C1001" s="49" t="s">
        <v>976</v>
      </c>
      <c r="D1001" s="50" t="n">
        <v>4712</v>
      </c>
      <c r="E1001" s="51" t="n">
        <f aca="false">'Analisa Harga Satuan'!$F$765</f>
        <v>23320</v>
      </c>
      <c r="F1001" s="52" t="n">
        <f aca="false">ROUND(D1001*E1001,0)</f>
        <v>109883840</v>
      </c>
      <c r="G1001" s="49" t="s">
        <v>977</v>
      </c>
      <c r="H1001" s="53" t="s">
        <v>305</v>
      </c>
    </row>
    <row r="1002" customFormat="false" ht="15" hidden="false" customHeight="false" outlineLevel="0" collapsed="false">
      <c r="A1002" s="49" t="s">
        <v>151</v>
      </c>
      <c r="B1002" s="29" t="s">
        <v>986</v>
      </c>
      <c r="C1002" s="49" t="s">
        <v>976</v>
      </c>
      <c r="D1002" s="50" t="n">
        <v>562.107</v>
      </c>
      <c r="E1002" s="51" t="n">
        <f aca="false">'Analisa Harga Satuan'!$F$765</f>
        <v>23320</v>
      </c>
      <c r="F1002" s="52" t="n">
        <f aca="false">ROUND(D1002*E1002,0)</f>
        <v>13108335</v>
      </c>
      <c r="G1002" s="49" t="s">
        <v>977</v>
      </c>
      <c r="H1002" s="53" t="s">
        <v>305</v>
      </c>
    </row>
    <row r="1003" customFormat="false" ht="15" hidden="false" customHeight="false" outlineLevel="0" collapsed="false">
      <c r="A1003" s="49" t="s">
        <v>423</v>
      </c>
      <c r="B1003" s="29" t="s">
        <v>987</v>
      </c>
      <c r="C1003" s="49" t="s">
        <v>976</v>
      </c>
      <c r="D1003" s="50" t="n">
        <v>2124.888</v>
      </c>
      <c r="E1003" s="51" t="n">
        <f aca="false">'Analisa Harga Satuan'!$F$765</f>
        <v>23320</v>
      </c>
      <c r="F1003" s="52" t="n">
        <f aca="false">ROUND(D1003*E1003,0)</f>
        <v>49552388</v>
      </c>
      <c r="G1003" s="49" t="s">
        <v>977</v>
      </c>
      <c r="H1003" s="53" t="s">
        <v>305</v>
      </c>
    </row>
    <row r="1004" customFormat="false" ht="15" hidden="false" customHeight="false" outlineLevel="0" collapsed="false">
      <c r="A1004" s="49" t="s">
        <v>208</v>
      </c>
      <c r="B1004" s="29" t="s">
        <v>988</v>
      </c>
      <c r="C1004" s="49" t="s">
        <v>976</v>
      </c>
      <c r="D1004" s="50" t="n">
        <v>2124.888</v>
      </c>
      <c r="E1004" s="51" t="n">
        <f aca="false">'Analisa Harga Satuan'!$F$765</f>
        <v>23320</v>
      </c>
      <c r="F1004" s="52" t="n">
        <f aca="false">ROUND(D1004*E1004,0)</f>
        <v>49552388</v>
      </c>
      <c r="G1004" s="49" t="s">
        <v>977</v>
      </c>
      <c r="H1004" s="53" t="s">
        <v>305</v>
      </c>
    </row>
    <row r="1005" customFormat="false" ht="15" hidden="false" customHeight="false" outlineLevel="0" collapsed="false">
      <c r="A1005" s="49" t="s">
        <v>217</v>
      </c>
      <c r="B1005" s="29" t="s">
        <v>989</v>
      </c>
      <c r="C1005" s="49" t="s">
        <v>976</v>
      </c>
      <c r="D1005" s="50" t="n">
        <v>1055.25</v>
      </c>
      <c r="E1005" s="51" t="n">
        <f aca="false">'Analisa Harga Satuan'!$F$765</f>
        <v>23320</v>
      </c>
      <c r="F1005" s="52" t="n">
        <f aca="false">ROUND(D1005*E1005,0)</f>
        <v>24608430</v>
      </c>
      <c r="G1005" s="49" t="s">
        <v>977</v>
      </c>
      <c r="H1005" s="53" t="s">
        <v>305</v>
      </c>
    </row>
    <row r="1006" customFormat="false" ht="15" hidden="false" customHeight="false" outlineLevel="0" collapsed="false">
      <c r="A1006" s="49" t="s">
        <v>221</v>
      </c>
      <c r="B1006" s="29" t="s">
        <v>990</v>
      </c>
      <c r="C1006" s="49" t="s">
        <v>976</v>
      </c>
      <c r="D1006" s="50" t="n">
        <v>200.85</v>
      </c>
      <c r="E1006" s="51" t="n">
        <f aca="false">'Analisa Harga Satuan'!$F$765</f>
        <v>23320</v>
      </c>
      <c r="F1006" s="52" t="n">
        <f aca="false">ROUND(D1006*E1006,0)</f>
        <v>4683822</v>
      </c>
      <c r="G1006" s="49" t="s">
        <v>977</v>
      </c>
      <c r="H1006" s="53" t="s">
        <v>305</v>
      </c>
    </row>
    <row r="1007" customFormat="false" ht="15" hidden="false" customHeight="false" outlineLevel="0" collapsed="false">
      <c r="A1007" s="49" t="s">
        <v>689</v>
      </c>
      <c r="B1007" s="29" t="s">
        <v>991</v>
      </c>
      <c r="C1007" s="49" t="s">
        <v>976</v>
      </c>
      <c r="D1007" s="50" t="n">
        <v>34.7</v>
      </c>
      <c r="E1007" s="51" t="n">
        <f aca="false">'Analisa Harga Satuan'!$F$765</f>
        <v>23320</v>
      </c>
      <c r="F1007" s="52" t="n">
        <f aca="false">ROUND(D1007*E1007,0)</f>
        <v>809204</v>
      </c>
      <c r="G1007" s="49" t="s">
        <v>977</v>
      </c>
      <c r="H1007" s="53" t="s">
        <v>305</v>
      </c>
    </row>
    <row r="1008" customFormat="false" ht="15" hidden="false" customHeight="false" outlineLevel="0" collapsed="false">
      <c r="A1008" s="49" t="s">
        <v>692</v>
      </c>
      <c r="B1008" s="29" t="s">
        <v>992</v>
      </c>
      <c r="C1008" s="49" t="s">
        <v>206</v>
      </c>
      <c r="D1008" s="50" t="n">
        <v>378</v>
      </c>
      <c r="E1008" s="51" t="n">
        <f aca="false">'Analisa Harga Satuan'!$H$1034</f>
        <v>52800</v>
      </c>
      <c r="F1008" s="52" t="n">
        <f aca="false">ROUND(D1008*E1008,0)</f>
        <v>19958400</v>
      </c>
      <c r="G1008" s="49" t="s">
        <v>993</v>
      </c>
      <c r="H1008" s="53" t="s">
        <v>181</v>
      </c>
    </row>
    <row r="1009" customFormat="false" ht="25.5" hidden="false" customHeight="true" outlineLevel="0" collapsed="false">
      <c r="A1009" s="49" t="s">
        <v>994</v>
      </c>
      <c r="B1009" s="29" t="s">
        <v>995</v>
      </c>
      <c r="C1009" s="49" t="s">
        <v>328</v>
      </c>
      <c r="D1009" s="50" t="n">
        <v>10579.13</v>
      </c>
      <c r="E1009" s="51" t="n">
        <f aca="false">'Analisa Harga Satuan'!$F$785</f>
        <v>14430</v>
      </c>
      <c r="F1009" s="52" t="n">
        <f aca="false">ROUND(D1009*E1009,0)</f>
        <v>152656846</v>
      </c>
      <c r="G1009" s="49" t="s">
        <v>996</v>
      </c>
      <c r="H1009" s="53" t="s">
        <v>305</v>
      </c>
    </row>
    <row r="1010" customFormat="false" ht="15" hidden="false" customHeight="false" outlineLevel="0" collapsed="false">
      <c r="A1010" s="60" t="s">
        <v>93</v>
      </c>
      <c r="B1010" s="61" t="s">
        <v>997</v>
      </c>
    </row>
    <row r="1011" customFormat="false" ht="15" hidden="false" customHeight="false" outlineLevel="0" collapsed="false">
      <c r="A1011" s="49" t="s">
        <v>139</v>
      </c>
      <c r="B1011" s="29" t="s">
        <v>323</v>
      </c>
      <c r="C1011" s="49" t="s">
        <v>303</v>
      </c>
      <c r="D1011" s="50" t="n">
        <v>34.41</v>
      </c>
      <c r="E1011" s="51" t="n">
        <f aca="false">'Analisa Harga Satuan'!$F$228</f>
        <v>1386820</v>
      </c>
      <c r="F1011" s="52" t="n">
        <f aca="false">ROUND(D1011*E1011,0)</f>
        <v>47720476</v>
      </c>
      <c r="G1011" s="49" t="s">
        <v>324</v>
      </c>
      <c r="H1011" s="53" t="s">
        <v>305</v>
      </c>
    </row>
    <row r="1012" customFormat="false" ht="15" hidden="false" customHeight="false" outlineLevel="0" collapsed="false">
      <c r="A1012" s="49" t="s">
        <v>141</v>
      </c>
      <c r="B1012" s="29" t="s">
        <v>355</v>
      </c>
      <c r="C1012" s="49" t="s">
        <v>303</v>
      </c>
      <c r="D1012" s="50" t="n">
        <v>92.68</v>
      </c>
      <c r="E1012" s="51" t="n">
        <f aca="false">'Analisa Harga Satuan'!$F$272</f>
        <v>1747048</v>
      </c>
      <c r="F1012" s="52" t="n">
        <f aca="false">ROUND(D1012*E1012,0)</f>
        <v>161916409</v>
      </c>
      <c r="G1012" s="49" t="s">
        <v>351</v>
      </c>
      <c r="H1012" s="53" t="s">
        <v>305</v>
      </c>
    </row>
    <row r="1013" customFormat="false" ht="15" hidden="false" customHeight="false" outlineLevel="0" collapsed="false">
      <c r="A1013" s="49" t="s">
        <v>143</v>
      </c>
      <c r="B1013" s="29" t="s">
        <v>1000</v>
      </c>
      <c r="C1013" s="49" t="s">
        <v>328</v>
      </c>
      <c r="D1013" s="50" t="n">
        <v>9649.69</v>
      </c>
      <c r="E1013" s="51" t="n">
        <f aca="false">'Analisa Harga Satuan'!$F$344</f>
        <v>26098</v>
      </c>
      <c r="F1013" s="52" t="n">
        <f aca="false">ROUND(D1013*E1013,0)</f>
        <v>251837610</v>
      </c>
      <c r="G1013" s="49" t="s">
        <v>1001</v>
      </c>
      <c r="H1013" s="53" t="s">
        <v>305</v>
      </c>
    </row>
    <row r="1014" customFormat="false" ht="15" hidden="false" customHeight="false" outlineLevel="0" collapsed="false">
      <c r="A1014" s="60" t="s">
        <v>102</v>
      </c>
      <c r="B1014" s="61" t="s">
        <v>1156</v>
      </c>
    </row>
    <row r="1015" customFormat="false" ht="15" hidden="false" customHeight="false" outlineLevel="0" collapsed="false">
      <c r="A1015" s="49" t="s">
        <v>139</v>
      </c>
      <c r="B1015" s="29" t="s">
        <v>355</v>
      </c>
      <c r="C1015" s="49" t="s">
        <v>303</v>
      </c>
      <c r="D1015" s="50" t="n">
        <v>1.5</v>
      </c>
      <c r="E1015" s="51" t="n">
        <f aca="false">'Analisa Harga Satuan'!$F$272</f>
        <v>1747048</v>
      </c>
      <c r="F1015" s="52" t="n">
        <f aca="false">ROUND(D1015*E1015,0)</f>
        <v>2620572</v>
      </c>
      <c r="G1015" s="49" t="s">
        <v>351</v>
      </c>
      <c r="H1015" s="53" t="s">
        <v>305</v>
      </c>
    </row>
    <row r="1016" customFormat="false" ht="15" hidden="false" customHeight="false" outlineLevel="0" collapsed="false">
      <c r="A1016" s="49" t="s">
        <v>141</v>
      </c>
      <c r="B1016" s="29" t="s">
        <v>327</v>
      </c>
      <c r="C1016" s="49" t="s">
        <v>328</v>
      </c>
      <c r="D1016" s="50" t="n">
        <v>165.64</v>
      </c>
      <c r="E1016" s="51" t="n">
        <f aca="false">'Analisa Harga Satuan'!$F$310</f>
        <v>23191</v>
      </c>
      <c r="F1016" s="52" t="n">
        <f aca="false">ROUND(D1016*E1016,0)</f>
        <v>3841357</v>
      </c>
      <c r="G1016" s="49" t="s">
        <v>329</v>
      </c>
      <c r="H1016" s="53" t="s">
        <v>305</v>
      </c>
    </row>
    <row r="1017" customFormat="false" ht="15" hidden="false" customHeight="false" outlineLevel="0" collapsed="false">
      <c r="A1017" s="49" t="s">
        <v>143</v>
      </c>
      <c r="B1017" s="29" t="s">
        <v>330</v>
      </c>
      <c r="C1017" s="49" t="s">
        <v>331</v>
      </c>
      <c r="D1017" s="50" t="n">
        <v>15.02</v>
      </c>
      <c r="E1017" s="51" t="n">
        <f aca="false">'Analisa Harga Satuan'!$F$330</f>
        <v>398959</v>
      </c>
      <c r="F1017" s="52" t="n">
        <f aca="false">ROUND(D1017*E1017,0)</f>
        <v>5992364</v>
      </c>
      <c r="G1017" s="49" t="s">
        <v>332</v>
      </c>
      <c r="H1017" s="53" t="s">
        <v>305</v>
      </c>
    </row>
    <row r="1018" customFormat="false" ht="15" hidden="false" customHeight="false" outlineLevel="0" collapsed="false">
      <c r="A1018" s="60" t="s">
        <v>111</v>
      </c>
      <c r="B1018" s="61" t="s">
        <v>1002</v>
      </c>
    </row>
    <row r="1019" customFormat="false" ht="15" hidden="false" customHeight="false" outlineLevel="0" collapsed="false">
      <c r="A1019" s="49" t="s">
        <v>139</v>
      </c>
      <c r="B1019" s="29" t="s">
        <v>355</v>
      </c>
      <c r="C1019" s="49" t="s">
        <v>303</v>
      </c>
      <c r="D1019" s="50" t="n">
        <v>1.3</v>
      </c>
      <c r="E1019" s="51" t="n">
        <f aca="false">'Analisa Harga Satuan'!$F$272</f>
        <v>1747048</v>
      </c>
      <c r="F1019" s="52" t="n">
        <f aca="false">ROUND(D1019*E1019,0)</f>
        <v>2271162</v>
      </c>
      <c r="G1019" s="49" t="s">
        <v>351</v>
      </c>
      <c r="H1019" s="53" t="s">
        <v>305</v>
      </c>
    </row>
    <row r="1020" customFormat="false" ht="15" hidden="false" customHeight="false" outlineLevel="0" collapsed="false">
      <c r="A1020" s="49" t="s">
        <v>141</v>
      </c>
      <c r="B1020" s="29" t="s">
        <v>327</v>
      </c>
      <c r="C1020" s="49" t="s">
        <v>328</v>
      </c>
      <c r="D1020" s="50" t="n">
        <v>187.17</v>
      </c>
      <c r="E1020" s="51" t="n">
        <f aca="false">'Analisa Harga Satuan'!$F$310</f>
        <v>23191</v>
      </c>
      <c r="F1020" s="52" t="n">
        <f aca="false">ROUND(D1020*E1020,0)</f>
        <v>4340659</v>
      </c>
      <c r="G1020" s="49" t="s">
        <v>329</v>
      </c>
      <c r="H1020" s="53" t="s">
        <v>305</v>
      </c>
    </row>
    <row r="1021" customFormat="false" ht="15" hidden="false" customHeight="false" outlineLevel="0" collapsed="false">
      <c r="A1021" s="49" t="s">
        <v>143</v>
      </c>
      <c r="B1021" s="29" t="s">
        <v>330</v>
      </c>
      <c r="C1021" s="49" t="s">
        <v>331</v>
      </c>
      <c r="D1021" s="50" t="n">
        <v>23.08</v>
      </c>
      <c r="E1021" s="51" t="n">
        <f aca="false">'Analisa Harga Satuan'!$F$330</f>
        <v>398959</v>
      </c>
      <c r="F1021" s="52" t="n">
        <f aca="false">ROUND(D1021*E1021,0)</f>
        <v>9207974</v>
      </c>
      <c r="G1021" s="49" t="s">
        <v>332</v>
      </c>
      <c r="H1021" s="53" t="s">
        <v>305</v>
      </c>
    </row>
    <row r="1022" customFormat="false" ht="15" hidden="false" customHeight="false" outlineLevel="0" collapsed="false">
      <c r="A1022" s="60" t="s">
        <v>119</v>
      </c>
      <c r="B1022" s="61" t="s">
        <v>1003</v>
      </c>
    </row>
    <row r="1023" customFormat="false" ht="15" hidden="false" customHeight="false" outlineLevel="0" collapsed="false">
      <c r="A1023" s="49" t="s">
        <v>139</v>
      </c>
      <c r="B1023" s="29" t="s">
        <v>355</v>
      </c>
      <c r="C1023" s="49" t="s">
        <v>303</v>
      </c>
      <c r="D1023" s="50" t="n">
        <v>1.07</v>
      </c>
      <c r="E1023" s="51" t="n">
        <f aca="false">'Analisa Harga Satuan'!$F$272</f>
        <v>1747048</v>
      </c>
      <c r="F1023" s="52" t="n">
        <f aca="false">ROUND(D1023*E1023,0)</f>
        <v>1869341</v>
      </c>
      <c r="G1023" s="49" t="s">
        <v>351</v>
      </c>
      <c r="H1023" s="53" t="s">
        <v>305</v>
      </c>
    </row>
    <row r="1024" customFormat="false" ht="15" hidden="false" customHeight="false" outlineLevel="0" collapsed="false">
      <c r="A1024" s="49" t="s">
        <v>141</v>
      </c>
      <c r="B1024" s="29" t="s">
        <v>327</v>
      </c>
      <c r="C1024" s="49" t="s">
        <v>328</v>
      </c>
      <c r="D1024" s="50" t="n">
        <v>131.95</v>
      </c>
      <c r="E1024" s="51" t="n">
        <f aca="false">'Analisa Harga Satuan'!$F$310</f>
        <v>23191</v>
      </c>
      <c r="F1024" s="52" t="n">
        <f aca="false">ROUND(D1024*E1024,0)</f>
        <v>3060052</v>
      </c>
      <c r="G1024" s="49" t="s">
        <v>329</v>
      </c>
      <c r="H1024" s="53" t="s">
        <v>305</v>
      </c>
    </row>
    <row r="1025" customFormat="false" ht="15" hidden="false" customHeight="false" outlineLevel="0" collapsed="false">
      <c r="A1025" s="49" t="s">
        <v>143</v>
      </c>
      <c r="B1025" s="29" t="s">
        <v>330</v>
      </c>
      <c r="C1025" s="49" t="s">
        <v>331</v>
      </c>
      <c r="D1025" s="50" t="n">
        <v>17.2</v>
      </c>
      <c r="E1025" s="51" t="n">
        <f aca="false">'Analisa Harga Satuan'!$F$330</f>
        <v>398959</v>
      </c>
      <c r="F1025" s="52" t="n">
        <f aca="false">ROUND(D1025*E1025,0)</f>
        <v>6862095</v>
      </c>
      <c r="G1025" s="49" t="s">
        <v>332</v>
      </c>
      <c r="H1025" s="53" t="s">
        <v>305</v>
      </c>
    </row>
    <row r="1026" customFormat="false" ht="15" hidden="false" customHeight="false" outlineLevel="0" collapsed="false">
      <c r="A1026" s="60" t="s">
        <v>127</v>
      </c>
      <c r="B1026" s="61" t="s">
        <v>1157</v>
      </c>
    </row>
    <row r="1027" customFormat="false" ht="15" hidden="false" customHeight="false" outlineLevel="0" collapsed="false">
      <c r="A1027" s="49" t="s">
        <v>139</v>
      </c>
      <c r="B1027" s="29" t="s">
        <v>355</v>
      </c>
      <c r="C1027" s="49" t="s">
        <v>303</v>
      </c>
      <c r="D1027" s="50" t="n">
        <v>0.45</v>
      </c>
      <c r="E1027" s="51" t="n">
        <f aca="false">'Analisa Harga Satuan'!$F$272</f>
        <v>1747048</v>
      </c>
      <c r="F1027" s="52" t="n">
        <f aca="false">ROUND(D1027*E1027,0)</f>
        <v>786172</v>
      </c>
      <c r="G1027" s="49" t="s">
        <v>351</v>
      </c>
      <c r="H1027" s="53" t="s">
        <v>305</v>
      </c>
    </row>
    <row r="1028" customFormat="false" ht="15" hidden="false" customHeight="false" outlineLevel="0" collapsed="false">
      <c r="A1028" s="49" t="s">
        <v>141</v>
      </c>
      <c r="B1028" s="29" t="s">
        <v>327</v>
      </c>
      <c r="C1028" s="49" t="s">
        <v>328</v>
      </c>
      <c r="D1028" s="50" t="n">
        <v>59.06</v>
      </c>
      <c r="E1028" s="51" t="n">
        <f aca="false">'Analisa Harga Satuan'!$F$310</f>
        <v>23191</v>
      </c>
      <c r="F1028" s="52" t="n">
        <f aca="false">ROUND(D1028*E1028,0)</f>
        <v>1369660</v>
      </c>
      <c r="G1028" s="49" t="s">
        <v>329</v>
      </c>
      <c r="H1028" s="53" t="s">
        <v>305</v>
      </c>
    </row>
    <row r="1029" customFormat="false" ht="15" hidden="false" customHeight="false" outlineLevel="0" collapsed="false">
      <c r="A1029" s="49" t="s">
        <v>143</v>
      </c>
      <c r="B1029" s="29" t="s">
        <v>330</v>
      </c>
      <c r="C1029" s="49" t="s">
        <v>331</v>
      </c>
      <c r="D1029" s="50" t="n">
        <v>5.4</v>
      </c>
      <c r="E1029" s="51" t="n">
        <f aca="false">'Analisa Harga Satuan'!$F$330</f>
        <v>398959</v>
      </c>
      <c r="F1029" s="52" t="n">
        <f aca="false">ROUND(D1029*E1029,0)</f>
        <v>2154379</v>
      </c>
      <c r="G1029" s="49" t="s">
        <v>332</v>
      </c>
      <c r="H1029" s="53" t="s">
        <v>305</v>
      </c>
    </row>
    <row r="1030" customFormat="false" ht="15" hidden="false" customHeight="false" outlineLevel="0" collapsed="false">
      <c r="A1030" s="60" t="s">
        <v>137</v>
      </c>
      <c r="B1030" s="61" t="s">
        <v>1158</v>
      </c>
    </row>
    <row r="1031" customFormat="false" ht="15" hidden="false" customHeight="false" outlineLevel="0" collapsed="false">
      <c r="A1031" s="49" t="s">
        <v>139</v>
      </c>
      <c r="B1031" s="29" t="s">
        <v>355</v>
      </c>
      <c r="C1031" s="49" t="s">
        <v>303</v>
      </c>
      <c r="D1031" s="50" t="n">
        <v>1.35</v>
      </c>
      <c r="E1031" s="51" t="n">
        <f aca="false">'Analisa Harga Satuan'!$F$272</f>
        <v>1747048</v>
      </c>
      <c r="F1031" s="52" t="n">
        <f aca="false">ROUND(D1031*E1031,0)</f>
        <v>2358515</v>
      </c>
      <c r="G1031" s="49" t="s">
        <v>351</v>
      </c>
      <c r="H1031" s="53" t="s">
        <v>305</v>
      </c>
    </row>
    <row r="1032" customFormat="false" ht="15" hidden="false" customHeight="false" outlineLevel="0" collapsed="false">
      <c r="A1032" s="49" t="s">
        <v>141</v>
      </c>
      <c r="B1032" s="29" t="s">
        <v>327</v>
      </c>
      <c r="C1032" s="49" t="s">
        <v>328</v>
      </c>
      <c r="D1032" s="50" t="n">
        <v>343.62</v>
      </c>
      <c r="E1032" s="51" t="n">
        <f aca="false">'Analisa Harga Satuan'!$F$310</f>
        <v>23191</v>
      </c>
      <c r="F1032" s="52" t="n">
        <f aca="false">ROUND(D1032*E1032,0)</f>
        <v>7968891</v>
      </c>
      <c r="G1032" s="49" t="s">
        <v>329</v>
      </c>
      <c r="H1032" s="53" t="s">
        <v>305</v>
      </c>
    </row>
    <row r="1033" customFormat="false" ht="15" hidden="false" customHeight="false" outlineLevel="0" collapsed="false">
      <c r="A1033" s="49" t="s">
        <v>143</v>
      </c>
      <c r="B1033" s="29" t="s">
        <v>330</v>
      </c>
      <c r="C1033" s="49" t="s">
        <v>331</v>
      </c>
      <c r="D1033" s="50" t="n">
        <v>23.4</v>
      </c>
      <c r="E1033" s="51" t="n">
        <f aca="false">'Analisa Harga Satuan'!$F$330</f>
        <v>398959</v>
      </c>
      <c r="F1033" s="52" t="n">
        <f aca="false">ROUND(D1033*E1033,0)</f>
        <v>9335641</v>
      </c>
      <c r="G1033" s="49" t="s">
        <v>332</v>
      </c>
      <c r="H1033" s="53" t="s">
        <v>305</v>
      </c>
    </row>
    <row r="1034" customFormat="false" ht="15" hidden="false" customHeight="false" outlineLevel="0" collapsed="false">
      <c r="A1034" s="60" t="s">
        <v>364</v>
      </c>
      <c r="B1034" s="61" t="s">
        <v>360</v>
      </c>
    </row>
    <row r="1035" customFormat="false" ht="15" hidden="false" customHeight="false" outlineLevel="0" collapsed="false">
      <c r="A1035" s="49" t="s">
        <v>139</v>
      </c>
      <c r="B1035" s="29" t="s">
        <v>361</v>
      </c>
      <c r="C1035" s="49" t="s">
        <v>303</v>
      </c>
      <c r="D1035" s="50" t="n">
        <v>0.08</v>
      </c>
      <c r="E1035" s="51" t="n">
        <f aca="false">'Analisa Harga Satuan'!$F$250</f>
        <v>1605610</v>
      </c>
      <c r="F1035" s="52" t="n">
        <f aca="false">ROUND(D1035*E1035,0)</f>
        <v>128449</v>
      </c>
      <c r="G1035" s="49" t="s">
        <v>362</v>
      </c>
      <c r="H1035" s="53" t="s">
        <v>305</v>
      </c>
    </row>
    <row r="1036" customFormat="false" ht="15" hidden="false" customHeight="false" outlineLevel="0" collapsed="false">
      <c r="A1036" s="49" t="s">
        <v>141</v>
      </c>
      <c r="B1036" s="29" t="s">
        <v>327</v>
      </c>
      <c r="C1036" s="49" t="s">
        <v>328</v>
      </c>
      <c r="D1036" s="50" t="n">
        <v>24.65</v>
      </c>
      <c r="E1036" s="51" t="n">
        <f aca="false">'Analisa Harga Satuan'!$F$310</f>
        <v>23191</v>
      </c>
      <c r="F1036" s="52" t="n">
        <f aca="false">ROUND(D1036*E1036,0)</f>
        <v>571658</v>
      </c>
      <c r="G1036" s="49" t="s">
        <v>329</v>
      </c>
      <c r="H1036" s="53" t="s">
        <v>305</v>
      </c>
    </row>
    <row r="1037" customFormat="false" ht="15" hidden="false" customHeight="false" outlineLevel="0" collapsed="false">
      <c r="A1037" s="49" t="s">
        <v>143</v>
      </c>
      <c r="B1037" s="29" t="s">
        <v>330</v>
      </c>
      <c r="C1037" s="49" t="s">
        <v>331</v>
      </c>
      <c r="D1037" s="50" t="n">
        <v>0.75</v>
      </c>
      <c r="E1037" s="51" t="n">
        <f aca="false">'Analisa Harga Satuan'!$F$330</f>
        <v>398959</v>
      </c>
      <c r="F1037" s="52" t="n">
        <f aca="false">ROUND(D1037*E1037,0)</f>
        <v>299219</v>
      </c>
      <c r="G1037" s="49" t="s">
        <v>332</v>
      </c>
      <c r="H1037" s="53" t="s">
        <v>305</v>
      </c>
    </row>
    <row r="1038" customFormat="false" ht="15" hidden="false" customHeight="false" outlineLevel="0" collapsed="false">
      <c r="A1038" s="60" t="s">
        <v>75</v>
      </c>
      <c r="B1038" s="61" t="s">
        <v>365</v>
      </c>
    </row>
    <row r="1039" customFormat="false" ht="15" hidden="false" customHeight="false" outlineLevel="0" collapsed="false">
      <c r="A1039" s="49" t="s">
        <v>139</v>
      </c>
      <c r="B1039" s="29" t="s">
        <v>366</v>
      </c>
      <c r="C1039" s="49" t="s">
        <v>367</v>
      </c>
      <c r="D1039" s="50" t="n">
        <v>200.22</v>
      </c>
      <c r="E1039" s="51" t="n">
        <f aca="false">'Analisa Harga Satuan'!$F$355</f>
        <v>246954</v>
      </c>
      <c r="F1039" s="52" t="n">
        <f aca="false">ROUND(D1039*E1039,0)</f>
        <v>49445130</v>
      </c>
      <c r="G1039" s="49" t="s">
        <v>368</v>
      </c>
      <c r="H1039" s="53" t="s">
        <v>305</v>
      </c>
    </row>
    <row r="1040" customFormat="false" ht="25.5" hidden="false" customHeight="true" outlineLevel="0" collapsed="false">
      <c r="A1040" s="49" t="s">
        <v>141</v>
      </c>
      <c r="B1040" s="29" t="s">
        <v>369</v>
      </c>
      <c r="C1040" s="49" t="s">
        <v>367</v>
      </c>
      <c r="D1040" s="50" t="n">
        <v>52.89</v>
      </c>
      <c r="E1040" s="51" t="n">
        <f aca="false">'Analisa Harga Satuan'!$F$366</f>
        <v>238292</v>
      </c>
      <c r="F1040" s="52" t="n">
        <f aca="false">ROUND(D1040*E1040,0)</f>
        <v>12603264</v>
      </c>
      <c r="G1040" s="49" t="s">
        <v>370</v>
      </c>
      <c r="H1040" s="53" t="s">
        <v>305</v>
      </c>
    </row>
    <row r="1041" customFormat="false" ht="15" hidden="false" customHeight="false" outlineLevel="0" collapsed="false">
      <c r="A1041" s="60" t="s">
        <v>1006</v>
      </c>
      <c r="B1041" s="61" t="s">
        <v>1007</v>
      </c>
    </row>
    <row r="1042" customFormat="false" ht="15" hidden="false" customHeight="false" outlineLevel="0" collapsed="false">
      <c r="A1042" s="49" t="s">
        <v>139</v>
      </c>
      <c r="B1042" s="29" t="s">
        <v>1008</v>
      </c>
      <c r="C1042" s="49" t="s">
        <v>976</v>
      </c>
      <c r="D1042" s="50" t="n">
        <v>3230.25</v>
      </c>
      <c r="E1042" s="51" t="n">
        <f aca="false">'Analisa Harga Satuan'!$F$765</f>
        <v>23320</v>
      </c>
      <c r="F1042" s="52" t="n">
        <f aca="false">ROUND(D1042*E1042,0)</f>
        <v>75329430</v>
      </c>
      <c r="G1042" s="49" t="s">
        <v>977</v>
      </c>
      <c r="H1042" s="53" t="s">
        <v>305</v>
      </c>
    </row>
    <row r="1043" customFormat="false" ht="15" hidden="false" customHeight="false" outlineLevel="0" collapsed="false">
      <c r="A1043" s="49" t="s">
        <v>141</v>
      </c>
      <c r="B1043" s="29" t="s">
        <v>1009</v>
      </c>
      <c r="C1043" s="49" t="s">
        <v>976</v>
      </c>
      <c r="D1043" s="50" t="n">
        <v>3314.52</v>
      </c>
      <c r="E1043" s="51" t="n">
        <f aca="false">'Analisa Harga Satuan'!$F$765</f>
        <v>23320</v>
      </c>
      <c r="F1043" s="52" t="n">
        <f aca="false">ROUND(D1043*E1043,0)</f>
        <v>77294606</v>
      </c>
      <c r="G1043" s="49" t="s">
        <v>977</v>
      </c>
      <c r="H1043" s="53" t="s">
        <v>305</v>
      </c>
    </row>
    <row r="1044" customFormat="false" ht="15" hidden="false" customHeight="false" outlineLevel="0" collapsed="false">
      <c r="A1044" s="49" t="s">
        <v>143</v>
      </c>
      <c r="B1044" s="29" t="s">
        <v>990</v>
      </c>
      <c r="C1044" s="49" t="s">
        <v>976</v>
      </c>
      <c r="D1044" s="50" t="n">
        <v>70.89</v>
      </c>
      <c r="E1044" s="51" t="n">
        <f aca="false">'Analisa Harga Satuan'!$F$765</f>
        <v>23320</v>
      </c>
      <c r="F1044" s="52" t="n">
        <f aca="false">ROUND(D1044*E1044,0)</f>
        <v>1653155</v>
      </c>
      <c r="G1044" s="49" t="s">
        <v>977</v>
      </c>
      <c r="H1044" s="53" t="s">
        <v>305</v>
      </c>
    </row>
    <row r="1045" customFormat="false" ht="15" hidden="false" customHeight="false" outlineLevel="0" collapsed="false">
      <c r="A1045" s="49" t="s">
        <v>145</v>
      </c>
      <c r="B1045" s="29" t="s">
        <v>1010</v>
      </c>
      <c r="C1045" s="49" t="s">
        <v>976</v>
      </c>
      <c r="D1045" s="50" t="n">
        <v>71.44</v>
      </c>
      <c r="E1045" s="51" t="n">
        <f aca="false">'Analisa Harga Satuan'!$F$765</f>
        <v>23320</v>
      </c>
      <c r="F1045" s="52" t="n">
        <f aca="false">ROUND(D1045*E1045,0)</f>
        <v>1665981</v>
      </c>
      <c r="G1045" s="49" t="s">
        <v>977</v>
      </c>
      <c r="H1045" s="53" t="s">
        <v>305</v>
      </c>
    </row>
    <row r="1046" customFormat="false" ht="15" hidden="false" customHeight="false" outlineLevel="0" collapsed="false">
      <c r="A1046" s="49" t="s">
        <v>147</v>
      </c>
      <c r="B1046" s="29" t="s">
        <v>1011</v>
      </c>
      <c r="C1046" s="49" t="s">
        <v>328</v>
      </c>
      <c r="D1046" s="50" t="n">
        <v>108.2</v>
      </c>
      <c r="E1046" s="51" t="n">
        <f aca="false">'Analisa Harga Satuan'!$F$765</f>
        <v>23320</v>
      </c>
      <c r="F1046" s="52" t="n">
        <f aca="false">ROUND(D1046*E1046,0)</f>
        <v>2523224</v>
      </c>
      <c r="G1046" s="49" t="s">
        <v>977</v>
      </c>
      <c r="H1046" s="53" t="s">
        <v>305</v>
      </c>
    </row>
    <row r="1047" customFormat="false" ht="15" hidden="false" customHeight="false" outlineLevel="0" collapsed="false">
      <c r="A1047" s="49" t="s">
        <v>149</v>
      </c>
      <c r="B1047" s="29" t="s">
        <v>992</v>
      </c>
      <c r="C1047" s="49" t="s">
        <v>206</v>
      </c>
      <c r="D1047" s="50" t="n">
        <v>196</v>
      </c>
      <c r="E1047" s="51" t="n">
        <f aca="false">'Analisa Harga Satuan'!$H$1034</f>
        <v>52800</v>
      </c>
      <c r="F1047" s="52" t="n">
        <f aca="false">ROUND(D1047*E1047,0)</f>
        <v>10348800</v>
      </c>
      <c r="G1047" s="49" t="s">
        <v>993</v>
      </c>
      <c r="H1047" s="53" t="s">
        <v>181</v>
      </c>
    </row>
    <row r="1048" customFormat="false" ht="15" hidden="false" customHeight="false" outlineLevel="0" collapsed="false">
      <c r="A1048" s="49" t="s">
        <v>151</v>
      </c>
      <c r="B1048" s="29" t="s">
        <v>1012</v>
      </c>
      <c r="C1048" s="49" t="s">
        <v>976</v>
      </c>
      <c r="D1048" s="50" t="n">
        <v>435.12</v>
      </c>
      <c r="E1048" s="51" t="n">
        <f aca="false">'Analisa Harga Satuan'!$F$765</f>
        <v>23320</v>
      </c>
      <c r="F1048" s="52" t="n">
        <f aca="false">ROUND(D1048*E1048,0)</f>
        <v>10146998</v>
      </c>
      <c r="G1048" s="49" t="s">
        <v>977</v>
      </c>
      <c r="H1048" s="53" t="s">
        <v>305</v>
      </c>
    </row>
    <row r="1049" customFormat="false" ht="15" hidden="false" customHeight="false" outlineLevel="0" collapsed="false">
      <c r="A1049" s="49" t="s">
        <v>423</v>
      </c>
      <c r="B1049" s="29" t="s">
        <v>1013</v>
      </c>
      <c r="C1049" s="49" t="s">
        <v>328</v>
      </c>
      <c r="D1049" s="50" t="n">
        <v>181.24</v>
      </c>
      <c r="E1049" s="51" t="n">
        <f aca="false">'Analisa Harga Satuan'!$F$765</f>
        <v>23320</v>
      </c>
      <c r="F1049" s="52" t="n">
        <f aca="false">ROUND(D1049*E1049,0)</f>
        <v>4226517</v>
      </c>
      <c r="G1049" s="49" t="s">
        <v>977</v>
      </c>
      <c r="H1049" s="53" t="s">
        <v>305</v>
      </c>
    </row>
    <row r="1050" customFormat="false" ht="15" hidden="false" customHeight="false" outlineLevel="0" collapsed="false">
      <c r="A1050" s="49" t="s">
        <v>208</v>
      </c>
      <c r="B1050" s="29" t="s">
        <v>1014</v>
      </c>
      <c r="C1050" s="49" t="s">
        <v>328</v>
      </c>
      <c r="D1050" s="50" t="n">
        <v>116.1</v>
      </c>
      <c r="E1050" s="51" t="n">
        <f aca="false">'Analisa Harga Satuan'!$F$765</f>
        <v>23320</v>
      </c>
      <c r="F1050" s="52" t="n">
        <f aca="false">ROUND(D1050*E1050,0)</f>
        <v>2707452</v>
      </c>
      <c r="G1050" s="49" t="s">
        <v>977</v>
      </c>
      <c r="H1050" s="53" t="s">
        <v>305</v>
      </c>
    </row>
    <row r="1051" customFormat="false" ht="15" hidden="false" customHeight="false" outlineLevel="0" collapsed="false">
      <c r="A1051" s="49" t="s">
        <v>217</v>
      </c>
      <c r="B1051" s="29" t="s">
        <v>1015</v>
      </c>
      <c r="C1051" s="49" t="s">
        <v>257</v>
      </c>
      <c r="D1051" s="50" t="n">
        <v>24</v>
      </c>
      <c r="E1051" s="51" t="n">
        <f aca="false">'Analisa Harga Satuan'!$H$1035</f>
        <v>41800</v>
      </c>
      <c r="F1051" s="52" t="n">
        <f aca="false">ROUND(D1051*E1051,0)</f>
        <v>1003200</v>
      </c>
      <c r="G1051" s="49" t="s">
        <v>1016</v>
      </c>
      <c r="H1051" s="53" t="s">
        <v>181</v>
      </c>
    </row>
    <row r="1052" customFormat="false" ht="25.5" hidden="false" customHeight="true" outlineLevel="0" collapsed="false">
      <c r="A1052" s="49" t="s">
        <v>221</v>
      </c>
      <c r="B1052" s="29" t="s">
        <v>995</v>
      </c>
      <c r="C1052" s="49" t="s">
        <v>328</v>
      </c>
      <c r="D1052" s="50" t="n">
        <v>6544.77</v>
      </c>
      <c r="E1052" s="51" t="n">
        <f aca="false">'Analisa Harga Satuan'!$F$785</f>
        <v>14430</v>
      </c>
      <c r="F1052" s="52" t="n">
        <f aca="false">ROUND(D1052*E1052,0)</f>
        <v>94441031</v>
      </c>
      <c r="G1052" s="49" t="s">
        <v>996</v>
      </c>
      <c r="H1052" s="53" t="s">
        <v>305</v>
      </c>
    </row>
    <row r="1053" customFormat="false" ht="15" hidden="false" customHeight="false" outlineLevel="0" collapsed="false">
      <c r="A1053" s="55"/>
      <c r="B1053" s="56" t="s">
        <v>1159</v>
      </c>
      <c r="C1053" s="55"/>
      <c r="D1053" s="55"/>
      <c r="E1053" s="55"/>
      <c r="F1053" s="27" t="n">
        <f aca="false">SUM(F957:F1052)</f>
        <v>3275711654</v>
      </c>
      <c r="G1053" s="55"/>
      <c r="H1053" s="55"/>
    </row>
    <row r="1054" customFormat="false" ht="15" hidden="false" customHeight="false" outlineLevel="0" collapsed="false">
      <c r="A1054" s="46" t="s">
        <v>84</v>
      </c>
      <c r="B1054" s="47" t="s">
        <v>106</v>
      </c>
      <c r="C1054" s="48"/>
      <c r="D1054" s="48"/>
      <c r="E1054" s="48"/>
      <c r="F1054" s="48"/>
      <c r="G1054" s="48"/>
      <c r="H1054" s="48"/>
    </row>
    <row r="1055" customFormat="false" ht="15" hidden="false" customHeight="false" outlineLevel="0" collapsed="false">
      <c r="A1055" s="60" t="s">
        <v>1018</v>
      </c>
      <c r="B1055" s="61" t="s">
        <v>393</v>
      </c>
    </row>
    <row r="1056" customFormat="false" ht="15" hidden="false" customHeight="false" outlineLevel="0" collapsed="false">
      <c r="A1056" s="60" t="s">
        <v>78</v>
      </c>
      <c r="B1056" s="61" t="s">
        <v>394</v>
      </c>
    </row>
    <row r="1057" customFormat="false" ht="15" hidden="false" customHeight="false" outlineLevel="0" collapsed="false">
      <c r="A1057" s="49" t="s">
        <v>139</v>
      </c>
      <c r="B1057" s="29" t="s">
        <v>395</v>
      </c>
      <c r="C1057" s="49" t="s">
        <v>331</v>
      </c>
      <c r="D1057" s="50" t="n">
        <v>652.56</v>
      </c>
      <c r="E1057" s="51" t="n">
        <f aca="false">'Analisa Harga Satuan'!$F$416</f>
        <v>265023</v>
      </c>
      <c r="F1057" s="52" t="n">
        <f aca="false">ROUND(D1057*E1057,0)</f>
        <v>172943409</v>
      </c>
      <c r="G1057" s="49" t="s">
        <v>396</v>
      </c>
      <c r="H1057" s="53" t="s">
        <v>305</v>
      </c>
    </row>
    <row r="1058" customFormat="false" ht="15" hidden="false" customHeight="false" outlineLevel="0" collapsed="false">
      <c r="A1058" s="49" t="s">
        <v>141</v>
      </c>
      <c r="B1058" s="29" t="s">
        <v>397</v>
      </c>
      <c r="C1058" s="49" t="s">
        <v>328</v>
      </c>
      <c r="D1058" s="50" t="n">
        <v>161.19</v>
      </c>
      <c r="E1058" s="51" t="n">
        <f aca="false">'Analisa Harga Satuan'!$F$310</f>
        <v>23191</v>
      </c>
      <c r="F1058" s="52" t="n">
        <f aca="false">ROUND(D1058*E1058,0)</f>
        <v>3738157</v>
      </c>
      <c r="G1058" s="49" t="s">
        <v>329</v>
      </c>
      <c r="H1058" s="53" t="s">
        <v>305</v>
      </c>
    </row>
    <row r="1059" customFormat="false" ht="15" hidden="false" customHeight="false" outlineLevel="0" collapsed="false">
      <c r="A1059" s="49" t="s">
        <v>143</v>
      </c>
      <c r="B1059" s="29" t="s">
        <v>398</v>
      </c>
      <c r="C1059" s="49" t="s">
        <v>331</v>
      </c>
      <c r="D1059" s="50" t="n">
        <v>1305.12</v>
      </c>
      <c r="E1059" s="51" t="n">
        <f aca="false">'Analisa Harga Satuan'!$F$432</f>
        <v>103703</v>
      </c>
      <c r="F1059" s="52" t="n">
        <f aca="false">ROUND(D1059*E1059,0)</f>
        <v>135344859</v>
      </c>
      <c r="G1059" s="49" t="s">
        <v>399</v>
      </c>
      <c r="H1059" s="53" t="s">
        <v>305</v>
      </c>
    </row>
    <row r="1060" customFormat="false" ht="15" hidden="false" customHeight="false" outlineLevel="0" collapsed="false">
      <c r="A1060" s="49" t="s">
        <v>145</v>
      </c>
      <c r="B1060" s="29" t="s">
        <v>1020</v>
      </c>
      <c r="C1060" s="49" t="s">
        <v>331</v>
      </c>
      <c r="D1060" s="50" t="n">
        <v>149.48</v>
      </c>
      <c r="E1060" s="51" t="n">
        <f aca="false">'Analisa Harga Satuan'!$F$432</f>
        <v>103703</v>
      </c>
      <c r="F1060" s="52" t="n">
        <f aca="false">ROUND(D1060*E1060,0)</f>
        <v>15501524</v>
      </c>
      <c r="G1060" s="49" t="s">
        <v>399</v>
      </c>
      <c r="H1060" s="53" t="s">
        <v>305</v>
      </c>
    </row>
    <row r="1061" customFormat="false" ht="15" hidden="false" customHeight="false" outlineLevel="0" collapsed="false">
      <c r="A1061" s="49" t="s">
        <v>147</v>
      </c>
      <c r="B1061" s="29" t="s">
        <v>400</v>
      </c>
      <c r="C1061" s="49" t="s">
        <v>331</v>
      </c>
      <c r="D1061" s="50" t="n">
        <v>50.85</v>
      </c>
      <c r="E1061" s="51" t="n">
        <f aca="false">'Analisa Harga Satuan'!$F$448</f>
        <v>107987</v>
      </c>
      <c r="F1061" s="52" t="n">
        <f aca="false">ROUND(D1061*E1061,0)</f>
        <v>5491139</v>
      </c>
      <c r="G1061" s="49" t="s">
        <v>401</v>
      </c>
      <c r="H1061" s="53" t="s">
        <v>305</v>
      </c>
    </row>
    <row r="1062" customFormat="false" ht="15" hidden="false" customHeight="false" outlineLevel="0" collapsed="false">
      <c r="A1062" s="49" t="s">
        <v>149</v>
      </c>
      <c r="B1062" s="29" t="s">
        <v>402</v>
      </c>
      <c r="C1062" s="49" t="s">
        <v>331</v>
      </c>
      <c r="D1062" s="50" t="n">
        <v>1454.6</v>
      </c>
      <c r="E1062" s="51" t="n">
        <f aca="false">'Analisa Harga Satuan'!$F$479</f>
        <v>58982</v>
      </c>
      <c r="F1062" s="52" t="n">
        <f aca="false">ROUND(D1062*E1062,0)</f>
        <v>85795217</v>
      </c>
      <c r="G1062" s="49" t="s">
        <v>403</v>
      </c>
      <c r="H1062" s="53" t="s">
        <v>305</v>
      </c>
    </row>
    <row r="1063" customFormat="false" ht="15" hidden="false" customHeight="false" outlineLevel="0" collapsed="false">
      <c r="A1063" s="49" t="s">
        <v>151</v>
      </c>
      <c r="B1063" s="29" t="s">
        <v>1022</v>
      </c>
      <c r="C1063" s="49" t="s">
        <v>331</v>
      </c>
      <c r="D1063" s="50" t="n">
        <v>61.93</v>
      </c>
      <c r="E1063" s="51" t="n">
        <f aca="false">'Analisa Harga Satuan'!$F$496</f>
        <v>448305</v>
      </c>
      <c r="F1063" s="52" t="n">
        <f aca="false">ROUND(D1063*E1063,0)</f>
        <v>27763529</v>
      </c>
      <c r="G1063" s="49" t="s">
        <v>1023</v>
      </c>
      <c r="H1063" s="53" t="s">
        <v>305</v>
      </c>
    </row>
    <row r="1064" customFormat="false" ht="15" hidden="false" customHeight="false" outlineLevel="0" collapsed="false">
      <c r="A1064" s="60" t="s">
        <v>1024</v>
      </c>
      <c r="B1064" s="61" t="s">
        <v>409</v>
      </c>
    </row>
    <row r="1065" customFormat="false" ht="25.5" hidden="false" customHeight="true" outlineLevel="0" collapsed="false">
      <c r="A1065" s="49" t="s">
        <v>139</v>
      </c>
      <c r="B1065" s="29" t="s">
        <v>1160</v>
      </c>
      <c r="C1065" s="49" t="s">
        <v>331</v>
      </c>
      <c r="D1065" s="50" t="n">
        <v>115.27</v>
      </c>
      <c r="E1065" s="51" t="n">
        <f aca="false">'Analisa Harga Satuan'!$H$842</f>
        <v>715000</v>
      </c>
      <c r="F1065" s="52" t="n">
        <f aca="false">ROUND(D1065*E1065,0)</f>
        <v>82418050</v>
      </c>
      <c r="G1065" s="49" t="s">
        <v>411</v>
      </c>
      <c r="H1065" s="53" t="s">
        <v>181</v>
      </c>
    </row>
    <row r="1066" customFormat="false" ht="25.5" hidden="false" customHeight="true" outlineLevel="0" collapsed="false">
      <c r="A1066" s="49" t="s">
        <v>141</v>
      </c>
      <c r="B1066" s="29" t="s">
        <v>1161</v>
      </c>
      <c r="C1066" s="49" t="s">
        <v>331</v>
      </c>
      <c r="D1066" s="50" t="n">
        <v>545.05</v>
      </c>
      <c r="E1066" s="51" t="n">
        <f aca="false">'Analisa Harga Satuan'!$H$842</f>
        <v>715000</v>
      </c>
      <c r="F1066" s="52" t="n">
        <f aca="false">ROUND(D1066*E1066,0)</f>
        <v>389710750</v>
      </c>
      <c r="G1066" s="49" t="s">
        <v>411</v>
      </c>
      <c r="H1066" s="53" t="s">
        <v>181</v>
      </c>
    </row>
    <row r="1067" customFormat="false" ht="25.5" hidden="false" customHeight="true" outlineLevel="0" collapsed="false">
      <c r="A1067" s="49" t="s">
        <v>143</v>
      </c>
      <c r="B1067" s="29" t="s">
        <v>412</v>
      </c>
      <c r="C1067" s="49" t="s">
        <v>331</v>
      </c>
      <c r="D1067" s="50" t="n">
        <v>89.94</v>
      </c>
      <c r="E1067" s="51" t="n">
        <f aca="false">'Analisa Harga Satuan'!$H$842</f>
        <v>715000</v>
      </c>
      <c r="F1067" s="52" t="n">
        <f aca="false">ROUND(D1067*E1067,0)</f>
        <v>64307100</v>
      </c>
      <c r="G1067" s="49" t="s">
        <v>411</v>
      </c>
      <c r="H1067" s="53" t="s">
        <v>181</v>
      </c>
    </row>
    <row r="1068" customFormat="false" ht="25.5" hidden="false" customHeight="true" outlineLevel="0" collapsed="false">
      <c r="A1068" s="49" t="s">
        <v>145</v>
      </c>
      <c r="B1068" s="29" t="s">
        <v>1028</v>
      </c>
      <c r="C1068" s="49" t="s">
        <v>331</v>
      </c>
      <c r="D1068" s="50" t="n">
        <v>92.37</v>
      </c>
      <c r="E1068" s="51" t="n">
        <f aca="false">'Analisa Harga Satuan'!$H$842</f>
        <v>715000</v>
      </c>
      <c r="F1068" s="52" t="n">
        <f aca="false">ROUND(D1068*E1068,0)</f>
        <v>66044550</v>
      </c>
      <c r="G1068" s="49" t="s">
        <v>411</v>
      </c>
      <c r="H1068" s="53" t="s">
        <v>181</v>
      </c>
    </row>
    <row r="1069" customFormat="false" ht="15" hidden="false" customHeight="false" outlineLevel="0" collapsed="false">
      <c r="A1069" s="49" t="s">
        <v>147</v>
      </c>
      <c r="B1069" s="29" t="s">
        <v>1029</v>
      </c>
      <c r="C1069" s="49" t="s">
        <v>183</v>
      </c>
      <c r="D1069" s="50" t="n">
        <v>2</v>
      </c>
      <c r="E1069" s="51" t="n">
        <f aca="false">'Analisa Harga Satuan'!$H$1036</f>
        <v>41800000</v>
      </c>
      <c r="F1069" s="52" t="n">
        <f aca="false">ROUND(D1069*E1069,0)</f>
        <v>83600000</v>
      </c>
      <c r="G1069" s="49" t="s">
        <v>1030</v>
      </c>
      <c r="H1069" s="53" t="s">
        <v>189</v>
      </c>
    </row>
    <row r="1070" customFormat="false" ht="15" hidden="false" customHeight="false" outlineLevel="0" collapsed="false">
      <c r="A1070" s="49" t="s">
        <v>149</v>
      </c>
      <c r="B1070" s="29" t="s">
        <v>1031</v>
      </c>
      <c r="C1070" s="49" t="s">
        <v>183</v>
      </c>
      <c r="D1070" s="50" t="n">
        <v>2</v>
      </c>
      <c r="E1070" s="51" t="n">
        <f aca="false">'Analisa Harga Satuan'!$H$1037</f>
        <v>49500000</v>
      </c>
      <c r="F1070" s="52" t="n">
        <f aca="false">ROUND(D1070*E1070,0)</f>
        <v>99000000</v>
      </c>
      <c r="G1070" s="49" t="s">
        <v>1032</v>
      </c>
      <c r="H1070" s="53" t="s">
        <v>189</v>
      </c>
    </row>
    <row r="1071" customFormat="false" ht="15" hidden="false" customHeight="false" outlineLevel="0" collapsed="false">
      <c r="A1071" s="49" t="s">
        <v>151</v>
      </c>
      <c r="B1071" s="29" t="s">
        <v>1033</v>
      </c>
      <c r="C1071" s="49" t="s">
        <v>183</v>
      </c>
      <c r="D1071" s="50" t="n">
        <v>1</v>
      </c>
      <c r="E1071" s="51" t="n">
        <f aca="false">'Analisa Harga Satuan'!$H$1038</f>
        <v>13200000</v>
      </c>
      <c r="F1071" s="52" t="n">
        <f aca="false">ROUND(D1071*E1071,0)</f>
        <v>13200000</v>
      </c>
      <c r="G1071" s="49" t="s">
        <v>1034</v>
      </c>
      <c r="H1071" s="53" t="s">
        <v>181</v>
      </c>
    </row>
    <row r="1072" customFormat="false" ht="15" hidden="false" customHeight="false" outlineLevel="0" collapsed="false">
      <c r="A1072" s="60" t="s">
        <v>1035</v>
      </c>
      <c r="B1072" s="61" t="s">
        <v>436</v>
      </c>
    </row>
    <row r="1073" customFormat="false" ht="15" hidden="false" customHeight="false" outlineLevel="0" collapsed="false">
      <c r="A1073" s="60" t="s">
        <v>78</v>
      </c>
      <c r="B1073" s="61" t="s">
        <v>394</v>
      </c>
    </row>
    <row r="1074" customFormat="false" ht="15" hidden="false" customHeight="false" outlineLevel="0" collapsed="false">
      <c r="A1074" s="49" t="s">
        <v>139</v>
      </c>
      <c r="B1074" s="29" t="s">
        <v>1036</v>
      </c>
      <c r="C1074" s="49" t="s">
        <v>331</v>
      </c>
      <c r="D1074" s="50" t="n">
        <v>570.84</v>
      </c>
      <c r="E1074" s="51" t="n">
        <f aca="false">'Analisa Harga Satuan'!$H$1039</f>
        <v>147840</v>
      </c>
      <c r="F1074" s="52" t="n">
        <f aca="false">ROUND(D1074*E1074,0)</f>
        <v>84392986</v>
      </c>
      <c r="G1074" s="49" t="s">
        <v>1037</v>
      </c>
      <c r="H1074" s="53" t="s">
        <v>181</v>
      </c>
    </row>
    <row r="1075" customFormat="false" ht="15" hidden="false" customHeight="false" outlineLevel="0" collapsed="false">
      <c r="A1075" s="49" t="s">
        <v>141</v>
      </c>
      <c r="B1075" s="29" t="s">
        <v>1038</v>
      </c>
      <c r="C1075" s="49" t="s">
        <v>331</v>
      </c>
      <c r="D1075" s="50" t="n">
        <v>533.96</v>
      </c>
      <c r="E1075" s="51" t="n">
        <f aca="false">'Analisa Harga Satuan'!$H$1040</f>
        <v>433070</v>
      </c>
      <c r="F1075" s="52" t="n">
        <f aca="false">ROUND(D1075*E1075,0)</f>
        <v>231242057</v>
      </c>
      <c r="G1075" s="49" t="s">
        <v>1039</v>
      </c>
      <c r="H1075" s="53" t="s">
        <v>181</v>
      </c>
    </row>
    <row r="1076" customFormat="false" ht="25.5" hidden="false" customHeight="true" outlineLevel="0" collapsed="false">
      <c r="A1076" s="49" t="s">
        <v>143</v>
      </c>
      <c r="B1076" s="29" t="s">
        <v>1040</v>
      </c>
      <c r="C1076" s="49" t="s">
        <v>331</v>
      </c>
      <c r="D1076" s="50" t="n">
        <v>162.15</v>
      </c>
      <c r="E1076" s="51" t="n">
        <f aca="false">'Analisa Harga Satuan'!$F$532</f>
        <v>513931</v>
      </c>
      <c r="F1076" s="52" t="n">
        <f aca="false">ROUND(D1076*E1076,0)</f>
        <v>83333912</v>
      </c>
      <c r="G1076" s="49" t="s">
        <v>440</v>
      </c>
      <c r="H1076" s="53" t="s">
        <v>305</v>
      </c>
    </row>
    <row r="1077" customFormat="false" ht="25.5" hidden="false" customHeight="true" outlineLevel="0" collapsed="false">
      <c r="A1077" s="49" t="s">
        <v>145</v>
      </c>
      <c r="B1077" s="29" t="s">
        <v>1041</v>
      </c>
      <c r="C1077" s="49" t="s">
        <v>331</v>
      </c>
      <c r="D1077" s="50" t="n">
        <v>40.04</v>
      </c>
      <c r="E1077" s="51" t="n">
        <f aca="false">'Analisa Harga Satuan'!$F$551</f>
        <v>467731</v>
      </c>
      <c r="F1077" s="52" t="n">
        <f aca="false">ROUND(D1077*E1077,0)</f>
        <v>18727949</v>
      </c>
      <c r="G1077" s="49" t="s">
        <v>442</v>
      </c>
      <c r="H1077" s="53" t="s">
        <v>305</v>
      </c>
    </row>
    <row r="1078" customFormat="false" ht="15" hidden="false" customHeight="false" outlineLevel="0" collapsed="false">
      <c r="A1078" s="49" t="s">
        <v>147</v>
      </c>
      <c r="B1078" s="29" t="s">
        <v>445</v>
      </c>
      <c r="C1078" s="49" t="s">
        <v>367</v>
      </c>
      <c r="D1078" s="50" t="n">
        <v>90.54</v>
      </c>
      <c r="E1078" s="51" t="n">
        <f aca="false">'Analisa Harga Satuan'!$F$586</f>
        <v>63745</v>
      </c>
      <c r="F1078" s="52" t="n">
        <f aca="false">ROUND(D1078*E1078,0)</f>
        <v>5771472</v>
      </c>
      <c r="G1078" s="49" t="s">
        <v>446</v>
      </c>
      <c r="H1078" s="53" t="s">
        <v>305</v>
      </c>
    </row>
    <row r="1079" customFormat="false" ht="15" hidden="false" customHeight="false" outlineLevel="0" collapsed="false">
      <c r="A1079" s="60" t="s">
        <v>1042</v>
      </c>
      <c r="B1079" s="61" t="s">
        <v>449</v>
      </c>
    </row>
    <row r="1080" customFormat="false" ht="15" hidden="false" customHeight="false" outlineLevel="0" collapsed="false">
      <c r="A1080" s="49" t="s">
        <v>139</v>
      </c>
      <c r="B1080" s="29" t="s">
        <v>450</v>
      </c>
      <c r="C1080" s="49" t="s">
        <v>331</v>
      </c>
      <c r="D1080" s="50" t="n">
        <v>565.01</v>
      </c>
      <c r="E1080" s="51" t="n">
        <f aca="false">'Analisa Harga Satuan'!$F$616</f>
        <v>226710</v>
      </c>
      <c r="F1080" s="52" t="n">
        <f aca="false">ROUND(D1080*E1080,0)</f>
        <v>128093417</v>
      </c>
      <c r="G1080" s="49" t="s">
        <v>451</v>
      </c>
      <c r="H1080" s="53" t="s">
        <v>305</v>
      </c>
    </row>
    <row r="1081" customFormat="false" ht="15" hidden="false" customHeight="false" outlineLevel="0" collapsed="false">
      <c r="A1081" s="49" t="s">
        <v>141</v>
      </c>
      <c r="B1081" s="29" t="s">
        <v>1043</v>
      </c>
      <c r="C1081" s="49" t="s">
        <v>303</v>
      </c>
      <c r="D1081" s="50" t="n">
        <v>6.66</v>
      </c>
      <c r="E1081" s="51" t="n">
        <f aca="false">'Analisa Harga Satuan'!$F$250</f>
        <v>1605610</v>
      </c>
      <c r="F1081" s="52" t="n">
        <f aca="false">ROUND(D1081*E1081,0)</f>
        <v>10693363</v>
      </c>
      <c r="G1081" s="49" t="s">
        <v>362</v>
      </c>
      <c r="H1081" s="53" t="s">
        <v>305</v>
      </c>
    </row>
    <row r="1082" customFormat="false" ht="15" hidden="false" customHeight="false" outlineLevel="0" collapsed="false">
      <c r="A1082" s="60" t="s">
        <v>1044</v>
      </c>
      <c r="B1082" s="61" t="s">
        <v>453</v>
      </c>
    </row>
    <row r="1083" customFormat="false" ht="15" hidden="false" customHeight="false" outlineLevel="0" collapsed="false">
      <c r="B1083" s="54" t="s">
        <v>394</v>
      </c>
    </row>
    <row r="1084" customFormat="false" ht="15" hidden="false" customHeight="false" outlineLevel="0" collapsed="false">
      <c r="A1084" s="49" t="s">
        <v>139</v>
      </c>
      <c r="B1084" s="29" t="s">
        <v>1045</v>
      </c>
      <c r="C1084" s="49" t="s">
        <v>183</v>
      </c>
      <c r="D1084" s="50" t="n">
        <v>2</v>
      </c>
      <c r="E1084" s="51" t="n">
        <f aca="false">'Analisa Harga Satuan'!$H$1041</f>
        <v>10098000</v>
      </c>
      <c r="F1084" s="52" t="n">
        <f aca="false">ROUND(D1084*E1084,0)</f>
        <v>20196000</v>
      </c>
      <c r="G1084" s="49" t="s">
        <v>1046</v>
      </c>
      <c r="H1084" s="53" t="s">
        <v>189</v>
      </c>
    </row>
    <row r="1085" customFormat="false" ht="15" hidden="false" customHeight="false" outlineLevel="0" collapsed="false">
      <c r="A1085" s="49" t="s">
        <v>141</v>
      </c>
      <c r="B1085" s="29" t="s">
        <v>1047</v>
      </c>
      <c r="C1085" s="49" t="s">
        <v>183</v>
      </c>
      <c r="D1085" s="50" t="n">
        <v>3</v>
      </c>
      <c r="E1085" s="51" t="n">
        <f aca="false">'Analisa Harga Satuan'!$H$1042</f>
        <v>5049000</v>
      </c>
      <c r="F1085" s="52" t="n">
        <f aca="false">ROUND(D1085*E1085,0)</f>
        <v>15147000</v>
      </c>
      <c r="G1085" s="49" t="s">
        <v>1048</v>
      </c>
      <c r="H1085" s="53" t="s">
        <v>189</v>
      </c>
    </row>
    <row r="1086" customFormat="false" ht="15" hidden="false" customHeight="false" outlineLevel="0" collapsed="false">
      <c r="A1086" s="49" t="s">
        <v>143</v>
      </c>
      <c r="B1086" s="29" t="s">
        <v>1049</v>
      </c>
      <c r="C1086" s="49" t="s">
        <v>183</v>
      </c>
      <c r="D1086" s="50" t="n">
        <v>7</v>
      </c>
      <c r="E1086" s="51" t="n">
        <f aca="false">'Analisa Harga Satuan'!$H$1043</f>
        <v>2791800</v>
      </c>
      <c r="F1086" s="52" t="n">
        <f aca="false">ROUND(D1086*E1086,0)</f>
        <v>19542600</v>
      </c>
      <c r="G1086" s="49" t="s">
        <v>1050</v>
      </c>
      <c r="H1086" s="53" t="s">
        <v>189</v>
      </c>
    </row>
    <row r="1087" customFormat="false" ht="15" hidden="false" customHeight="false" outlineLevel="0" collapsed="false">
      <c r="A1087" s="49" t="s">
        <v>145</v>
      </c>
      <c r="B1087" s="29" t="s">
        <v>1051</v>
      </c>
      <c r="C1087" s="49" t="s">
        <v>183</v>
      </c>
      <c r="D1087" s="50" t="n">
        <v>1</v>
      </c>
      <c r="E1087" s="51" t="n">
        <f aca="false">'Analisa Harga Satuan'!$H$1044</f>
        <v>3682800</v>
      </c>
      <c r="F1087" s="52" t="n">
        <f aca="false">ROUND(D1087*E1087,0)</f>
        <v>3682800</v>
      </c>
      <c r="G1087" s="49" t="s">
        <v>1052</v>
      </c>
      <c r="H1087" s="53" t="s">
        <v>189</v>
      </c>
    </row>
    <row r="1088" customFormat="false" ht="15" hidden="false" customHeight="false" outlineLevel="0" collapsed="false">
      <c r="A1088" s="49" t="s">
        <v>145</v>
      </c>
      <c r="B1088" s="29" t="s">
        <v>470</v>
      </c>
      <c r="C1088" s="49" t="s">
        <v>183</v>
      </c>
      <c r="D1088" s="50" t="n">
        <v>6</v>
      </c>
      <c r="E1088" s="51" t="n">
        <f aca="false">'Analisa Harga Satuan'!$H$860</f>
        <v>3326400</v>
      </c>
      <c r="F1088" s="52" t="n">
        <f aca="false">ROUND(D1088*E1088,0)</f>
        <v>19958400</v>
      </c>
      <c r="G1088" s="49" t="s">
        <v>471</v>
      </c>
      <c r="H1088" s="53" t="s">
        <v>189</v>
      </c>
    </row>
    <row r="1089" customFormat="false" ht="15" hidden="false" customHeight="false" outlineLevel="0" collapsed="false">
      <c r="A1089" s="49" t="s">
        <v>147</v>
      </c>
      <c r="B1089" s="29" t="s">
        <v>1053</v>
      </c>
      <c r="C1089" s="49" t="s">
        <v>183</v>
      </c>
      <c r="D1089" s="50" t="n">
        <v>4</v>
      </c>
      <c r="E1089" s="51" t="n">
        <f aca="false">'Analisa Harga Satuan'!$H$1045</f>
        <v>3801600</v>
      </c>
      <c r="F1089" s="52" t="n">
        <f aca="false">ROUND(D1089*E1089,0)</f>
        <v>15206400</v>
      </c>
      <c r="G1089" s="49" t="s">
        <v>1054</v>
      </c>
      <c r="H1089" s="53" t="s">
        <v>189</v>
      </c>
    </row>
    <row r="1090" customFormat="false" ht="15" hidden="false" customHeight="false" outlineLevel="0" collapsed="false">
      <c r="A1090" s="49" t="s">
        <v>149</v>
      </c>
      <c r="B1090" s="29" t="s">
        <v>1055</v>
      </c>
      <c r="C1090" s="49" t="s">
        <v>183</v>
      </c>
      <c r="D1090" s="50" t="n">
        <v>6</v>
      </c>
      <c r="E1090" s="51" t="n">
        <f aca="false">'Analisa Harga Satuan'!$H$1046</f>
        <v>3088800</v>
      </c>
      <c r="F1090" s="52" t="n">
        <f aca="false">ROUND(D1090*E1090,0)</f>
        <v>18532800</v>
      </c>
      <c r="G1090" s="49" t="s">
        <v>1056</v>
      </c>
      <c r="H1090" s="53" t="s">
        <v>189</v>
      </c>
    </row>
    <row r="1091" customFormat="false" ht="15" hidden="false" customHeight="false" outlineLevel="0" collapsed="false">
      <c r="A1091" s="49" t="s">
        <v>151</v>
      </c>
      <c r="B1091" s="29" t="s">
        <v>1057</v>
      </c>
      <c r="C1091" s="49" t="s">
        <v>183</v>
      </c>
      <c r="D1091" s="50" t="n">
        <v>2</v>
      </c>
      <c r="E1091" s="51" t="n">
        <f aca="false">'Analisa Harga Satuan'!$H$1047</f>
        <v>2138400</v>
      </c>
      <c r="F1091" s="52" t="n">
        <f aca="false">ROUND(D1091*E1091,0)</f>
        <v>4276800</v>
      </c>
      <c r="G1091" s="49" t="s">
        <v>1058</v>
      </c>
      <c r="H1091" s="53" t="s">
        <v>189</v>
      </c>
    </row>
    <row r="1092" customFormat="false" ht="15" hidden="false" customHeight="false" outlineLevel="0" collapsed="false">
      <c r="A1092" s="49" t="s">
        <v>423</v>
      </c>
      <c r="B1092" s="29" t="s">
        <v>1059</v>
      </c>
      <c r="C1092" s="49" t="s">
        <v>183</v>
      </c>
      <c r="D1092" s="50" t="n">
        <v>16</v>
      </c>
      <c r="E1092" s="51" t="n">
        <f aca="false">'Analisa Harga Satuan'!$H$1048</f>
        <v>1485000</v>
      </c>
      <c r="F1092" s="52" t="n">
        <f aca="false">ROUND(D1092*E1092,0)</f>
        <v>23760000</v>
      </c>
      <c r="G1092" s="49" t="s">
        <v>1060</v>
      </c>
      <c r="H1092" s="53" t="s">
        <v>189</v>
      </c>
    </row>
    <row r="1093" customFormat="false" ht="15" hidden="false" customHeight="false" outlineLevel="0" collapsed="false">
      <c r="A1093" s="49" t="s">
        <v>208</v>
      </c>
      <c r="B1093" s="29" t="s">
        <v>1061</v>
      </c>
      <c r="C1093" s="49" t="s">
        <v>183</v>
      </c>
      <c r="D1093" s="50" t="n">
        <v>2</v>
      </c>
      <c r="E1093" s="51" t="n">
        <f aca="false">'Analisa Harga Satuan'!$H$1048</f>
        <v>1485000</v>
      </c>
      <c r="F1093" s="52" t="n">
        <f aca="false">ROUND(D1093*E1093,0)</f>
        <v>2970000</v>
      </c>
      <c r="G1093" s="49" t="s">
        <v>1060</v>
      </c>
      <c r="H1093" s="53" t="s">
        <v>189</v>
      </c>
    </row>
    <row r="1094" customFormat="false" ht="15" hidden="false" customHeight="false" outlineLevel="0" collapsed="false">
      <c r="A1094" s="49" t="s">
        <v>217</v>
      </c>
      <c r="B1094" s="29" t="s">
        <v>472</v>
      </c>
      <c r="C1094" s="49" t="s">
        <v>183</v>
      </c>
      <c r="D1094" s="50" t="n">
        <v>4</v>
      </c>
      <c r="E1094" s="51" t="n">
        <f aca="false">'Analisa Harga Satuan'!$H$861</f>
        <v>1009800</v>
      </c>
      <c r="F1094" s="52" t="n">
        <f aca="false">ROUND(D1094*E1094,0)</f>
        <v>4039200</v>
      </c>
      <c r="G1094" s="49" t="s">
        <v>473</v>
      </c>
      <c r="H1094" s="53" t="s">
        <v>189</v>
      </c>
    </row>
    <row r="1095" customFormat="false" ht="15" hidden="false" customHeight="false" outlineLevel="0" collapsed="false">
      <c r="A1095" s="49" t="s">
        <v>221</v>
      </c>
      <c r="B1095" s="29" t="s">
        <v>1062</v>
      </c>
      <c r="C1095" s="49" t="s">
        <v>367</v>
      </c>
      <c r="D1095" s="50" t="n">
        <v>17.6</v>
      </c>
      <c r="E1095" s="51" t="n">
        <f aca="false">'Analisa Harga Satuan'!$H$1049</f>
        <v>948750</v>
      </c>
      <c r="F1095" s="52" t="n">
        <f aca="false">ROUND(D1095*E1095,0)</f>
        <v>16698000</v>
      </c>
      <c r="G1095" s="49" t="s">
        <v>1063</v>
      </c>
      <c r="H1095" s="53" t="s">
        <v>181</v>
      </c>
    </row>
    <row r="1096" customFormat="false" ht="15" hidden="false" customHeight="false" outlineLevel="0" collapsed="false">
      <c r="A1096" s="60" t="s">
        <v>1064</v>
      </c>
      <c r="B1096" s="61" t="s">
        <v>479</v>
      </c>
    </row>
    <row r="1097" customFormat="false" ht="15" hidden="false" customHeight="false" outlineLevel="0" collapsed="false">
      <c r="A1097" s="60" t="s">
        <v>78</v>
      </c>
      <c r="B1097" s="61" t="s">
        <v>480</v>
      </c>
    </row>
    <row r="1098" customFormat="false" ht="15" hidden="false" customHeight="false" outlineLevel="0" collapsed="false">
      <c r="B1098" s="54" t="s">
        <v>394</v>
      </c>
    </row>
    <row r="1099" customFormat="false" ht="15" hidden="false" customHeight="false" outlineLevel="0" collapsed="false">
      <c r="A1099" s="49" t="s">
        <v>139</v>
      </c>
      <c r="B1099" s="29" t="s">
        <v>481</v>
      </c>
      <c r="C1099" s="49" t="s">
        <v>331</v>
      </c>
      <c r="D1099" s="50" t="n">
        <v>224.37</v>
      </c>
      <c r="E1099" s="51" t="n">
        <f aca="false">'Analisa Harga Satuan'!$F$631</f>
        <v>113025</v>
      </c>
      <c r="F1099" s="52" t="n">
        <f aca="false">ROUND(D1099*E1099,0)</f>
        <v>25359419</v>
      </c>
      <c r="G1099" s="49" t="s">
        <v>482</v>
      </c>
      <c r="H1099" s="53" t="s">
        <v>305</v>
      </c>
    </row>
    <row r="1100" customFormat="false" ht="15" hidden="false" customHeight="false" outlineLevel="0" collapsed="false">
      <c r="A1100" s="49" t="s">
        <v>141</v>
      </c>
      <c r="B1100" s="29" t="s">
        <v>483</v>
      </c>
      <c r="C1100" s="49" t="s">
        <v>331</v>
      </c>
      <c r="D1100" s="50" t="n">
        <v>182.8</v>
      </c>
      <c r="E1100" s="51" t="n">
        <f aca="false">'Analisa Harga Satuan'!$F$647</f>
        <v>99605</v>
      </c>
      <c r="F1100" s="52" t="n">
        <f aca="false">ROUND(D1100*E1100,0)</f>
        <v>18207794</v>
      </c>
      <c r="G1100" s="49" t="s">
        <v>484</v>
      </c>
      <c r="H1100" s="53" t="s">
        <v>305</v>
      </c>
    </row>
    <row r="1101" customFormat="false" ht="15" hidden="false" customHeight="false" outlineLevel="0" collapsed="false">
      <c r="A1101" s="49" t="s">
        <v>143</v>
      </c>
      <c r="B1101" s="29" t="s">
        <v>485</v>
      </c>
      <c r="C1101" s="49" t="s">
        <v>331</v>
      </c>
      <c r="D1101" s="50" t="n">
        <v>41.58</v>
      </c>
      <c r="E1101" s="51" t="n">
        <f aca="false">'Analisa Harga Satuan'!$F$663</f>
        <v>157850</v>
      </c>
      <c r="F1101" s="52" t="n">
        <f aca="false">ROUND(D1101*E1101,0)</f>
        <v>6563403</v>
      </c>
      <c r="G1101" s="49" t="s">
        <v>486</v>
      </c>
      <c r="H1101" s="53" t="s">
        <v>305</v>
      </c>
    </row>
    <row r="1102" customFormat="false" ht="15" hidden="false" customHeight="false" outlineLevel="0" collapsed="false">
      <c r="A1102" s="49" t="s">
        <v>145</v>
      </c>
      <c r="B1102" s="29" t="s">
        <v>1065</v>
      </c>
      <c r="C1102" s="49" t="s">
        <v>206</v>
      </c>
      <c r="D1102" s="50" t="n">
        <v>2</v>
      </c>
      <c r="E1102" s="51" t="n">
        <f aca="false">'Analisa Harga Satuan'!$H$1050</f>
        <v>2238500</v>
      </c>
      <c r="F1102" s="52" t="n">
        <f aca="false">ROUND(D1102*E1102,0)</f>
        <v>4477000</v>
      </c>
      <c r="G1102" s="49" t="s">
        <v>1066</v>
      </c>
      <c r="H1102" s="53" t="s">
        <v>181</v>
      </c>
    </row>
    <row r="1103" customFormat="false" ht="15" hidden="false" customHeight="false" outlineLevel="0" collapsed="false">
      <c r="A1103" s="60" t="s">
        <v>93</v>
      </c>
      <c r="B1103" s="61" t="s">
        <v>488</v>
      </c>
    </row>
    <row r="1104" customFormat="false" ht="15" hidden="false" customHeight="false" outlineLevel="0" collapsed="false">
      <c r="A1104" s="49" t="s">
        <v>139</v>
      </c>
      <c r="B1104" s="29" t="s">
        <v>489</v>
      </c>
      <c r="C1104" s="49" t="s">
        <v>331</v>
      </c>
      <c r="D1104" s="50" t="n">
        <v>37.05</v>
      </c>
      <c r="E1104" s="51" t="n">
        <f aca="false">'Analisa Harga Satuan'!$F$678</f>
        <v>78914</v>
      </c>
      <c r="F1104" s="52" t="n">
        <f aca="false">ROUND(D1104*E1104,0)</f>
        <v>2923764</v>
      </c>
      <c r="G1104" s="49" t="s">
        <v>490</v>
      </c>
      <c r="H1104" s="53" t="s">
        <v>305</v>
      </c>
    </row>
    <row r="1105" customFormat="false" ht="15" hidden="false" customHeight="false" outlineLevel="0" collapsed="false">
      <c r="A1105" s="49" t="s">
        <v>141</v>
      </c>
      <c r="B1105" s="29" t="s">
        <v>491</v>
      </c>
      <c r="C1105" s="49" t="s">
        <v>331</v>
      </c>
      <c r="D1105" s="50" t="n">
        <v>37.05</v>
      </c>
      <c r="E1105" s="51" t="n">
        <f aca="false">'Analisa Harga Satuan'!$F$693</f>
        <v>187220</v>
      </c>
      <c r="F1105" s="52" t="n">
        <f aca="false">ROUND(D1105*E1105,0)</f>
        <v>6936501</v>
      </c>
      <c r="G1105" s="49" t="s">
        <v>492</v>
      </c>
      <c r="H1105" s="53" t="s">
        <v>305</v>
      </c>
    </row>
    <row r="1106" customFormat="false" ht="15" hidden="false" customHeight="false" outlineLevel="0" collapsed="false">
      <c r="A1106" s="49" t="s">
        <v>143</v>
      </c>
      <c r="B1106" s="29" t="s">
        <v>1067</v>
      </c>
      <c r="C1106" s="49" t="s">
        <v>331</v>
      </c>
      <c r="D1106" s="50" t="n">
        <v>604.23</v>
      </c>
      <c r="E1106" s="51" t="n">
        <f aca="false">'Analisa Harga Satuan'!$H$1051</f>
        <v>254375</v>
      </c>
      <c r="F1106" s="52" t="n">
        <f aca="false">ROUND(D1106*E1106,0)</f>
        <v>153701006</v>
      </c>
      <c r="G1106" s="49" t="s">
        <v>1068</v>
      </c>
      <c r="H1106" s="53" t="s">
        <v>181</v>
      </c>
    </row>
    <row r="1107" customFormat="false" ht="15" hidden="false" customHeight="false" outlineLevel="0" collapsed="false">
      <c r="A1107" s="49" t="s">
        <v>145</v>
      </c>
      <c r="B1107" s="29" t="s">
        <v>1162</v>
      </c>
      <c r="C1107" s="49" t="s">
        <v>331</v>
      </c>
      <c r="D1107" s="50" t="n">
        <v>604.23</v>
      </c>
      <c r="E1107" s="51" t="n">
        <f aca="false">'Analisa Harga Satuan'!$H$1073</f>
        <v>95040</v>
      </c>
      <c r="F1107" s="52" t="n">
        <f aca="false">ROUND(D1107*E1107,0)</f>
        <v>57426019</v>
      </c>
      <c r="G1107" s="49" t="s">
        <v>1163</v>
      </c>
      <c r="H1107" s="53" t="s">
        <v>181</v>
      </c>
    </row>
    <row r="1108" customFormat="false" ht="15" hidden="false" customHeight="false" outlineLevel="0" collapsed="false">
      <c r="A1108" s="49" t="s">
        <v>147</v>
      </c>
      <c r="B1108" s="29" t="s">
        <v>1071</v>
      </c>
      <c r="C1108" s="49" t="s">
        <v>367</v>
      </c>
      <c r="D1108" s="50" t="n">
        <v>36.12</v>
      </c>
      <c r="E1108" s="51" t="n">
        <f aca="false">'Analisa Harga Satuan'!$H$1053</f>
        <v>226875</v>
      </c>
      <c r="F1108" s="52" t="n">
        <f aca="false">ROUND(D1108*E1108,0)</f>
        <v>8194725</v>
      </c>
      <c r="G1108" s="49" t="s">
        <v>1072</v>
      </c>
      <c r="H1108" s="53" t="s">
        <v>181</v>
      </c>
    </row>
    <row r="1109" customFormat="false" ht="15" hidden="false" customHeight="false" outlineLevel="0" collapsed="false">
      <c r="A1109" s="49" t="s">
        <v>149</v>
      </c>
      <c r="B1109" s="29" t="s">
        <v>1073</v>
      </c>
      <c r="C1109" s="49" t="s">
        <v>331</v>
      </c>
      <c r="D1109" s="50" t="n">
        <v>205.21</v>
      </c>
      <c r="E1109" s="51" t="n">
        <f aca="false">'Analisa Harga Satuan'!$H$1054</f>
        <v>474375</v>
      </c>
      <c r="F1109" s="52" t="n">
        <f aca="false">ROUND(D1109*E1109,0)</f>
        <v>97346494</v>
      </c>
      <c r="G1109" s="49" t="s">
        <v>1074</v>
      </c>
      <c r="H1109" s="53" t="s">
        <v>181</v>
      </c>
    </row>
    <row r="1110" customFormat="false" ht="15" hidden="false" customHeight="false" outlineLevel="0" collapsed="false">
      <c r="A1110" s="60" t="s">
        <v>1075</v>
      </c>
      <c r="B1110" s="61" t="s">
        <v>500</v>
      </c>
    </row>
    <row r="1111" customFormat="false" ht="15" hidden="false" customHeight="false" outlineLevel="0" collapsed="false">
      <c r="A1111" s="49" t="s">
        <v>139</v>
      </c>
      <c r="B1111" s="29" t="s">
        <v>501</v>
      </c>
      <c r="C1111" s="49" t="s">
        <v>331</v>
      </c>
      <c r="D1111" s="50" t="n">
        <v>1242.48</v>
      </c>
      <c r="E1111" s="51" t="n">
        <f aca="false">'Analisa Harga Satuan'!$F$711</f>
        <v>38744</v>
      </c>
      <c r="F1111" s="52" t="n">
        <f aca="false">ROUND(D1111*E1111,0)</f>
        <v>48138645</v>
      </c>
      <c r="G1111" s="49" t="s">
        <v>502</v>
      </c>
      <c r="H1111" s="53" t="s">
        <v>305</v>
      </c>
    </row>
    <row r="1112" customFormat="false" ht="15" hidden="false" customHeight="false" outlineLevel="0" collapsed="false">
      <c r="A1112" s="49" t="s">
        <v>141</v>
      </c>
      <c r="B1112" s="29" t="s">
        <v>503</v>
      </c>
      <c r="C1112" s="49" t="s">
        <v>331</v>
      </c>
      <c r="D1112" s="50" t="n">
        <v>212.12</v>
      </c>
      <c r="E1112" s="51" t="n">
        <f aca="false">'Analisa Harga Satuan'!$F$729</f>
        <v>47896</v>
      </c>
      <c r="F1112" s="52" t="n">
        <f aca="false">ROUND(D1112*E1112,0)</f>
        <v>10159700</v>
      </c>
      <c r="G1112" s="49" t="s">
        <v>504</v>
      </c>
      <c r="H1112" s="53" t="s">
        <v>305</v>
      </c>
    </row>
    <row r="1113" customFormat="false" ht="15" hidden="false" customHeight="false" outlineLevel="0" collapsed="false">
      <c r="A1113" s="49" t="s">
        <v>143</v>
      </c>
      <c r="B1113" s="29" t="s">
        <v>505</v>
      </c>
      <c r="C1113" s="49" t="s">
        <v>331</v>
      </c>
      <c r="D1113" s="50" t="n">
        <v>224.37</v>
      </c>
      <c r="E1113" s="51" t="n">
        <f aca="false">'Analisa Harga Satuan'!$F$746</f>
        <v>28932</v>
      </c>
      <c r="F1113" s="52" t="n">
        <f aca="false">ROUND(D1113*E1113,0)</f>
        <v>6491473</v>
      </c>
      <c r="G1113" s="49" t="s">
        <v>506</v>
      </c>
      <c r="H1113" s="53" t="s">
        <v>305</v>
      </c>
    </row>
    <row r="1114" customFormat="false" ht="15" hidden="false" customHeight="false" outlineLevel="0" collapsed="false">
      <c r="A1114" s="60" t="s">
        <v>1076</v>
      </c>
      <c r="B1114" s="61" t="s">
        <v>508</v>
      </c>
    </row>
    <row r="1115" customFormat="false" ht="15" hidden="false" customHeight="false" outlineLevel="0" collapsed="false">
      <c r="A1115" s="49" t="s">
        <v>139</v>
      </c>
      <c r="B1115" s="29" t="s">
        <v>1077</v>
      </c>
      <c r="C1115" s="49" t="s">
        <v>331</v>
      </c>
      <c r="D1115" s="50" t="n">
        <v>21.83</v>
      </c>
      <c r="E1115" s="51" t="n">
        <f aca="false">'Analisa Harga Satuan'!$F$383</f>
        <v>247478</v>
      </c>
      <c r="F1115" s="52" t="n">
        <f aca="false">ROUND(D1115*E1115,0)</f>
        <v>5402445</v>
      </c>
      <c r="G1115" s="49" t="s">
        <v>510</v>
      </c>
      <c r="H1115" s="53" t="s">
        <v>305</v>
      </c>
    </row>
    <row r="1116" customFormat="false" ht="15" hidden="false" customHeight="false" outlineLevel="0" collapsed="false">
      <c r="A1116" s="49" t="s">
        <v>141</v>
      </c>
      <c r="B1116" s="29" t="s">
        <v>1078</v>
      </c>
      <c r="C1116" s="49" t="s">
        <v>331</v>
      </c>
      <c r="D1116" s="50" t="n">
        <v>270.32</v>
      </c>
      <c r="E1116" s="51" t="n">
        <f aca="false">'Analisa Harga Satuan'!$F$383</f>
        <v>247478</v>
      </c>
      <c r="F1116" s="52" t="n">
        <f aca="false">ROUND(D1116*E1116,0)</f>
        <v>66898253</v>
      </c>
      <c r="G1116" s="49" t="s">
        <v>510</v>
      </c>
      <c r="H1116" s="53" t="s">
        <v>305</v>
      </c>
    </row>
    <row r="1117" customFormat="false" ht="15" hidden="false" customHeight="false" outlineLevel="0" collapsed="false">
      <c r="A1117" s="49" t="s">
        <v>143</v>
      </c>
      <c r="B1117" s="29" t="s">
        <v>511</v>
      </c>
      <c r="C1117" s="49" t="s">
        <v>331</v>
      </c>
      <c r="D1117" s="50" t="n">
        <v>413.04</v>
      </c>
      <c r="E1117" s="51" t="n">
        <f aca="false">'Analisa Harga Satuan'!$F$432</f>
        <v>103703</v>
      </c>
      <c r="F1117" s="52" t="n">
        <f aca="false">ROUND(D1117*E1117,0)</f>
        <v>42833487</v>
      </c>
      <c r="G1117" s="49" t="s">
        <v>399</v>
      </c>
      <c r="H1117" s="53" t="s">
        <v>305</v>
      </c>
    </row>
    <row r="1118" customFormat="false" ht="15" hidden="false" customHeight="false" outlineLevel="0" collapsed="false">
      <c r="A1118" s="49" t="s">
        <v>145</v>
      </c>
      <c r="B1118" s="29" t="s">
        <v>512</v>
      </c>
      <c r="C1118" s="49" t="s">
        <v>331</v>
      </c>
      <c r="D1118" s="50" t="n">
        <v>413.04</v>
      </c>
      <c r="E1118" s="51" t="n">
        <f aca="false">'Analisa Harga Satuan'!$F$479</f>
        <v>58982</v>
      </c>
      <c r="F1118" s="52" t="n">
        <f aca="false">ROUND(D1118*E1118,0)</f>
        <v>24361925</v>
      </c>
      <c r="G1118" s="49" t="s">
        <v>403</v>
      </c>
      <c r="H1118" s="53" t="s">
        <v>305</v>
      </c>
    </row>
    <row r="1119" customFormat="false" ht="15" hidden="false" customHeight="false" outlineLevel="0" collapsed="false">
      <c r="A1119" s="49" t="s">
        <v>147</v>
      </c>
      <c r="B1119" s="29" t="s">
        <v>513</v>
      </c>
      <c r="C1119" s="49" t="s">
        <v>206</v>
      </c>
      <c r="D1119" s="50" t="n">
        <v>4</v>
      </c>
      <c r="E1119" s="51" t="n">
        <f aca="false">'Analisa Harga Satuan'!$H$867</f>
        <v>1518000</v>
      </c>
      <c r="F1119" s="52" t="n">
        <f aca="false">ROUND(D1119*E1119,0)</f>
        <v>6072000</v>
      </c>
      <c r="G1119" s="49" t="s">
        <v>514</v>
      </c>
      <c r="H1119" s="53" t="s">
        <v>181</v>
      </c>
    </row>
    <row r="1120" customFormat="false" ht="15" hidden="false" customHeight="false" outlineLevel="0" collapsed="false">
      <c r="A1120" s="49" t="s">
        <v>149</v>
      </c>
      <c r="B1120" s="29" t="s">
        <v>310</v>
      </c>
      <c r="C1120" s="49" t="s">
        <v>331</v>
      </c>
      <c r="D1120" s="50" t="n">
        <v>11.36</v>
      </c>
      <c r="E1120" s="51" t="n">
        <f aca="false">'Analisa Harga Satuan'!$F$798</f>
        <v>23568</v>
      </c>
      <c r="F1120" s="52" t="n">
        <f aca="false">ROUND(D1120*E1120,0)</f>
        <v>267732</v>
      </c>
      <c r="G1120" s="49" t="s">
        <v>515</v>
      </c>
      <c r="H1120" s="53" t="s">
        <v>305</v>
      </c>
    </row>
    <row r="1121" customFormat="false" ht="15" hidden="false" customHeight="false" outlineLevel="0" collapsed="false">
      <c r="A1121" s="49" t="s">
        <v>151</v>
      </c>
      <c r="B1121" s="29" t="s">
        <v>1079</v>
      </c>
      <c r="C1121" s="49" t="s">
        <v>303</v>
      </c>
      <c r="D1121" s="50" t="n">
        <v>13.39</v>
      </c>
      <c r="E1121" s="51" t="n">
        <f aca="false">'Analisa Harga Satuan'!$F$228</f>
        <v>1386820</v>
      </c>
      <c r="F1121" s="52" t="n">
        <f aca="false">ROUND(D1121*E1121,0)</f>
        <v>18569520</v>
      </c>
      <c r="G1121" s="49" t="s">
        <v>324</v>
      </c>
      <c r="H1121" s="53" t="s">
        <v>305</v>
      </c>
    </row>
    <row r="1122" customFormat="false" ht="15" hidden="false" customHeight="false" outlineLevel="0" collapsed="false">
      <c r="A1122" s="49" t="s">
        <v>423</v>
      </c>
      <c r="B1122" s="29" t="s">
        <v>1080</v>
      </c>
      <c r="C1122" s="49" t="s">
        <v>303</v>
      </c>
      <c r="D1122" s="50" t="n">
        <v>1.77</v>
      </c>
      <c r="E1122" s="51" t="n">
        <f aca="false">'Analisa Harga Satuan'!$F$228</f>
        <v>1386820</v>
      </c>
      <c r="F1122" s="52" t="n">
        <f aca="false">ROUND(D1122*E1122,0)</f>
        <v>2454671</v>
      </c>
      <c r="G1122" s="49" t="s">
        <v>324</v>
      </c>
      <c r="H1122" s="53" t="s">
        <v>305</v>
      </c>
    </row>
    <row r="1123" customFormat="false" ht="15" hidden="false" customHeight="false" outlineLevel="0" collapsed="false">
      <c r="A1123" s="49" t="s">
        <v>208</v>
      </c>
      <c r="B1123" s="29" t="s">
        <v>366</v>
      </c>
      <c r="C1123" s="49" t="s">
        <v>367</v>
      </c>
      <c r="D1123" s="50" t="n">
        <v>78.57</v>
      </c>
      <c r="E1123" s="51" t="n">
        <f aca="false">'Analisa Harga Satuan'!$F$355</f>
        <v>246954</v>
      </c>
      <c r="F1123" s="52" t="n">
        <f aca="false">ROUND(D1123*E1123,0)</f>
        <v>19403176</v>
      </c>
      <c r="G1123" s="49" t="s">
        <v>368</v>
      </c>
      <c r="H1123" s="53" t="s">
        <v>305</v>
      </c>
    </row>
    <row r="1124" customFormat="false" ht="25.5" hidden="false" customHeight="true" outlineLevel="0" collapsed="false">
      <c r="A1124" s="49" t="s">
        <v>217</v>
      </c>
      <c r="B1124" s="29" t="s">
        <v>369</v>
      </c>
      <c r="C1124" s="49" t="s">
        <v>367</v>
      </c>
      <c r="D1124" s="50" t="n">
        <v>235.72</v>
      </c>
      <c r="E1124" s="51" t="n">
        <f aca="false">'Analisa Harga Satuan'!$F$366</f>
        <v>238292</v>
      </c>
      <c r="F1124" s="52" t="n">
        <f aca="false">ROUND(D1124*E1124,0)</f>
        <v>56170190</v>
      </c>
      <c r="G1124" s="49" t="s">
        <v>370</v>
      </c>
      <c r="H1124" s="53" t="s">
        <v>305</v>
      </c>
    </row>
    <row r="1125" customFormat="false" ht="15" hidden="false" customHeight="false" outlineLevel="0" collapsed="false">
      <c r="A1125" s="55"/>
      <c r="B1125" s="56" t="s">
        <v>1164</v>
      </c>
      <c r="C1125" s="55"/>
      <c r="D1125" s="55"/>
      <c r="E1125" s="55"/>
      <c r="F1125" s="27" t="n">
        <f aca="false">SUM(F1055:F1124)</f>
        <v>2659482782</v>
      </c>
      <c r="G1125" s="55"/>
      <c r="H1125" s="55"/>
    </row>
    <row r="1126" customFormat="false" ht="15" hidden="false" customHeight="false" outlineLevel="0" collapsed="false">
      <c r="A1126" s="46" t="s">
        <v>86</v>
      </c>
      <c r="B1126" s="47" t="s">
        <v>107</v>
      </c>
      <c r="C1126" s="48"/>
      <c r="D1126" s="48"/>
      <c r="E1126" s="48"/>
      <c r="F1126" s="48"/>
      <c r="G1126" s="48"/>
      <c r="H1126" s="48"/>
    </row>
    <row r="1127" customFormat="false" ht="15" hidden="false" customHeight="false" outlineLevel="0" collapsed="false">
      <c r="A1127" s="60" t="s">
        <v>78</v>
      </c>
      <c r="B1127" s="61" t="s">
        <v>518</v>
      </c>
    </row>
    <row r="1128" customFormat="false" ht="15" hidden="false" customHeight="false" outlineLevel="0" collapsed="false">
      <c r="A1128" s="49" t="s">
        <v>139</v>
      </c>
      <c r="B1128" s="29" t="s">
        <v>519</v>
      </c>
      <c r="C1128" s="49" t="s">
        <v>520</v>
      </c>
      <c r="D1128" s="50" t="n">
        <v>4</v>
      </c>
      <c r="E1128" s="51" t="n">
        <f aca="false">'Analisa Harga Satuan'!$H$868</f>
        <v>715000</v>
      </c>
      <c r="F1128" s="52" t="n">
        <f aca="false">ROUND(D1128*E1128,0)</f>
        <v>2860000</v>
      </c>
      <c r="G1128" s="49" t="s">
        <v>521</v>
      </c>
      <c r="H1128" s="53" t="s">
        <v>181</v>
      </c>
    </row>
    <row r="1129" customFormat="false" ht="15" hidden="false" customHeight="false" outlineLevel="0" collapsed="false">
      <c r="A1129" s="60" t="s">
        <v>93</v>
      </c>
      <c r="B1129" s="61" t="s">
        <v>524</v>
      </c>
    </row>
    <row r="1130" customFormat="false" ht="25.5" hidden="false" customHeight="true" outlineLevel="0" collapsed="false">
      <c r="B1130" s="54" t="s">
        <v>1082</v>
      </c>
    </row>
    <row r="1131" customFormat="false" ht="15" hidden="false" customHeight="false" outlineLevel="0" collapsed="false">
      <c r="B1131" s="54" t="s">
        <v>1083</v>
      </c>
    </row>
    <row r="1132" customFormat="false" ht="15" hidden="false" customHeight="false" outlineLevel="0" collapsed="false">
      <c r="A1132" s="49" t="s">
        <v>139</v>
      </c>
      <c r="B1132" s="29" t="s">
        <v>1084</v>
      </c>
      <c r="C1132" s="49" t="s">
        <v>520</v>
      </c>
      <c r="D1132" s="50" t="n">
        <v>5</v>
      </c>
      <c r="E1132" s="51" t="n">
        <f aca="false">'Analisa Harga Satuan'!$H$1055</f>
        <v>12650000</v>
      </c>
      <c r="F1132" s="52" t="n">
        <f aca="false">ROUND(D1132*E1132,0)</f>
        <v>63250000</v>
      </c>
      <c r="G1132" s="49" t="s">
        <v>1085</v>
      </c>
      <c r="H1132" s="53" t="s">
        <v>181</v>
      </c>
    </row>
    <row r="1133" customFormat="false" ht="25.5" hidden="false" customHeight="true" outlineLevel="0" collapsed="false">
      <c r="A1133" s="49" t="s">
        <v>141</v>
      </c>
      <c r="B1133" s="29" t="s">
        <v>1086</v>
      </c>
      <c r="C1133" s="49" t="s">
        <v>431</v>
      </c>
      <c r="D1133" s="50" t="n">
        <v>25</v>
      </c>
      <c r="E1133" s="51" t="n">
        <f aca="false">'Analisa Harga Satuan'!$H$1056</f>
        <v>313500</v>
      </c>
      <c r="F1133" s="52" t="n">
        <f aca="false">ROUND(D1133*E1133,0)</f>
        <v>7837500</v>
      </c>
      <c r="G1133" s="49" t="s">
        <v>1087</v>
      </c>
      <c r="H1133" s="53" t="s">
        <v>181</v>
      </c>
    </row>
    <row r="1134" customFormat="false" ht="25.5" hidden="false" customHeight="true" outlineLevel="0" collapsed="false">
      <c r="A1134" s="49" t="s">
        <v>143</v>
      </c>
      <c r="B1134" s="29" t="s">
        <v>1088</v>
      </c>
      <c r="C1134" s="49" t="s">
        <v>431</v>
      </c>
      <c r="D1134" s="50" t="n">
        <v>30</v>
      </c>
      <c r="E1134" s="51" t="n">
        <f aca="false">'Analisa Harga Satuan'!$H$1057</f>
        <v>93500</v>
      </c>
      <c r="F1134" s="52" t="n">
        <f aca="false">ROUND(D1134*E1134,0)</f>
        <v>2805000</v>
      </c>
      <c r="G1134" s="49" t="s">
        <v>1089</v>
      </c>
      <c r="H1134" s="53" t="s">
        <v>181</v>
      </c>
    </row>
    <row r="1135" customFormat="false" ht="15" hidden="false" customHeight="false" outlineLevel="0" collapsed="false">
      <c r="A1135" s="49" t="s">
        <v>145</v>
      </c>
      <c r="B1135" s="29" t="s">
        <v>1090</v>
      </c>
      <c r="C1135" s="49" t="s">
        <v>784</v>
      </c>
      <c r="D1135" s="50" t="n">
        <v>6</v>
      </c>
      <c r="E1135" s="51" t="n">
        <f aca="false">'Analisa Harga Satuan'!$H$1058</f>
        <v>357500</v>
      </c>
      <c r="F1135" s="52" t="n">
        <f aca="false">ROUND(D1135*E1135,0)</f>
        <v>2145000</v>
      </c>
      <c r="G1135" s="49" t="s">
        <v>1091</v>
      </c>
      <c r="H1135" s="53" t="s">
        <v>181</v>
      </c>
    </row>
    <row r="1136" customFormat="false" ht="15" hidden="false" customHeight="false" outlineLevel="0" collapsed="false">
      <c r="A1136" s="55"/>
      <c r="B1136" s="56" t="s">
        <v>1165</v>
      </c>
      <c r="C1136" s="55"/>
      <c r="D1136" s="55"/>
      <c r="E1136" s="55"/>
      <c r="F1136" s="27" t="n">
        <f aca="false">SUM(F1127:F1135)</f>
        <v>78897500</v>
      </c>
      <c r="G1136" s="55"/>
      <c r="H1136" s="55"/>
    </row>
    <row r="1137" customFormat="false" ht="15" hidden="false" customHeight="false" outlineLevel="0" collapsed="false">
      <c r="A1137" s="46" t="s">
        <v>88</v>
      </c>
      <c r="B1137" s="47" t="s">
        <v>108</v>
      </c>
      <c r="C1137" s="48"/>
      <c r="D1137" s="48"/>
      <c r="E1137" s="48"/>
      <c r="F1137" s="48"/>
      <c r="G1137" s="48"/>
      <c r="H1137" s="48"/>
    </row>
    <row r="1138" customFormat="false" ht="15" hidden="false" customHeight="false" outlineLevel="0" collapsed="false">
      <c r="A1138" s="60" t="s">
        <v>1093</v>
      </c>
      <c r="B1138" s="61" t="s">
        <v>1094</v>
      </c>
    </row>
    <row r="1139" customFormat="false" ht="25.5" hidden="false" customHeight="true" outlineLevel="0" collapsed="false">
      <c r="A1139" s="49" t="s">
        <v>139</v>
      </c>
      <c r="B1139" s="29" t="s">
        <v>667</v>
      </c>
      <c r="C1139" s="49" t="s">
        <v>520</v>
      </c>
      <c r="D1139" s="50" t="n">
        <v>4</v>
      </c>
      <c r="E1139" s="51" t="n">
        <f aca="false">'Analisa Harga Satuan'!$H$921</f>
        <v>2964500</v>
      </c>
      <c r="F1139" s="52" t="n">
        <f aca="false">ROUND(D1139*E1139,0)</f>
        <v>11858000</v>
      </c>
      <c r="G1139" s="49" t="s">
        <v>668</v>
      </c>
      <c r="H1139" s="53" t="s">
        <v>181</v>
      </c>
    </row>
    <row r="1140" customFormat="false" ht="25.5" hidden="false" customHeight="true" outlineLevel="0" collapsed="false">
      <c r="A1140" s="49" t="s">
        <v>141</v>
      </c>
      <c r="B1140" s="29" t="s">
        <v>669</v>
      </c>
      <c r="C1140" s="49" t="s">
        <v>520</v>
      </c>
      <c r="D1140" s="50" t="n">
        <v>1</v>
      </c>
      <c r="E1140" s="51" t="n">
        <f aca="false">'Analisa Harga Satuan'!$H$922</f>
        <v>4658500</v>
      </c>
      <c r="F1140" s="52" t="n">
        <f aca="false">ROUND(D1140*E1140,0)</f>
        <v>4658500</v>
      </c>
      <c r="G1140" s="49" t="s">
        <v>670</v>
      </c>
      <c r="H1140" s="53" t="s">
        <v>181</v>
      </c>
    </row>
    <row r="1141" customFormat="false" ht="15" hidden="false" customHeight="false" outlineLevel="0" collapsed="false">
      <c r="A1141" s="49" t="s">
        <v>143</v>
      </c>
      <c r="B1141" s="29" t="s">
        <v>671</v>
      </c>
      <c r="C1141" s="49" t="s">
        <v>520</v>
      </c>
      <c r="D1141" s="50" t="n">
        <v>4</v>
      </c>
      <c r="E1141" s="51" t="n">
        <f aca="false">'Analisa Harga Satuan'!$H$923</f>
        <v>360525</v>
      </c>
      <c r="F1141" s="52" t="n">
        <f aca="false">ROUND(D1141*E1141,0)</f>
        <v>1442100</v>
      </c>
      <c r="G1141" s="49" t="s">
        <v>672</v>
      </c>
      <c r="H1141" s="53" t="s">
        <v>181</v>
      </c>
    </row>
    <row r="1142" customFormat="false" ht="15" hidden="false" customHeight="false" outlineLevel="0" collapsed="false">
      <c r="A1142" s="49" t="s">
        <v>145</v>
      </c>
      <c r="B1142" s="29" t="s">
        <v>687</v>
      </c>
      <c r="C1142" s="49" t="s">
        <v>520</v>
      </c>
      <c r="D1142" s="50" t="n">
        <v>1</v>
      </c>
      <c r="E1142" s="51" t="n">
        <f aca="false">'Analisa Harga Satuan'!$H$931</f>
        <v>1996500</v>
      </c>
      <c r="F1142" s="52" t="n">
        <f aca="false">ROUND(D1142*E1142,0)</f>
        <v>1996500</v>
      </c>
      <c r="G1142" s="49" t="s">
        <v>688</v>
      </c>
      <c r="H1142" s="53" t="s">
        <v>181</v>
      </c>
    </row>
    <row r="1143" customFormat="false" ht="15" hidden="false" customHeight="false" outlineLevel="0" collapsed="false">
      <c r="A1143" s="49" t="s">
        <v>147</v>
      </c>
      <c r="B1143" s="29" t="s">
        <v>690</v>
      </c>
      <c r="C1143" s="49" t="s">
        <v>520</v>
      </c>
      <c r="D1143" s="50" t="n">
        <v>1</v>
      </c>
      <c r="E1143" s="51" t="n">
        <f aca="false">'Analisa Harga Satuan'!$H$932</f>
        <v>1633500</v>
      </c>
      <c r="F1143" s="52" t="n">
        <f aca="false">ROUND(D1143*E1143,0)</f>
        <v>1633500</v>
      </c>
      <c r="G1143" s="49" t="s">
        <v>691</v>
      </c>
      <c r="H1143" s="53" t="s">
        <v>181</v>
      </c>
    </row>
    <row r="1144" customFormat="false" ht="15" hidden="false" customHeight="false" outlineLevel="0" collapsed="false">
      <c r="A1144" s="49" t="s">
        <v>149</v>
      </c>
      <c r="B1144" s="29" t="s">
        <v>673</v>
      </c>
      <c r="C1144" s="49" t="s">
        <v>520</v>
      </c>
      <c r="D1144" s="50" t="n">
        <v>4</v>
      </c>
      <c r="E1144" s="51" t="n">
        <f aca="false">'Analisa Harga Satuan'!$H$924</f>
        <v>208725</v>
      </c>
      <c r="F1144" s="52" t="n">
        <f aca="false">ROUND(D1144*E1144,0)</f>
        <v>834900</v>
      </c>
      <c r="G1144" s="49" t="s">
        <v>674</v>
      </c>
      <c r="H1144" s="53" t="s">
        <v>181</v>
      </c>
    </row>
    <row r="1145" customFormat="false" ht="15" hidden="false" customHeight="false" outlineLevel="0" collapsed="false">
      <c r="A1145" s="49" t="s">
        <v>151</v>
      </c>
      <c r="B1145" s="29" t="s">
        <v>675</v>
      </c>
      <c r="C1145" s="49" t="s">
        <v>520</v>
      </c>
      <c r="D1145" s="50" t="n">
        <v>4</v>
      </c>
      <c r="E1145" s="51" t="n">
        <f aca="false">'Analisa Harga Satuan'!$H$925</f>
        <v>234025</v>
      </c>
      <c r="F1145" s="52" t="n">
        <f aca="false">ROUND(D1145*E1145,0)</f>
        <v>936100</v>
      </c>
      <c r="G1145" s="49" t="s">
        <v>676</v>
      </c>
      <c r="H1145" s="53" t="s">
        <v>181</v>
      </c>
    </row>
    <row r="1146" customFormat="false" ht="15" hidden="false" customHeight="false" outlineLevel="0" collapsed="false">
      <c r="A1146" s="49" t="s">
        <v>423</v>
      </c>
      <c r="B1146" s="29" t="s">
        <v>1095</v>
      </c>
      <c r="C1146" s="49" t="s">
        <v>520</v>
      </c>
      <c r="D1146" s="50" t="n">
        <v>4</v>
      </c>
      <c r="E1146" s="51" t="n">
        <f aca="false">'Analisa Harga Satuan'!$H$1059</f>
        <v>1149500</v>
      </c>
      <c r="F1146" s="52" t="n">
        <f aca="false">ROUND(D1146*E1146,0)</f>
        <v>4598000</v>
      </c>
      <c r="G1146" s="49" t="s">
        <v>1096</v>
      </c>
      <c r="H1146" s="53" t="s">
        <v>181</v>
      </c>
    </row>
    <row r="1147" customFormat="false" ht="15" hidden="false" customHeight="false" outlineLevel="0" collapsed="false">
      <c r="A1147" s="49" t="s">
        <v>208</v>
      </c>
      <c r="B1147" s="29" t="s">
        <v>1097</v>
      </c>
      <c r="C1147" s="49" t="s">
        <v>520</v>
      </c>
      <c r="D1147" s="50" t="n">
        <v>4</v>
      </c>
      <c r="E1147" s="51" t="n">
        <f aca="false">'Analisa Harga Satuan'!$H$1060</f>
        <v>465850</v>
      </c>
      <c r="F1147" s="52" t="n">
        <f aca="false">ROUND(D1147*E1147,0)</f>
        <v>1863400</v>
      </c>
      <c r="G1147" s="49" t="s">
        <v>1098</v>
      </c>
      <c r="H1147" s="53" t="s">
        <v>181</v>
      </c>
    </row>
    <row r="1148" customFormat="false" ht="15" hidden="false" customHeight="false" outlineLevel="0" collapsed="false">
      <c r="A1148" s="60" t="s">
        <v>1099</v>
      </c>
      <c r="B1148" s="61" t="s">
        <v>698</v>
      </c>
    </row>
    <row r="1149" customFormat="false" ht="15" hidden="false" customHeight="false" outlineLevel="0" collapsed="false">
      <c r="A1149" s="60" t="s">
        <v>78</v>
      </c>
      <c r="B1149" s="61" t="s">
        <v>700</v>
      </c>
    </row>
    <row r="1150" customFormat="false" ht="15" hidden="false" customHeight="false" outlineLevel="0" collapsed="false">
      <c r="A1150" s="49" t="s">
        <v>139</v>
      </c>
      <c r="B1150" s="29" t="s">
        <v>1166</v>
      </c>
      <c r="C1150" s="49" t="s">
        <v>520</v>
      </c>
      <c r="D1150" s="50" t="n">
        <v>1</v>
      </c>
      <c r="E1150" s="51" t="n">
        <f aca="false">'Analisa Harga Satuan'!$H$1074</f>
        <v>9350000</v>
      </c>
      <c r="F1150" s="52" t="n">
        <f aca="false">ROUND(D1150*E1150,0)</f>
        <v>9350000</v>
      </c>
      <c r="G1150" s="49" t="s">
        <v>1167</v>
      </c>
      <c r="H1150" s="53" t="s">
        <v>181</v>
      </c>
    </row>
    <row r="1151" customFormat="false" ht="15" hidden="false" customHeight="false" outlineLevel="0" collapsed="false">
      <c r="B1151" s="54" t="s">
        <v>1102</v>
      </c>
    </row>
    <row r="1152" customFormat="false" ht="15" hidden="false" customHeight="false" outlineLevel="0" collapsed="false">
      <c r="A1152" s="49" t="s">
        <v>141</v>
      </c>
      <c r="B1152" s="29" t="s">
        <v>1103</v>
      </c>
      <c r="C1152" s="49" t="s">
        <v>520</v>
      </c>
      <c r="D1152" s="50" t="n">
        <v>4</v>
      </c>
      <c r="E1152" s="51" t="n">
        <f aca="false">'Analisa Harga Satuan'!$H$1062</f>
        <v>423500</v>
      </c>
      <c r="F1152" s="52" t="n">
        <f aca="false">ROUND(D1152*E1152,0)</f>
        <v>1694000</v>
      </c>
      <c r="G1152" s="49" t="s">
        <v>1104</v>
      </c>
      <c r="H1152" s="53" t="s">
        <v>181</v>
      </c>
    </row>
    <row r="1153" customFormat="false" ht="15" hidden="false" customHeight="false" outlineLevel="0" collapsed="false">
      <c r="A1153" s="49" t="s">
        <v>139</v>
      </c>
      <c r="B1153" s="29" t="s">
        <v>1105</v>
      </c>
      <c r="C1153" s="49" t="s">
        <v>520</v>
      </c>
      <c r="D1153" s="50" t="n">
        <v>1</v>
      </c>
      <c r="E1153" s="51" t="n">
        <f aca="false">'Analisa Harga Satuan'!$H$1063</f>
        <v>462000</v>
      </c>
      <c r="F1153" s="52" t="n">
        <f aca="false">ROUND(D1153*E1153,0)</f>
        <v>462000</v>
      </c>
      <c r="G1153" s="49" t="s">
        <v>1106</v>
      </c>
      <c r="H1153" s="53" t="s">
        <v>181</v>
      </c>
    </row>
    <row r="1154" customFormat="false" ht="15" hidden="false" customHeight="false" outlineLevel="0" collapsed="false">
      <c r="A1154" s="60" t="s">
        <v>93</v>
      </c>
      <c r="B1154" s="61" t="s">
        <v>726</v>
      </c>
    </row>
    <row r="1155" customFormat="false" ht="15" hidden="false" customHeight="false" outlineLevel="0" collapsed="false">
      <c r="A1155" s="49" t="s">
        <v>139</v>
      </c>
      <c r="B1155" s="29" t="s">
        <v>727</v>
      </c>
      <c r="C1155" s="49" t="s">
        <v>520</v>
      </c>
      <c r="D1155" s="50" t="n">
        <v>2</v>
      </c>
      <c r="E1155" s="51" t="n">
        <f aca="false">'Analisa Harga Satuan'!$H$947</f>
        <v>21450000</v>
      </c>
      <c r="F1155" s="52" t="n">
        <f aca="false">ROUND(D1155*E1155,0)</f>
        <v>42900000</v>
      </c>
      <c r="G1155" s="49" t="s">
        <v>728</v>
      </c>
      <c r="H1155" s="53" t="s">
        <v>181</v>
      </c>
    </row>
    <row r="1156" customFormat="false" ht="15" hidden="false" customHeight="false" outlineLevel="0" collapsed="false">
      <c r="A1156" s="49"/>
      <c r="B1156" s="29" t="s">
        <v>729</v>
      </c>
      <c r="C1156" s="49" t="s">
        <v>179</v>
      </c>
      <c r="D1156" s="50" t="n">
        <v>1</v>
      </c>
      <c r="E1156" s="51" t="n">
        <f aca="false">'Analisa Harga Satuan'!$H$948</f>
        <v>1650000</v>
      </c>
      <c r="F1156" s="52" t="n">
        <f aca="false">ROUND(D1156*E1156,0)</f>
        <v>1650000</v>
      </c>
      <c r="G1156" s="49" t="s">
        <v>730</v>
      </c>
      <c r="H1156" s="53" t="s">
        <v>181</v>
      </c>
    </row>
    <row r="1157" customFormat="false" ht="15" hidden="false" customHeight="false" outlineLevel="0" collapsed="false">
      <c r="A1157" s="60" t="s">
        <v>1107</v>
      </c>
      <c r="B1157" s="61" t="s">
        <v>732</v>
      </c>
    </row>
    <row r="1158" customFormat="false" ht="15" hidden="false" customHeight="false" outlineLevel="0" collapsed="false">
      <c r="A1158" s="60" t="s">
        <v>78</v>
      </c>
      <c r="B1158" s="61" t="s">
        <v>1108</v>
      </c>
    </row>
    <row r="1159" customFormat="false" ht="15" hidden="false" customHeight="false" outlineLevel="0" collapsed="false">
      <c r="A1159" s="49" t="s">
        <v>139</v>
      </c>
      <c r="B1159" s="29" t="s">
        <v>1109</v>
      </c>
      <c r="C1159" s="49" t="s">
        <v>367</v>
      </c>
      <c r="D1159" s="50" t="n">
        <v>14</v>
      </c>
      <c r="E1159" s="51" t="n">
        <f aca="false">'Analisa Harga Satuan'!$H$949</f>
        <v>159500</v>
      </c>
      <c r="F1159" s="52" t="n">
        <f aca="false">ROUND(D1159*E1159,0)</f>
        <v>2233000</v>
      </c>
      <c r="G1159" s="49" t="s">
        <v>735</v>
      </c>
      <c r="H1159" s="53" t="s">
        <v>181</v>
      </c>
    </row>
    <row r="1160" customFormat="false" ht="15" hidden="false" customHeight="false" outlineLevel="0" collapsed="false">
      <c r="A1160" s="49" t="s">
        <v>139</v>
      </c>
      <c r="B1160" s="29" t="s">
        <v>736</v>
      </c>
      <c r="C1160" s="49" t="s">
        <v>367</v>
      </c>
      <c r="D1160" s="50" t="n">
        <v>16</v>
      </c>
      <c r="E1160" s="51" t="n">
        <f aca="false">'Analisa Harga Satuan'!$H$950</f>
        <v>85800</v>
      </c>
      <c r="F1160" s="52" t="n">
        <f aca="false">ROUND(D1160*E1160,0)</f>
        <v>1372800</v>
      </c>
      <c r="G1160" s="49" t="s">
        <v>737</v>
      </c>
      <c r="H1160" s="53" t="s">
        <v>181</v>
      </c>
    </row>
    <row r="1161" customFormat="false" ht="15" hidden="false" customHeight="false" outlineLevel="0" collapsed="false">
      <c r="A1161" s="49" t="s">
        <v>141</v>
      </c>
      <c r="B1161" s="29" t="s">
        <v>738</v>
      </c>
      <c r="C1161" s="49" t="s">
        <v>367</v>
      </c>
      <c r="D1161" s="50" t="n">
        <v>70</v>
      </c>
      <c r="E1161" s="51" t="n">
        <f aca="false">'Analisa Harga Satuan'!$H$951</f>
        <v>63800</v>
      </c>
      <c r="F1161" s="52" t="n">
        <f aca="false">ROUND(D1161*E1161,0)</f>
        <v>4466000</v>
      </c>
      <c r="G1161" s="49" t="s">
        <v>739</v>
      </c>
      <c r="H1161" s="53" t="s">
        <v>181</v>
      </c>
    </row>
    <row r="1162" customFormat="false" ht="15" hidden="false" customHeight="false" outlineLevel="0" collapsed="false">
      <c r="A1162" s="49" t="s">
        <v>143</v>
      </c>
      <c r="B1162" s="29" t="s">
        <v>740</v>
      </c>
      <c r="C1162" s="49" t="s">
        <v>367</v>
      </c>
      <c r="D1162" s="50" t="n">
        <v>30</v>
      </c>
      <c r="E1162" s="51" t="n">
        <f aca="false">'Analisa Harga Satuan'!$H$952</f>
        <v>52800</v>
      </c>
      <c r="F1162" s="52" t="n">
        <f aca="false">ROUND(D1162*E1162,0)</f>
        <v>1584000</v>
      </c>
      <c r="G1162" s="49" t="s">
        <v>741</v>
      </c>
      <c r="H1162" s="53" t="s">
        <v>181</v>
      </c>
    </row>
    <row r="1163" customFormat="false" ht="15" hidden="false" customHeight="false" outlineLevel="0" collapsed="false">
      <c r="A1163" s="60" t="s">
        <v>1110</v>
      </c>
      <c r="B1163" s="61" t="s">
        <v>746</v>
      </c>
    </row>
    <row r="1164" customFormat="false" ht="15" hidden="false" customHeight="false" outlineLevel="0" collapsed="false">
      <c r="A1164" s="60" t="s">
        <v>78</v>
      </c>
      <c r="B1164" s="61" t="s">
        <v>1111</v>
      </c>
    </row>
    <row r="1165" customFormat="false" ht="15" hidden="false" customHeight="false" outlineLevel="0" collapsed="false">
      <c r="A1165" s="49" t="s">
        <v>139</v>
      </c>
      <c r="B1165" s="29" t="s">
        <v>1112</v>
      </c>
      <c r="C1165" s="49" t="s">
        <v>367</v>
      </c>
      <c r="D1165" s="50" t="n">
        <v>12</v>
      </c>
      <c r="E1165" s="51" t="n">
        <f aca="false">'Analisa Harga Satuan'!$H$954</f>
        <v>181500</v>
      </c>
      <c r="F1165" s="52" t="n">
        <f aca="false">ROUND(D1165*E1165,0)</f>
        <v>2178000</v>
      </c>
      <c r="G1165" s="49" t="s">
        <v>749</v>
      </c>
      <c r="H1165" s="53" t="s">
        <v>181</v>
      </c>
    </row>
    <row r="1166" customFormat="false" ht="15" hidden="false" customHeight="false" outlineLevel="0" collapsed="false">
      <c r="A1166" s="49" t="s">
        <v>141</v>
      </c>
      <c r="B1166" s="29" t="s">
        <v>750</v>
      </c>
      <c r="C1166" s="49" t="s">
        <v>367</v>
      </c>
      <c r="D1166" s="50" t="n">
        <v>20</v>
      </c>
      <c r="E1166" s="51" t="n">
        <f aca="false">'Analisa Harga Satuan'!$H$955</f>
        <v>126500</v>
      </c>
      <c r="F1166" s="52" t="n">
        <f aca="false">ROUND(D1166*E1166,0)</f>
        <v>2530000</v>
      </c>
      <c r="G1166" s="49" t="s">
        <v>751</v>
      </c>
      <c r="H1166" s="53" t="s">
        <v>181</v>
      </c>
    </row>
    <row r="1167" customFormat="false" ht="15" hidden="false" customHeight="false" outlineLevel="0" collapsed="false">
      <c r="A1167" s="49" t="s">
        <v>143</v>
      </c>
      <c r="B1167" s="29" t="s">
        <v>762</v>
      </c>
      <c r="C1167" s="49" t="s">
        <v>206</v>
      </c>
      <c r="D1167" s="50" t="n">
        <v>2</v>
      </c>
      <c r="E1167" s="51" t="n">
        <f aca="false">'Analisa Harga Satuan'!$H$958</f>
        <v>313500</v>
      </c>
      <c r="F1167" s="52" t="n">
        <f aca="false">ROUND(D1167*E1167,0)</f>
        <v>627000</v>
      </c>
      <c r="G1167" s="49" t="s">
        <v>757</v>
      </c>
      <c r="H1167" s="53" t="s">
        <v>181</v>
      </c>
    </row>
    <row r="1168" customFormat="false" ht="15" hidden="false" customHeight="false" outlineLevel="0" collapsed="false">
      <c r="A1168" s="60" t="s">
        <v>1113</v>
      </c>
      <c r="B1168" s="61" t="s">
        <v>764</v>
      </c>
    </row>
    <row r="1169" customFormat="false" ht="15" hidden="false" customHeight="false" outlineLevel="0" collapsed="false">
      <c r="A1169" s="60" t="s">
        <v>78</v>
      </c>
      <c r="B1169" s="61" t="s">
        <v>1114</v>
      </c>
    </row>
    <row r="1170" customFormat="false" ht="15" hidden="false" customHeight="false" outlineLevel="0" collapsed="false">
      <c r="A1170" s="49" t="s">
        <v>139</v>
      </c>
      <c r="B1170" s="29" t="s">
        <v>1115</v>
      </c>
      <c r="C1170" s="49" t="s">
        <v>367</v>
      </c>
      <c r="D1170" s="50" t="n">
        <v>15</v>
      </c>
      <c r="E1170" s="51" t="n">
        <f aca="false">'Analisa Harga Satuan'!$H$960</f>
        <v>291500</v>
      </c>
      <c r="F1170" s="52" t="n">
        <f aca="false">ROUND(D1170*E1170,0)</f>
        <v>4372500</v>
      </c>
      <c r="G1170" s="49" t="s">
        <v>767</v>
      </c>
      <c r="H1170" s="53" t="s">
        <v>181</v>
      </c>
    </row>
    <row r="1171" customFormat="false" ht="15" hidden="false" customHeight="false" outlineLevel="0" collapsed="false">
      <c r="A1171" s="49" t="s">
        <v>141</v>
      </c>
      <c r="B1171" s="29" t="s">
        <v>748</v>
      </c>
      <c r="C1171" s="49" t="s">
        <v>367</v>
      </c>
      <c r="D1171" s="50" t="n">
        <v>17</v>
      </c>
      <c r="E1171" s="51" t="n">
        <f aca="false">'Analisa Harga Satuan'!$H$954</f>
        <v>181500</v>
      </c>
      <c r="F1171" s="52" t="n">
        <f aca="false">ROUND(D1171*E1171,0)</f>
        <v>3085500</v>
      </c>
      <c r="G1171" s="49" t="s">
        <v>749</v>
      </c>
      <c r="H1171" s="53" t="s">
        <v>181</v>
      </c>
    </row>
    <row r="1172" customFormat="false" ht="15" hidden="false" customHeight="false" outlineLevel="0" collapsed="false">
      <c r="A1172" s="49" t="s">
        <v>143</v>
      </c>
      <c r="B1172" s="29" t="s">
        <v>771</v>
      </c>
      <c r="C1172" s="49" t="s">
        <v>206</v>
      </c>
      <c r="D1172" s="50" t="n">
        <v>2</v>
      </c>
      <c r="E1172" s="51" t="n">
        <f aca="false">'Analisa Harga Satuan'!$H$962</f>
        <v>467500</v>
      </c>
      <c r="F1172" s="52" t="n">
        <f aca="false">ROUND(D1172*E1172,0)</f>
        <v>935000</v>
      </c>
      <c r="G1172" s="49" t="s">
        <v>772</v>
      </c>
      <c r="H1172" s="53" t="s">
        <v>181</v>
      </c>
    </row>
    <row r="1173" customFormat="false" ht="15" hidden="false" customHeight="false" outlineLevel="0" collapsed="false">
      <c r="A1173" s="49" t="s">
        <v>145</v>
      </c>
      <c r="B1173" s="29" t="s">
        <v>1116</v>
      </c>
      <c r="C1173" s="49" t="s">
        <v>183</v>
      </c>
      <c r="D1173" s="50" t="n">
        <v>1</v>
      </c>
      <c r="E1173" s="51" t="n">
        <f aca="false">'Analisa Harga Satuan'!$H$1064</f>
        <v>15950000</v>
      </c>
      <c r="F1173" s="52" t="n">
        <f aca="false">ROUND(D1173*E1173,0)</f>
        <v>15950000</v>
      </c>
      <c r="G1173" s="49" t="s">
        <v>1117</v>
      </c>
      <c r="H1173" s="53" t="s">
        <v>181</v>
      </c>
    </row>
    <row r="1174" customFormat="false" ht="15" hidden="false" customHeight="false" outlineLevel="0" collapsed="false">
      <c r="A1174" s="49" t="s">
        <v>147</v>
      </c>
      <c r="B1174" s="29" t="s">
        <v>1118</v>
      </c>
      <c r="C1174" s="49" t="s">
        <v>183</v>
      </c>
      <c r="D1174" s="50" t="n">
        <v>1</v>
      </c>
      <c r="E1174" s="51" t="n">
        <f aca="false">'Analisa Harga Satuan'!$H$959</f>
        <v>4950000</v>
      </c>
      <c r="F1174" s="52" t="n">
        <f aca="false">ROUND(D1174*E1174,0)</f>
        <v>4950000</v>
      </c>
      <c r="G1174" s="49" t="s">
        <v>759</v>
      </c>
      <c r="H1174" s="53" t="s">
        <v>181</v>
      </c>
    </row>
    <row r="1175" customFormat="false" ht="15" hidden="false" customHeight="false" outlineLevel="0" collapsed="false">
      <c r="A1175" s="60" t="s">
        <v>1119</v>
      </c>
      <c r="B1175" s="61" t="s">
        <v>779</v>
      </c>
    </row>
    <row r="1176" customFormat="false" ht="15" hidden="false" customHeight="false" outlineLevel="0" collapsed="false">
      <c r="A1176" s="60" t="s">
        <v>78</v>
      </c>
      <c r="B1176" s="61" t="s">
        <v>780</v>
      </c>
    </row>
    <row r="1177" customFormat="false" ht="15" hidden="false" customHeight="false" outlineLevel="0" collapsed="false">
      <c r="A1177" s="49" t="s">
        <v>139</v>
      </c>
      <c r="B1177" s="29" t="s">
        <v>748</v>
      </c>
      <c r="C1177" s="49" t="s">
        <v>367</v>
      </c>
      <c r="D1177" s="50" t="n">
        <v>58.4</v>
      </c>
      <c r="E1177" s="51" t="n">
        <f aca="false">'Analisa Harga Satuan'!$H$954</f>
        <v>181500</v>
      </c>
      <c r="F1177" s="52" t="n">
        <f aca="false">ROUND(D1177*E1177,0)</f>
        <v>10599600</v>
      </c>
      <c r="G1177" s="49" t="s">
        <v>749</v>
      </c>
      <c r="H1177" s="53" t="s">
        <v>181</v>
      </c>
    </row>
    <row r="1178" customFormat="false" ht="25.5" hidden="false" customHeight="true" outlineLevel="0" collapsed="false">
      <c r="A1178" s="49" t="s">
        <v>141</v>
      </c>
      <c r="B1178" s="29" t="s">
        <v>1120</v>
      </c>
      <c r="C1178" s="49" t="s">
        <v>367</v>
      </c>
      <c r="D1178" s="50" t="n">
        <v>20</v>
      </c>
      <c r="E1178" s="51" t="n">
        <f aca="false">'Analisa Harga Satuan'!$H$954</f>
        <v>181500</v>
      </c>
      <c r="F1178" s="52" t="n">
        <f aca="false">ROUND(D1178*E1178,0)</f>
        <v>3630000</v>
      </c>
      <c r="G1178" s="49" t="s">
        <v>749</v>
      </c>
      <c r="H1178" s="53" t="s">
        <v>181</v>
      </c>
    </row>
    <row r="1179" customFormat="false" ht="25.5" hidden="false" customHeight="true" outlineLevel="0" collapsed="false">
      <c r="A1179" s="49" t="s">
        <v>143</v>
      </c>
      <c r="B1179" s="29" t="s">
        <v>1121</v>
      </c>
      <c r="C1179" s="49" t="s">
        <v>367</v>
      </c>
      <c r="D1179" s="50" t="n">
        <v>84.6</v>
      </c>
      <c r="E1179" s="51" t="n">
        <f aca="false">'Analisa Harga Satuan'!$H$1065</f>
        <v>360525</v>
      </c>
      <c r="F1179" s="52" t="n">
        <f aca="false">ROUND(D1179*E1179,0)</f>
        <v>30500415</v>
      </c>
      <c r="G1179" s="49" t="s">
        <v>1122</v>
      </c>
      <c r="H1179" s="53" t="s">
        <v>181</v>
      </c>
    </row>
    <row r="1180" customFormat="false" ht="15" hidden="false" customHeight="false" outlineLevel="0" collapsed="false">
      <c r="A1180" s="49" t="s">
        <v>145</v>
      </c>
      <c r="B1180" s="29" t="s">
        <v>781</v>
      </c>
      <c r="C1180" s="49" t="s">
        <v>206</v>
      </c>
      <c r="D1180" s="50" t="n">
        <v>10</v>
      </c>
      <c r="E1180" s="51" t="n">
        <f aca="false">'Analisa Harga Satuan'!$H$965</f>
        <v>533500</v>
      </c>
      <c r="F1180" s="52" t="n">
        <f aca="false">ROUND(D1180*E1180,0)</f>
        <v>5335000</v>
      </c>
      <c r="G1180" s="49" t="s">
        <v>782</v>
      </c>
      <c r="H1180" s="53" t="s">
        <v>181</v>
      </c>
    </row>
    <row r="1181" customFormat="false" ht="15" hidden="false" customHeight="false" outlineLevel="0" collapsed="false">
      <c r="A1181" s="49" t="s">
        <v>147</v>
      </c>
      <c r="B1181" s="29" t="s">
        <v>783</v>
      </c>
      <c r="C1181" s="49" t="s">
        <v>784</v>
      </c>
      <c r="D1181" s="50" t="n">
        <v>10</v>
      </c>
      <c r="E1181" s="51" t="n">
        <f aca="false">'Analisa Harga Satuan'!$H$966</f>
        <v>137500</v>
      </c>
      <c r="F1181" s="52" t="n">
        <f aca="false">ROUND(D1181*E1181,0)</f>
        <v>1375000</v>
      </c>
      <c r="G1181" s="49" t="s">
        <v>785</v>
      </c>
      <c r="H1181" s="53" t="s">
        <v>181</v>
      </c>
    </row>
    <row r="1182" customFormat="false" ht="15" hidden="false" customHeight="false" outlineLevel="0" collapsed="false">
      <c r="A1182" s="55"/>
      <c r="B1182" s="56" t="s">
        <v>1168</v>
      </c>
      <c r="C1182" s="55"/>
      <c r="D1182" s="55"/>
      <c r="E1182" s="55"/>
      <c r="F1182" s="27" t="n">
        <f aca="false">SUM(F1138:F1181)</f>
        <v>181600815</v>
      </c>
      <c r="G1182" s="55"/>
      <c r="H1182" s="55"/>
    </row>
    <row r="1183" customFormat="false" ht="15" hidden="false" customHeight="false" outlineLevel="0" collapsed="false">
      <c r="A1183" s="46" t="s">
        <v>90</v>
      </c>
      <c r="B1183" s="47" t="s">
        <v>109</v>
      </c>
      <c r="C1183" s="48"/>
      <c r="D1183" s="48"/>
      <c r="E1183" s="48"/>
      <c r="F1183" s="48"/>
      <c r="G1183" s="48"/>
      <c r="H1183" s="48"/>
    </row>
    <row r="1184" customFormat="false" ht="15" hidden="false" customHeight="false" outlineLevel="0" collapsed="false">
      <c r="A1184" s="60" t="s">
        <v>1124</v>
      </c>
      <c r="B1184" s="61" t="s">
        <v>1125</v>
      </c>
    </row>
    <row r="1185" customFormat="false" ht="15" hidden="false" customHeight="false" outlineLevel="0" collapsed="false">
      <c r="A1185" s="60" t="s">
        <v>78</v>
      </c>
      <c r="B1185" s="61" t="s">
        <v>789</v>
      </c>
    </row>
    <row r="1186" customFormat="false" ht="15" hidden="false" customHeight="false" outlineLevel="0" collapsed="false">
      <c r="A1186" s="49" t="s">
        <v>139</v>
      </c>
      <c r="B1186" s="29" t="s">
        <v>795</v>
      </c>
      <c r="C1186" s="49" t="s">
        <v>183</v>
      </c>
      <c r="D1186" s="50" t="n">
        <v>1</v>
      </c>
      <c r="E1186" s="51" t="n">
        <f aca="false">'Analisa Harga Satuan'!$H$969</f>
        <v>10450000</v>
      </c>
      <c r="F1186" s="52" t="n">
        <f aca="false">ROUND(D1186*E1186,0)</f>
        <v>10450000</v>
      </c>
      <c r="G1186" s="49" t="s">
        <v>796</v>
      </c>
      <c r="H1186" s="53" t="s">
        <v>189</v>
      </c>
    </row>
    <row r="1187" customFormat="false" ht="15" hidden="false" customHeight="false" outlineLevel="0" collapsed="false">
      <c r="A1187" s="60" t="s">
        <v>93</v>
      </c>
      <c r="B1187" s="61" t="s">
        <v>1126</v>
      </c>
    </row>
    <row r="1188" customFormat="false" ht="15" hidden="false" customHeight="false" outlineLevel="0" collapsed="false">
      <c r="A1188" s="49" t="s">
        <v>139</v>
      </c>
      <c r="B1188" s="29" t="s">
        <v>1127</v>
      </c>
      <c r="C1188" s="49" t="s">
        <v>431</v>
      </c>
      <c r="D1188" s="50" t="n">
        <v>48.76</v>
      </c>
      <c r="E1188" s="51" t="n">
        <f aca="false">'Analisa Harga Satuan'!$H$975</f>
        <v>423500</v>
      </c>
      <c r="F1188" s="52" t="n">
        <f aca="false">ROUND(D1188*E1188,0)</f>
        <v>20649860</v>
      </c>
      <c r="G1188" s="49" t="s">
        <v>815</v>
      </c>
      <c r="H1188" s="53" t="s">
        <v>181</v>
      </c>
    </row>
    <row r="1189" customFormat="false" ht="15" hidden="false" customHeight="false" outlineLevel="0" collapsed="false">
      <c r="A1189" s="60" t="s">
        <v>1128</v>
      </c>
      <c r="B1189" s="61" t="s">
        <v>820</v>
      </c>
    </row>
    <row r="1190" customFormat="false" ht="15" hidden="false" customHeight="false" outlineLevel="0" collapsed="false">
      <c r="A1190" s="60" t="s">
        <v>78</v>
      </c>
      <c r="B1190" s="61" t="s">
        <v>1129</v>
      </c>
    </row>
    <row r="1191" customFormat="false" ht="15" hidden="false" customHeight="false" outlineLevel="0" collapsed="false">
      <c r="A1191" s="49" t="s">
        <v>139</v>
      </c>
      <c r="B1191" s="29" t="s">
        <v>822</v>
      </c>
      <c r="C1191" s="49" t="s">
        <v>206</v>
      </c>
      <c r="D1191" s="50" t="n">
        <v>6</v>
      </c>
      <c r="E1191" s="51" t="n">
        <f aca="false">'Analisa Harga Satuan'!$H$977</f>
        <v>107525</v>
      </c>
      <c r="F1191" s="52" t="n">
        <f aca="false">ROUND(D1191*E1191,0)</f>
        <v>645150</v>
      </c>
      <c r="G1191" s="49" t="s">
        <v>823</v>
      </c>
      <c r="H1191" s="53" t="s">
        <v>181</v>
      </c>
    </row>
    <row r="1192" customFormat="false" ht="15" hidden="false" customHeight="false" outlineLevel="0" collapsed="false">
      <c r="A1192" s="49" t="s">
        <v>141</v>
      </c>
      <c r="B1192" s="29" t="s">
        <v>824</v>
      </c>
      <c r="C1192" s="49" t="s">
        <v>206</v>
      </c>
      <c r="D1192" s="50" t="n">
        <v>8</v>
      </c>
      <c r="E1192" s="51" t="n">
        <f aca="false">'Analisa Harga Satuan'!$H$978</f>
        <v>170775</v>
      </c>
      <c r="F1192" s="52" t="n">
        <f aca="false">ROUND(D1192*E1192,0)</f>
        <v>1366200</v>
      </c>
      <c r="G1192" s="49" t="s">
        <v>825</v>
      </c>
      <c r="H1192" s="53" t="s">
        <v>181</v>
      </c>
    </row>
    <row r="1193" customFormat="false" ht="15" hidden="false" customHeight="false" outlineLevel="0" collapsed="false">
      <c r="A1193" s="49" t="s">
        <v>143</v>
      </c>
      <c r="B1193" s="29" t="s">
        <v>826</v>
      </c>
      <c r="C1193" s="49" t="s">
        <v>206</v>
      </c>
      <c r="D1193" s="50" t="n">
        <v>16</v>
      </c>
      <c r="E1193" s="51" t="n">
        <f aca="false">'Analisa Harga Satuan'!$H$979</f>
        <v>499675</v>
      </c>
      <c r="F1193" s="52" t="n">
        <f aca="false">ROUND(D1193*E1193,0)</f>
        <v>7994800</v>
      </c>
      <c r="G1193" s="49" t="s">
        <v>827</v>
      </c>
      <c r="H1193" s="53" t="s">
        <v>181</v>
      </c>
    </row>
    <row r="1194" customFormat="false" ht="15" hidden="false" customHeight="false" outlineLevel="0" collapsed="false">
      <c r="A1194" s="49" t="s">
        <v>145</v>
      </c>
      <c r="B1194" s="29" t="s">
        <v>1130</v>
      </c>
      <c r="C1194" s="49" t="s">
        <v>206</v>
      </c>
      <c r="D1194" s="50" t="n">
        <v>14</v>
      </c>
      <c r="E1194" s="51" t="n">
        <f aca="false">'Analisa Harga Satuan'!$H$1066</f>
        <v>1834250</v>
      </c>
      <c r="F1194" s="52" t="n">
        <f aca="false">ROUND(D1194*E1194,0)</f>
        <v>25679500</v>
      </c>
      <c r="G1194" s="49" t="s">
        <v>1131</v>
      </c>
      <c r="H1194" s="53" t="s">
        <v>181</v>
      </c>
    </row>
    <row r="1195" customFormat="false" ht="15" hidden="false" customHeight="false" outlineLevel="0" collapsed="false">
      <c r="A1195" s="49" t="s">
        <v>147</v>
      </c>
      <c r="B1195" s="29" t="s">
        <v>830</v>
      </c>
      <c r="C1195" s="49" t="s">
        <v>206</v>
      </c>
      <c r="D1195" s="50" t="n">
        <v>6</v>
      </c>
      <c r="E1195" s="51" t="n">
        <f aca="false">'Analisa Harga Satuan'!$H$981</f>
        <v>72600</v>
      </c>
      <c r="F1195" s="52" t="n">
        <f aca="false">ROUND(D1195*E1195,0)</f>
        <v>435600</v>
      </c>
      <c r="G1195" s="49" t="s">
        <v>831</v>
      </c>
      <c r="H1195" s="53" t="s">
        <v>181</v>
      </c>
    </row>
    <row r="1196" customFormat="false" ht="15" hidden="false" customHeight="false" outlineLevel="0" collapsed="false">
      <c r="A1196" s="49" t="s">
        <v>149</v>
      </c>
      <c r="B1196" s="29" t="s">
        <v>832</v>
      </c>
      <c r="C1196" s="49" t="s">
        <v>206</v>
      </c>
      <c r="D1196" s="50" t="n">
        <v>8</v>
      </c>
      <c r="E1196" s="51" t="n">
        <f aca="false">'Analisa Harga Satuan'!$H$982</f>
        <v>99000</v>
      </c>
      <c r="F1196" s="52" t="n">
        <f aca="false">ROUND(D1196*E1196,0)</f>
        <v>792000</v>
      </c>
      <c r="G1196" s="49" t="s">
        <v>833</v>
      </c>
      <c r="H1196" s="53" t="s">
        <v>181</v>
      </c>
    </row>
    <row r="1197" customFormat="false" ht="15" hidden="false" customHeight="false" outlineLevel="0" collapsed="false">
      <c r="A1197" s="49" t="s">
        <v>151</v>
      </c>
      <c r="B1197" s="29" t="s">
        <v>1132</v>
      </c>
      <c r="C1197" s="49" t="s">
        <v>206</v>
      </c>
      <c r="D1197" s="50" t="n">
        <v>2</v>
      </c>
      <c r="E1197" s="51" t="n">
        <f aca="false">'Analisa Harga Satuan'!$H$1067</f>
        <v>376200</v>
      </c>
      <c r="F1197" s="52" t="n">
        <f aca="false">ROUND(D1197*E1197,0)</f>
        <v>752400</v>
      </c>
      <c r="G1197" s="49" t="s">
        <v>1133</v>
      </c>
      <c r="H1197" s="53" t="s">
        <v>181</v>
      </c>
    </row>
    <row r="1198" customFormat="false" ht="15" hidden="false" customHeight="false" outlineLevel="0" collapsed="false">
      <c r="A1198" s="49" t="s">
        <v>423</v>
      </c>
      <c r="B1198" s="29" t="s">
        <v>834</v>
      </c>
      <c r="C1198" s="49" t="s">
        <v>206</v>
      </c>
      <c r="D1198" s="50" t="n">
        <v>14</v>
      </c>
      <c r="E1198" s="51" t="n">
        <f aca="false">'Analisa Harga Satuan'!$H$983</f>
        <v>81840</v>
      </c>
      <c r="F1198" s="52" t="n">
        <f aca="false">ROUND(D1198*E1198,0)</f>
        <v>1145760</v>
      </c>
      <c r="G1198" s="49" t="s">
        <v>835</v>
      </c>
      <c r="H1198" s="53" t="s">
        <v>181</v>
      </c>
    </row>
    <row r="1199" customFormat="false" ht="15" hidden="false" customHeight="false" outlineLevel="0" collapsed="false">
      <c r="A1199" s="49" t="s">
        <v>208</v>
      </c>
      <c r="B1199" s="29" t="s">
        <v>836</v>
      </c>
      <c r="C1199" s="49" t="s">
        <v>206</v>
      </c>
      <c r="D1199" s="50" t="n">
        <v>5</v>
      </c>
      <c r="E1199" s="51" t="n">
        <f aca="false">'Analisa Harga Satuan'!$H$984</f>
        <v>487025</v>
      </c>
      <c r="F1199" s="52" t="n">
        <f aca="false">ROUND(D1199*E1199,0)</f>
        <v>2435125</v>
      </c>
      <c r="G1199" s="49" t="s">
        <v>837</v>
      </c>
      <c r="H1199" s="53" t="s">
        <v>181</v>
      </c>
    </row>
    <row r="1200" customFormat="false" ht="15" hidden="false" customHeight="false" outlineLevel="0" collapsed="false">
      <c r="A1200" s="49" t="s">
        <v>217</v>
      </c>
      <c r="B1200" s="29" t="s">
        <v>838</v>
      </c>
      <c r="C1200" s="49" t="s">
        <v>784</v>
      </c>
      <c r="D1200" s="50" t="n">
        <v>30</v>
      </c>
      <c r="E1200" s="51" t="n">
        <f aca="false">'Analisa Harga Satuan'!$H$985</f>
        <v>236500</v>
      </c>
      <c r="F1200" s="52" t="n">
        <f aca="false">ROUND(D1200*E1200,0)</f>
        <v>7095000</v>
      </c>
      <c r="G1200" s="49" t="s">
        <v>839</v>
      </c>
      <c r="H1200" s="53" t="s">
        <v>181</v>
      </c>
    </row>
    <row r="1201" customFormat="false" ht="15" hidden="false" customHeight="false" outlineLevel="0" collapsed="false">
      <c r="A1201" s="49" t="s">
        <v>221</v>
      </c>
      <c r="B1201" s="29" t="s">
        <v>840</v>
      </c>
      <c r="C1201" s="49" t="s">
        <v>784</v>
      </c>
      <c r="D1201" s="50" t="n">
        <v>30</v>
      </c>
      <c r="E1201" s="51" t="n">
        <f aca="false">'Analisa Harga Satuan'!$H$986</f>
        <v>258500</v>
      </c>
      <c r="F1201" s="52" t="n">
        <f aca="false">ROUND(D1201*E1201,0)</f>
        <v>7755000</v>
      </c>
      <c r="G1201" s="49" t="s">
        <v>841</v>
      </c>
      <c r="H1201" s="53" t="s">
        <v>181</v>
      </c>
    </row>
    <row r="1202" customFormat="false" ht="15" hidden="false" customHeight="false" outlineLevel="0" collapsed="false">
      <c r="A1202" s="49" t="s">
        <v>689</v>
      </c>
      <c r="B1202" s="29" t="s">
        <v>842</v>
      </c>
      <c r="C1202" s="49" t="s">
        <v>784</v>
      </c>
      <c r="D1202" s="50" t="n">
        <v>5</v>
      </c>
      <c r="E1202" s="51" t="n">
        <f aca="false">'Analisa Harga Satuan'!$H$987</f>
        <v>236500</v>
      </c>
      <c r="F1202" s="52" t="n">
        <f aca="false">ROUND(D1202*E1202,0)</f>
        <v>1182500</v>
      </c>
      <c r="G1202" s="49" t="s">
        <v>843</v>
      </c>
      <c r="H1202" s="53" t="s">
        <v>181</v>
      </c>
    </row>
    <row r="1203" customFormat="false" ht="15" hidden="false" customHeight="false" outlineLevel="0" collapsed="false">
      <c r="A1203" s="49" t="s">
        <v>692</v>
      </c>
      <c r="B1203" s="29" t="s">
        <v>729</v>
      </c>
      <c r="C1203" s="49" t="s">
        <v>179</v>
      </c>
      <c r="D1203" s="50" t="n">
        <v>1</v>
      </c>
      <c r="E1203" s="51" t="n">
        <f aca="false">'Analisa Harga Satuan'!$H$948</f>
        <v>1650000</v>
      </c>
      <c r="F1203" s="52" t="n">
        <f aca="false">ROUND(D1203*E1203,0)</f>
        <v>1650000</v>
      </c>
      <c r="G1203" s="49" t="s">
        <v>730</v>
      </c>
      <c r="H1203" s="53" t="s">
        <v>181</v>
      </c>
    </row>
    <row r="1204" customFormat="false" ht="15" hidden="false" customHeight="false" outlineLevel="0" collapsed="false">
      <c r="A1204" s="60" t="s">
        <v>1134</v>
      </c>
      <c r="B1204" s="61" t="s">
        <v>886</v>
      </c>
    </row>
    <row r="1205" customFormat="false" ht="15" hidden="false" customHeight="false" outlineLevel="0" collapsed="false">
      <c r="A1205" s="60" t="s">
        <v>78</v>
      </c>
      <c r="B1205" s="61" t="s">
        <v>849</v>
      </c>
    </row>
    <row r="1206" customFormat="false" ht="15" hidden="false" customHeight="false" outlineLevel="0" collapsed="false">
      <c r="A1206" s="49" t="s">
        <v>139</v>
      </c>
      <c r="B1206" s="29" t="s">
        <v>1135</v>
      </c>
      <c r="C1206" s="49" t="s">
        <v>520</v>
      </c>
      <c r="D1206" s="50" t="n">
        <v>1</v>
      </c>
      <c r="E1206" s="51" t="n">
        <f aca="false">'Analisa Harga Satuan'!$H$1068</f>
        <v>9350000</v>
      </c>
      <c r="F1206" s="52" t="n">
        <f aca="false">ROUND(D1206*E1206,0)</f>
        <v>9350000</v>
      </c>
      <c r="G1206" s="49" t="s">
        <v>1136</v>
      </c>
      <c r="H1206" s="53" t="s">
        <v>181</v>
      </c>
    </row>
    <row r="1207" customFormat="false" ht="25.5" hidden="false" customHeight="true" outlineLevel="0" collapsed="false">
      <c r="A1207" s="49" t="s">
        <v>143</v>
      </c>
      <c r="B1207" s="29" t="s">
        <v>891</v>
      </c>
      <c r="C1207" s="49" t="s">
        <v>784</v>
      </c>
      <c r="D1207" s="50" t="n">
        <v>1</v>
      </c>
      <c r="E1207" s="51" t="n">
        <f aca="false">'Analisa Harga Satuan'!$H$1006</f>
        <v>495000</v>
      </c>
      <c r="F1207" s="52" t="n">
        <f aca="false">ROUND(D1207*E1207,0)</f>
        <v>495000</v>
      </c>
      <c r="G1207" s="49" t="s">
        <v>892</v>
      </c>
      <c r="H1207" s="53" t="s">
        <v>181</v>
      </c>
    </row>
    <row r="1208" customFormat="false" ht="15" hidden="false" customHeight="false" outlineLevel="0" collapsed="false">
      <c r="A1208" s="60" t="s">
        <v>93</v>
      </c>
      <c r="B1208" s="61" t="s">
        <v>1137</v>
      </c>
    </row>
    <row r="1209" customFormat="false" ht="15" hidden="false" customHeight="false" outlineLevel="0" collapsed="false">
      <c r="A1209" s="49" t="s">
        <v>139</v>
      </c>
      <c r="B1209" s="29" t="s">
        <v>894</v>
      </c>
      <c r="C1209" s="49" t="s">
        <v>520</v>
      </c>
      <c r="D1209" s="50" t="n">
        <v>1</v>
      </c>
      <c r="E1209" s="51" t="n">
        <f aca="false">'Analisa Harga Satuan'!$H$1007</f>
        <v>715000</v>
      </c>
      <c r="F1209" s="52" t="n">
        <f aca="false">ROUND(D1209*E1209,0)</f>
        <v>715000</v>
      </c>
      <c r="G1209" s="49" t="s">
        <v>895</v>
      </c>
      <c r="H1209" s="53" t="s">
        <v>181</v>
      </c>
    </row>
    <row r="1210" customFormat="false" ht="15" hidden="false" customHeight="false" outlineLevel="0" collapsed="false">
      <c r="A1210" s="49" t="s">
        <v>141</v>
      </c>
      <c r="B1210" s="29" t="s">
        <v>896</v>
      </c>
      <c r="C1210" s="49" t="s">
        <v>367</v>
      </c>
      <c r="D1210" s="50" t="n">
        <v>12</v>
      </c>
      <c r="E1210" s="51" t="n">
        <f aca="false">'Analisa Harga Satuan'!$H$1008</f>
        <v>52800</v>
      </c>
      <c r="F1210" s="52" t="n">
        <f aca="false">ROUND(D1210*E1210,0)</f>
        <v>633600</v>
      </c>
      <c r="G1210" s="49" t="s">
        <v>897</v>
      </c>
      <c r="H1210" s="53" t="s">
        <v>181</v>
      </c>
    </row>
    <row r="1211" customFormat="false" ht="15" hidden="false" customHeight="false" outlineLevel="0" collapsed="false">
      <c r="A1211" s="49" t="s">
        <v>145</v>
      </c>
      <c r="B1211" s="29" t="s">
        <v>900</v>
      </c>
      <c r="C1211" s="49" t="s">
        <v>206</v>
      </c>
      <c r="D1211" s="50" t="n">
        <v>5</v>
      </c>
      <c r="E1211" s="51" t="n">
        <f aca="false">'Analisa Harga Satuan'!$H$1010</f>
        <v>436425</v>
      </c>
      <c r="F1211" s="52" t="n">
        <f aca="false">ROUND(D1211*E1211,0)</f>
        <v>2182125</v>
      </c>
      <c r="G1211" s="49" t="s">
        <v>901</v>
      </c>
      <c r="H1211" s="53" t="s">
        <v>181</v>
      </c>
    </row>
    <row r="1212" customFormat="false" ht="15" hidden="false" customHeight="false" outlineLevel="0" collapsed="false">
      <c r="A1212" s="49" t="s">
        <v>147</v>
      </c>
      <c r="B1212" s="29" t="s">
        <v>902</v>
      </c>
      <c r="C1212" s="49" t="s">
        <v>206</v>
      </c>
      <c r="D1212" s="50" t="n">
        <v>1</v>
      </c>
      <c r="E1212" s="51" t="n">
        <f aca="false">'Analisa Harga Satuan'!$H$1011</f>
        <v>360525</v>
      </c>
      <c r="F1212" s="52" t="n">
        <f aca="false">ROUND(D1212*E1212,0)</f>
        <v>360525</v>
      </c>
      <c r="G1212" s="49" t="s">
        <v>903</v>
      </c>
      <c r="H1212" s="53" t="s">
        <v>181</v>
      </c>
    </row>
    <row r="1213" customFormat="false" ht="15" hidden="false" customHeight="false" outlineLevel="0" collapsed="false">
      <c r="A1213" s="49" t="s">
        <v>149</v>
      </c>
      <c r="B1213" s="29" t="s">
        <v>904</v>
      </c>
      <c r="C1213" s="49" t="s">
        <v>206</v>
      </c>
      <c r="D1213" s="50" t="n">
        <v>1</v>
      </c>
      <c r="E1213" s="51" t="n">
        <f aca="false">'Analisa Harga Satuan'!$H$1012</f>
        <v>487025</v>
      </c>
      <c r="F1213" s="52" t="n">
        <f aca="false">ROUND(D1213*E1213,0)</f>
        <v>487025</v>
      </c>
      <c r="G1213" s="49" t="s">
        <v>905</v>
      </c>
      <c r="H1213" s="53" t="s">
        <v>181</v>
      </c>
    </row>
    <row r="1214" customFormat="false" ht="15" hidden="false" customHeight="false" outlineLevel="0" collapsed="false">
      <c r="A1214" s="49" t="s">
        <v>151</v>
      </c>
      <c r="B1214" s="29" t="s">
        <v>906</v>
      </c>
      <c r="C1214" s="49" t="s">
        <v>206</v>
      </c>
      <c r="D1214" s="50" t="n">
        <v>1</v>
      </c>
      <c r="E1214" s="51" t="n">
        <f aca="false">'Analisa Harga Satuan'!$H$1013</f>
        <v>208725</v>
      </c>
      <c r="F1214" s="52" t="n">
        <f aca="false">ROUND(D1214*E1214,0)</f>
        <v>208725</v>
      </c>
      <c r="G1214" s="49" t="s">
        <v>907</v>
      </c>
      <c r="H1214" s="53" t="s">
        <v>181</v>
      </c>
    </row>
    <row r="1215" customFormat="false" ht="25.5" hidden="false" customHeight="true" outlineLevel="0" collapsed="false">
      <c r="A1215" s="49" t="s">
        <v>423</v>
      </c>
      <c r="B1215" s="29" t="s">
        <v>908</v>
      </c>
      <c r="C1215" s="49" t="s">
        <v>784</v>
      </c>
      <c r="D1215" s="50" t="n">
        <v>5</v>
      </c>
      <c r="E1215" s="51" t="n">
        <f aca="false">'Analisa Harga Satuan'!$H$1014</f>
        <v>324500</v>
      </c>
      <c r="F1215" s="52" t="n">
        <f aca="false">ROUND(D1215*E1215,0)</f>
        <v>1622500</v>
      </c>
      <c r="G1215" s="49" t="s">
        <v>909</v>
      </c>
      <c r="H1215" s="53" t="s">
        <v>181</v>
      </c>
    </row>
    <row r="1216" customFormat="false" ht="25.5" hidden="false" customHeight="true" outlineLevel="0" collapsed="false">
      <c r="A1216" s="49" t="s">
        <v>208</v>
      </c>
      <c r="B1216" s="29" t="s">
        <v>910</v>
      </c>
      <c r="C1216" s="49" t="s">
        <v>784</v>
      </c>
      <c r="D1216" s="50" t="n">
        <v>1</v>
      </c>
      <c r="E1216" s="51" t="n">
        <f aca="false">'Analisa Harga Satuan'!$H$1014</f>
        <v>324500</v>
      </c>
      <c r="F1216" s="52" t="n">
        <f aca="false">ROUND(D1216*E1216,0)</f>
        <v>324500</v>
      </c>
      <c r="G1216" s="49" t="s">
        <v>909</v>
      </c>
      <c r="H1216" s="53" t="s">
        <v>181</v>
      </c>
    </row>
    <row r="1217" customFormat="false" ht="25.5" hidden="false" customHeight="true" outlineLevel="0" collapsed="false">
      <c r="A1217" s="49" t="s">
        <v>217</v>
      </c>
      <c r="B1217" s="29" t="s">
        <v>911</v>
      </c>
      <c r="C1217" s="49" t="s">
        <v>784</v>
      </c>
      <c r="D1217" s="50" t="n">
        <v>1</v>
      </c>
      <c r="E1217" s="51" t="n">
        <f aca="false">'Analisa Harga Satuan'!$H$1014</f>
        <v>324500</v>
      </c>
      <c r="F1217" s="52" t="n">
        <f aca="false">ROUND(D1217*E1217,0)</f>
        <v>324500</v>
      </c>
      <c r="G1217" s="49" t="s">
        <v>909</v>
      </c>
      <c r="H1217" s="53" t="s">
        <v>181</v>
      </c>
    </row>
    <row r="1218" customFormat="false" ht="15" hidden="false" customHeight="false" outlineLevel="0" collapsed="false">
      <c r="A1218" s="60" t="s">
        <v>1134</v>
      </c>
      <c r="B1218" s="61" t="s">
        <v>934</v>
      </c>
    </row>
    <row r="1219" customFormat="false" ht="15" hidden="false" customHeight="false" outlineLevel="0" collapsed="false">
      <c r="A1219" s="60" t="s">
        <v>78</v>
      </c>
      <c r="B1219" s="61" t="s">
        <v>935</v>
      </c>
    </row>
    <row r="1220" customFormat="false" ht="15" hidden="false" customHeight="false" outlineLevel="0" collapsed="false">
      <c r="A1220" s="49" t="s">
        <v>139</v>
      </c>
      <c r="B1220" s="29" t="s">
        <v>1138</v>
      </c>
      <c r="C1220" s="49" t="s">
        <v>520</v>
      </c>
      <c r="D1220" s="50" t="n">
        <v>14</v>
      </c>
      <c r="E1220" s="51" t="n">
        <f aca="false">'Analisa Harga Satuan'!$H$1069</f>
        <v>4235000</v>
      </c>
      <c r="F1220" s="52" t="n">
        <f aca="false">ROUND(D1220*E1220,0)</f>
        <v>59290000</v>
      </c>
      <c r="G1220" s="49" t="s">
        <v>1139</v>
      </c>
      <c r="H1220" s="53" t="s">
        <v>181</v>
      </c>
    </row>
    <row r="1221" customFormat="false" ht="15" hidden="false" customHeight="false" outlineLevel="0" collapsed="false">
      <c r="A1221" s="49" t="s">
        <v>141</v>
      </c>
      <c r="B1221" s="29" t="s">
        <v>1140</v>
      </c>
      <c r="C1221" s="49" t="s">
        <v>367</v>
      </c>
      <c r="D1221" s="50" t="n">
        <v>40</v>
      </c>
      <c r="E1221" s="51" t="n">
        <f aca="false">'Analisa Harga Satuan'!$H$1027</f>
        <v>115500</v>
      </c>
      <c r="F1221" s="52" t="n">
        <f aca="false">ROUND(D1221*E1221,0)</f>
        <v>4620000</v>
      </c>
      <c r="G1221" s="49" t="s">
        <v>952</v>
      </c>
      <c r="H1221" s="53" t="s">
        <v>181</v>
      </c>
    </row>
    <row r="1222" customFormat="false" ht="15" hidden="false" customHeight="false" outlineLevel="0" collapsed="false">
      <c r="A1222" s="49" t="s">
        <v>143</v>
      </c>
      <c r="B1222" s="29" t="s">
        <v>1141</v>
      </c>
      <c r="C1222" s="49" t="s">
        <v>943</v>
      </c>
      <c r="D1222" s="50" t="n">
        <v>1</v>
      </c>
      <c r="E1222" s="51" t="n">
        <f aca="false">'Analisa Harga Satuan'!$H$1070</f>
        <v>10450000</v>
      </c>
      <c r="F1222" s="52" t="n">
        <f aca="false">ROUND(D1222*E1222,0)</f>
        <v>10450000</v>
      </c>
      <c r="G1222" s="49" t="s">
        <v>1142</v>
      </c>
      <c r="H1222" s="53" t="s">
        <v>189</v>
      </c>
    </row>
    <row r="1223" customFormat="false" ht="15" hidden="false" customHeight="false" outlineLevel="0" collapsed="false">
      <c r="B1223" s="54" t="s">
        <v>1143</v>
      </c>
    </row>
    <row r="1224" customFormat="false" ht="15" hidden="false" customHeight="false" outlineLevel="0" collapsed="false">
      <c r="A1224" s="49" t="s">
        <v>145</v>
      </c>
      <c r="B1224" s="29" t="s">
        <v>945</v>
      </c>
      <c r="C1224" s="49" t="s">
        <v>179</v>
      </c>
      <c r="D1224" s="50" t="n">
        <v>1</v>
      </c>
      <c r="E1224" s="51" t="n">
        <f aca="false">'Analisa Harga Satuan'!$H$1025</f>
        <v>1375000</v>
      </c>
      <c r="F1224" s="52" t="n">
        <f aca="false">ROUND(D1224*E1224,0)</f>
        <v>1375000</v>
      </c>
      <c r="G1224" s="49" t="s">
        <v>946</v>
      </c>
      <c r="H1224" s="53" t="s">
        <v>181</v>
      </c>
    </row>
    <row r="1225" customFormat="false" ht="15" hidden="false" customHeight="false" outlineLevel="0" collapsed="false">
      <c r="A1225" s="60" t="s">
        <v>93</v>
      </c>
      <c r="B1225" s="61" t="s">
        <v>947</v>
      </c>
    </row>
    <row r="1226" customFormat="false" ht="25.5" hidden="false" customHeight="true" outlineLevel="0" collapsed="false">
      <c r="A1226" s="49" t="s">
        <v>139</v>
      </c>
      <c r="B1226" s="29" t="s">
        <v>1144</v>
      </c>
      <c r="C1226" s="49" t="s">
        <v>943</v>
      </c>
      <c r="D1226" s="50" t="n">
        <v>1</v>
      </c>
      <c r="E1226" s="51" t="n">
        <f aca="false">'Analisa Harga Satuan'!$H$1071</f>
        <v>13750000</v>
      </c>
      <c r="F1226" s="52" t="n">
        <f aca="false">ROUND(D1226*E1226,0)</f>
        <v>13750000</v>
      </c>
      <c r="G1226" s="49" t="s">
        <v>1145</v>
      </c>
      <c r="H1226" s="53" t="s">
        <v>189</v>
      </c>
    </row>
    <row r="1227" customFormat="false" ht="15" hidden="false" customHeight="false" outlineLevel="0" collapsed="false">
      <c r="A1227" s="49" t="s">
        <v>141</v>
      </c>
      <c r="B1227" s="29" t="s">
        <v>1146</v>
      </c>
      <c r="C1227" s="49" t="s">
        <v>367</v>
      </c>
      <c r="D1227" s="50" t="n">
        <v>40</v>
      </c>
      <c r="E1227" s="51" t="n">
        <f aca="false">'Analisa Harga Satuan'!$H$1027</f>
        <v>115500</v>
      </c>
      <c r="F1227" s="52" t="n">
        <f aca="false">ROUND(D1227*E1227,0)</f>
        <v>4620000</v>
      </c>
      <c r="G1227" s="49" t="s">
        <v>952</v>
      </c>
      <c r="H1227" s="53" t="s">
        <v>181</v>
      </c>
    </row>
    <row r="1228" customFormat="false" ht="15" hidden="false" customHeight="false" outlineLevel="0" collapsed="false">
      <c r="A1228" s="49" t="s">
        <v>143</v>
      </c>
      <c r="B1228" s="29" t="s">
        <v>945</v>
      </c>
      <c r="C1228" s="49" t="s">
        <v>179</v>
      </c>
      <c r="D1228" s="50" t="n">
        <v>1</v>
      </c>
      <c r="E1228" s="51" t="n">
        <f aca="false">'Analisa Harga Satuan'!$H$1025</f>
        <v>1375000</v>
      </c>
      <c r="F1228" s="52" t="n">
        <f aca="false">ROUND(D1228*E1228,0)</f>
        <v>1375000</v>
      </c>
      <c r="G1228" s="49" t="s">
        <v>946</v>
      </c>
      <c r="H1228" s="53" t="s">
        <v>181</v>
      </c>
    </row>
    <row r="1229" customFormat="false" ht="15" hidden="false" customHeight="false" outlineLevel="0" collapsed="false">
      <c r="A1229" s="55"/>
      <c r="B1229" s="56" t="s">
        <v>1169</v>
      </c>
      <c r="C1229" s="55"/>
      <c r="D1229" s="55"/>
      <c r="E1229" s="55"/>
      <c r="F1229" s="27" t="n">
        <f aca="false">SUM(F1184:F1228)</f>
        <v>202212395</v>
      </c>
      <c r="G1229" s="55"/>
      <c r="H1229" s="55"/>
    </row>
    <row r="1230" customFormat="false" ht="15" hidden="false" customHeight="false" outlineLevel="0" collapsed="false">
      <c r="A1230" s="57"/>
      <c r="B1230" s="58" t="s">
        <v>110</v>
      </c>
      <c r="C1230" s="57"/>
      <c r="D1230" s="57"/>
      <c r="E1230" s="57"/>
      <c r="F1230" s="34" t="n">
        <f aca="false">F955+F1053+F1125+F1136+F1182+F1229</f>
        <v>6568566913</v>
      </c>
      <c r="G1230" s="57"/>
      <c r="H1230" s="57"/>
    </row>
    <row r="1232" customFormat="false" ht="15" hidden="false" customHeight="false" outlineLevel="0" collapsed="false">
      <c r="A1232" s="59" t="s">
        <v>111</v>
      </c>
      <c r="B1232" s="24" t="s">
        <v>1170</v>
      </c>
      <c r="C1232" s="23"/>
      <c r="D1232" s="23"/>
      <c r="E1232" s="23"/>
      <c r="F1232" s="23"/>
      <c r="G1232" s="23"/>
      <c r="H1232" s="23"/>
    </row>
    <row r="1233" customFormat="false" ht="15" hidden="false" customHeight="false" outlineLevel="0" collapsed="false">
      <c r="A1233" s="46" t="s">
        <v>80</v>
      </c>
      <c r="B1233" s="47" t="s">
        <v>113</v>
      </c>
      <c r="C1233" s="48"/>
      <c r="D1233" s="48"/>
      <c r="E1233" s="48"/>
      <c r="F1233" s="48"/>
      <c r="G1233" s="48"/>
      <c r="H1233" s="48"/>
    </row>
    <row r="1234" customFormat="false" ht="15" hidden="false" customHeight="false" outlineLevel="0" collapsed="false">
      <c r="A1234" s="60" t="s">
        <v>78</v>
      </c>
      <c r="B1234" s="61" t="s">
        <v>1171</v>
      </c>
    </row>
    <row r="1235" customFormat="false" ht="15" hidden="false" customHeight="false" outlineLevel="0" collapsed="false">
      <c r="A1235" s="49" t="s">
        <v>139</v>
      </c>
      <c r="B1235" s="29" t="s">
        <v>302</v>
      </c>
      <c r="C1235" s="49" t="s">
        <v>303</v>
      </c>
      <c r="D1235" s="50" t="n">
        <v>53.88</v>
      </c>
      <c r="E1235" s="51" t="n">
        <f aca="false">'Analisa Harga Satuan'!$F$17</f>
        <v>105050</v>
      </c>
      <c r="F1235" s="52" t="n">
        <f aca="false">ROUND(D1235*E1235,0)</f>
        <v>5660094</v>
      </c>
      <c r="G1235" s="49" t="s">
        <v>304</v>
      </c>
      <c r="H1235" s="53" t="s">
        <v>305</v>
      </c>
    </row>
    <row r="1236" customFormat="false" ht="15" hidden="false" customHeight="false" outlineLevel="0" collapsed="false">
      <c r="A1236" s="49" t="s">
        <v>141</v>
      </c>
      <c r="B1236" s="29" t="s">
        <v>306</v>
      </c>
      <c r="C1236" s="49" t="s">
        <v>303</v>
      </c>
      <c r="D1236" s="50" t="n">
        <v>47.48</v>
      </c>
      <c r="E1236" s="51" t="n">
        <f aca="false">'Analisa Harga Satuan'!$F$31</f>
        <v>113135</v>
      </c>
      <c r="F1236" s="52" t="n">
        <f aca="false">ROUND(D1236*E1236,0)</f>
        <v>5371650</v>
      </c>
      <c r="G1236" s="49" t="s">
        <v>307</v>
      </c>
      <c r="H1236" s="53" t="s">
        <v>305</v>
      </c>
    </row>
    <row r="1237" customFormat="false" ht="15" hidden="false" customHeight="false" outlineLevel="0" collapsed="false">
      <c r="A1237" s="49" t="s">
        <v>143</v>
      </c>
      <c r="B1237" s="29" t="s">
        <v>308</v>
      </c>
      <c r="C1237" s="49" t="s">
        <v>303</v>
      </c>
      <c r="D1237" s="50" t="n">
        <v>6.4</v>
      </c>
      <c r="E1237" s="51" t="n">
        <f aca="false">'Analisa Harga Satuan'!$F$44</f>
        <v>65175</v>
      </c>
      <c r="F1237" s="52" t="n">
        <f aca="false">ROUND(D1237*E1237,0)</f>
        <v>417120</v>
      </c>
      <c r="G1237" s="49" t="s">
        <v>309</v>
      </c>
      <c r="H1237" s="53" t="s">
        <v>305</v>
      </c>
    </row>
    <row r="1238" customFormat="false" ht="15" hidden="false" customHeight="false" outlineLevel="0" collapsed="false">
      <c r="A1238" s="60" t="s">
        <v>93</v>
      </c>
      <c r="B1238" s="61" t="s">
        <v>312</v>
      </c>
    </row>
    <row r="1239" customFormat="false" ht="15" hidden="false" customHeight="false" outlineLevel="0" collapsed="false">
      <c r="A1239" s="49" t="s">
        <v>139</v>
      </c>
      <c r="B1239" s="29" t="s">
        <v>313</v>
      </c>
      <c r="C1239" s="49" t="s">
        <v>303</v>
      </c>
      <c r="D1239" s="50" t="n">
        <v>645.23</v>
      </c>
      <c r="E1239" s="51" t="n">
        <f aca="false">'Analisa Harga Satuan'!$F$73</f>
        <v>211750</v>
      </c>
      <c r="F1239" s="52" t="n">
        <f aca="false">ROUND(D1239*E1239,0)</f>
        <v>136627453</v>
      </c>
      <c r="G1239" s="49" t="s">
        <v>314</v>
      </c>
      <c r="H1239" s="53" t="s">
        <v>305</v>
      </c>
    </row>
    <row r="1240" customFormat="false" ht="15" hidden="false" customHeight="false" outlineLevel="0" collapsed="false">
      <c r="A1240" s="49" t="s">
        <v>141</v>
      </c>
      <c r="B1240" s="29" t="s">
        <v>315</v>
      </c>
      <c r="C1240" s="49" t="s">
        <v>303</v>
      </c>
      <c r="D1240" s="50" t="n">
        <v>645.23</v>
      </c>
      <c r="E1240" s="51" t="n">
        <f aca="false">'Analisa Harga Satuan'!$F$89</f>
        <v>25355</v>
      </c>
      <c r="F1240" s="52" t="n">
        <f aca="false">ROUND(D1240*E1240,0)</f>
        <v>16359807</v>
      </c>
      <c r="G1240" s="49" t="s">
        <v>316</v>
      </c>
      <c r="H1240" s="53" t="s">
        <v>305</v>
      </c>
    </row>
    <row r="1241" customFormat="false" ht="15" hidden="false" customHeight="false" outlineLevel="0" collapsed="false">
      <c r="A1241" s="49" t="s">
        <v>143</v>
      </c>
      <c r="B1241" s="29" t="s">
        <v>317</v>
      </c>
      <c r="C1241" s="49" t="s">
        <v>303</v>
      </c>
      <c r="D1241" s="50" t="n">
        <v>41.24</v>
      </c>
      <c r="E1241" s="51" t="n">
        <f aca="false">'Analisa Harga Satuan'!$F$102</f>
        <v>237600</v>
      </c>
      <c r="F1241" s="52" t="n">
        <f aca="false">ROUND(D1241*E1241,0)</f>
        <v>9798624</v>
      </c>
      <c r="G1241" s="49" t="s">
        <v>318</v>
      </c>
      <c r="H1241" s="53" t="s">
        <v>305</v>
      </c>
    </row>
    <row r="1242" customFormat="false" ht="15" hidden="false" customHeight="false" outlineLevel="0" collapsed="false">
      <c r="A1242" s="55"/>
      <c r="B1242" s="56" t="s">
        <v>1172</v>
      </c>
      <c r="C1242" s="55"/>
      <c r="D1242" s="55"/>
      <c r="E1242" s="55"/>
      <c r="F1242" s="27" t="n">
        <f aca="false">SUM(F1234:F1241)</f>
        <v>174234748</v>
      </c>
      <c r="G1242" s="55"/>
      <c r="H1242" s="55"/>
    </row>
    <row r="1243" customFormat="false" ht="15" hidden="false" customHeight="false" outlineLevel="0" collapsed="false">
      <c r="A1243" s="46" t="s">
        <v>82</v>
      </c>
      <c r="B1243" s="47" t="s">
        <v>114</v>
      </c>
      <c r="C1243" s="48"/>
      <c r="D1243" s="48"/>
      <c r="E1243" s="48"/>
      <c r="F1243" s="48"/>
      <c r="G1243" s="48"/>
      <c r="H1243" s="48"/>
    </row>
    <row r="1244" customFormat="false" ht="15" hidden="false" customHeight="false" outlineLevel="0" collapsed="false">
      <c r="A1244" s="60" t="s">
        <v>1173</v>
      </c>
      <c r="B1244" s="61" t="s">
        <v>321</v>
      </c>
    </row>
    <row r="1245" customFormat="false" ht="15" hidden="false" customHeight="false" outlineLevel="0" collapsed="false">
      <c r="A1245" s="60" t="s">
        <v>78</v>
      </c>
      <c r="B1245" s="61" t="s">
        <v>963</v>
      </c>
    </row>
    <row r="1246" customFormat="false" ht="15" hidden="false" customHeight="false" outlineLevel="0" collapsed="false">
      <c r="A1246" s="49" t="s">
        <v>139</v>
      </c>
      <c r="B1246" s="29" t="s">
        <v>964</v>
      </c>
      <c r="C1246" s="49" t="s">
        <v>342</v>
      </c>
      <c r="D1246" s="50" t="n">
        <v>40</v>
      </c>
      <c r="E1246" s="51" t="n">
        <f aca="false">'Analisa Harga Satuan'!$H$1030</f>
        <v>4510000</v>
      </c>
      <c r="F1246" s="52" t="n">
        <f aca="false">ROUND(D1246*E1246,0)</f>
        <v>180400000</v>
      </c>
      <c r="G1246" s="49" t="s">
        <v>965</v>
      </c>
      <c r="H1246" s="53" t="s">
        <v>181</v>
      </c>
    </row>
    <row r="1247" customFormat="false" ht="15" hidden="false" customHeight="false" outlineLevel="0" collapsed="false">
      <c r="A1247" s="49" t="s">
        <v>141</v>
      </c>
      <c r="B1247" s="29" t="s">
        <v>344</v>
      </c>
      <c r="C1247" s="49" t="s">
        <v>262</v>
      </c>
      <c r="D1247" s="50" t="n">
        <v>240</v>
      </c>
      <c r="E1247" s="51" t="n">
        <f aca="false">'Analisa Harga Satuan'!$H$840</f>
        <v>181500</v>
      </c>
      <c r="F1247" s="52" t="n">
        <f aca="false">ROUND(D1247*E1247,0)</f>
        <v>43560000</v>
      </c>
      <c r="G1247" s="49" t="s">
        <v>345</v>
      </c>
      <c r="H1247" s="53" t="s">
        <v>181</v>
      </c>
    </row>
    <row r="1248" customFormat="false" ht="15" hidden="false" customHeight="false" outlineLevel="0" collapsed="false">
      <c r="A1248" s="49" t="s">
        <v>143</v>
      </c>
      <c r="B1248" s="29" t="s">
        <v>346</v>
      </c>
      <c r="C1248" s="49" t="s">
        <v>191</v>
      </c>
      <c r="D1248" s="50" t="n">
        <v>40</v>
      </c>
      <c r="E1248" s="51" t="n">
        <f aca="false">'Analisa Harga Satuan'!$H$841</f>
        <v>313500</v>
      </c>
      <c r="F1248" s="52" t="n">
        <f aca="false">ROUND(D1248*E1248,0)</f>
        <v>12540000</v>
      </c>
      <c r="G1248" s="49" t="s">
        <v>347</v>
      </c>
      <c r="H1248" s="53" t="s">
        <v>181</v>
      </c>
    </row>
    <row r="1249" customFormat="false" ht="15" hidden="false" customHeight="false" outlineLevel="0" collapsed="false">
      <c r="A1249" s="49" t="s">
        <v>145</v>
      </c>
      <c r="B1249" s="29" t="s">
        <v>348</v>
      </c>
      <c r="C1249" s="49" t="s">
        <v>303</v>
      </c>
      <c r="D1249" s="50" t="n">
        <v>35.33</v>
      </c>
      <c r="E1249" s="51" t="n">
        <f aca="false">'Analisa Harga Satuan'!$F$57</f>
        <v>470250</v>
      </c>
      <c r="F1249" s="52" t="n">
        <f aca="false">ROUND(D1249*E1249,0)</f>
        <v>16613933</v>
      </c>
      <c r="G1249" s="49" t="s">
        <v>311</v>
      </c>
      <c r="H1249" s="53" t="s">
        <v>305</v>
      </c>
    </row>
    <row r="1250" customFormat="false" ht="15" hidden="false" customHeight="false" outlineLevel="0" collapsed="false">
      <c r="A1250" s="49" t="s">
        <v>147</v>
      </c>
      <c r="B1250" s="29" t="s">
        <v>349</v>
      </c>
      <c r="C1250" s="49" t="s">
        <v>328</v>
      </c>
      <c r="D1250" s="50" t="n">
        <v>2702.95</v>
      </c>
      <c r="E1250" s="51" t="n">
        <f aca="false">'Analisa Harga Satuan'!$F$310</f>
        <v>23191</v>
      </c>
      <c r="F1250" s="52" t="n">
        <f aca="false">ROUND(D1250*E1250,0)</f>
        <v>62684113</v>
      </c>
      <c r="G1250" s="49" t="s">
        <v>329</v>
      </c>
      <c r="H1250" s="53" t="s">
        <v>305</v>
      </c>
    </row>
    <row r="1251" customFormat="false" ht="15" hidden="false" customHeight="false" outlineLevel="0" collapsed="false">
      <c r="A1251" s="49" t="s">
        <v>149</v>
      </c>
      <c r="B1251" s="29" t="s">
        <v>355</v>
      </c>
      <c r="C1251" s="49" t="s">
        <v>303</v>
      </c>
      <c r="D1251" s="50" t="n">
        <v>1.96</v>
      </c>
      <c r="E1251" s="51" t="n">
        <f aca="false">'Analisa Harga Satuan'!$F$272</f>
        <v>1747048</v>
      </c>
      <c r="F1251" s="52" t="n">
        <f aca="false">ROUND(D1251*E1251,0)</f>
        <v>3424214</v>
      </c>
      <c r="G1251" s="49" t="s">
        <v>351</v>
      </c>
      <c r="H1251" s="53" t="s">
        <v>305</v>
      </c>
    </row>
    <row r="1252" customFormat="false" ht="15" hidden="false" customHeight="false" outlineLevel="0" collapsed="false">
      <c r="A1252" s="60" t="s">
        <v>93</v>
      </c>
      <c r="B1252" s="61" t="s">
        <v>1174</v>
      </c>
    </row>
    <row r="1253" customFormat="false" ht="15" hidden="false" customHeight="false" outlineLevel="0" collapsed="false">
      <c r="A1253" s="49" t="s">
        <v>139</v>
      </c>
      <c r="B1253" s="29" t="s">
        <v>310</v>
      </c>
      <c r="C1253" s="49" t="s">
        <v>303</v>
      </c>
      <c r="D1253" s="50" t="n">
        <v>2.64</v>
      </c>
      <c r="E1253" s="51" t="n">
        <f aca="false">'Analisa Harga Satuan'!$F$57</f>
        <v>470250</v>
      </c>
      <c r="F1253" s="52" t="n">
        <f aca="false">ROUND(D1253*E1253,0)</f>
        <v>1241460</v>
      </c>
      <c r="G1253" s="49" t="s">
        <v>311</v>
      </c>
      <c r="H1253" s="53" t="s">
        <v>305</v>
      </c>
    </row>
    <row r="1254" customFormat="false" ht="15" hidden="false" customHeight="false" outlineLevel="0" collapsed="false">
      <c r="A1254" s="49" t="s">
        <v>141</v>
      </c>
      <c r="B1254" s="29" t="s">
        <v>323</v>
      </c>
      <c r="C1254" s="49" t="s">
        <v>303</v>
      </c>
      <c r="D1254" s="50" t="n">
        <v>2.64</v>
      </c>
      <c r="E1254" s="51" t="n">
        <f aca="false">'Analisa Harga Satuan'!$F$228</f>
        <v>1386820</v>
      </c>
      <c r="F1254" s="52" t="n">
        <f aca="false">ROUND(D1254*E1254,0)</f>
        <v>3661205</v>
      </c>
      <c r="G1254" s="49" t="s">
        <v>324</v>
      </c>
      <c r="H1254" s="53" t="s">
        <v>305</v>
      </c>
    </row>
    <row r="1255" customFormat="false" ht="15" hidden="false" customHeight="false" outlineLevel="0" collapsed="false">
      <c r="A1255" s="49" t="s">
        <v>143</v>
      </c>
      <c r="B1255" s="29" t="s">
        <v>325</v>
      </c>
      <c r="C1255" s="49" t="s">
        <v>303</v>
      </c>
      <c r="D1255" s="50" t="n">
        <v>20</v>
      </c>
      <c r="E1255" s="51" t="n">
        <f aca="false">'Analisa Harga Satuan'!$F$294</f>
        <v>1803236</v>
      </c>
      <c r="F1255" s="52" t="n">
        <f aca="false">ROUND(D1255*E1255,0)</f>
        <v>36064720</v>
      </c>
      <c r="G1255" s="49" t="s">
        <v>326</v>
      </c>
      <c r="H1255" s="53" t="s">
        <v>305</v>
      </c>
    </row>
    <row r="1256" customFormat="false" ht="15" hidden="false" customHeight="false" outlineLevel="0" collapsed="false">
      <c r="A1256" s="49" t="s">
        <v>145</v>
      </c>
      <c r="B1256" s="29" t="s">
        <v>327</v>
      </c>
      <c r="C1256" s="49" t="s">
        <v>328</v>
      </c>
      <c r="D1256" s="50" t="n">
        <v>1457.01</v>
      </c>
      <c r="E1256" s="51" t="n">
        <f aca="false">'Analisa Harga Satuan'!$F$310</f>
        <v>23191</v>
      </c>
      <c r="F1256" s="52" t="n">
        <f aca="false">ROUND(D1256*E1256,0)</f>
        <v>33789519</v>
      </c>
      <c r="G1256" s="49" t="s">
        <v>329</v>
      </c>
      <c r="H1256" s="53" t="s">
        <v>305</v>
      </c>
    </row>
    <row r="1257" customFormat="false" ht="15" hidden="false" customHeight="false" outlineLevel="0" collapsed="false">
      <c r="A1257" s="49" t="s">
        <v>147</v>
      </c>
      <c r="B1257" s="29" t="s">
        <v>330</v>
      </c>
      <c r="C1257" s="49" t="s">
        <v>331</v>
      </c>
      <c r="D1257" s="50" t="n">
        <v>60</v>
      </c>
      <c r="E1257" s="51" t="n">
        <f aca="false">'Analisa Harga Satuan'!$F$330</f>
        <v>398959</v>
      </c>
      <c r="F1257" s="52" t="n">
        <f aca="false">ROUND(D1257*E1257,0)</f>
        <v>23937540</v>
      </c>
      <c r="G1257" s="49" t="s">
        <v>332</v>
      </c>
      <c r="H1257" s="53" t="s">
        <v>305</v>
      </c>
    </row>
    <row r="1258" customFormat="false" ht="15" hidden="false" customHeight="false" outlineLevel="0" collapsed="false">
      <c r="A1258" s="60" t="s">
        <v>102</v>
      </c>
      <c r="B1258" s="61" t="s">
        <v>1175</v>
      </c>
    </row>
    <row r="1259" customFormat="false" ht="15" hidden="false" customHeight="false" outlineLevel="0" collapsed="false">
      <c r="A1259" s="49" t="s">
        <v>139</v>
      </c>
      <c r="B1259" s="29" t="s">
        <v>310</v>
      </c>
      <c r="C1259" s="49" t="s">
        <v>303</v>
      </c>
      <c r="D1259" s="50" t="n">
        <v>2.48</v>
      </c>
      <c r="E1259" s="51" t="n">
        <f aca="false">'Analisa Harga Satuan'!$F$57</f>
        <v>470250</v>
      </c>
      <c r="F1259" s="52" t="n">
        <f aca="false">ROUND(D1259*E1259,0)</f>
        <v>1166220</v>
      </c>
      <c r="G1259" s="49" t="s">
        <v>311</v>
      </c>
      <c r="H1259" s="53" t="s">
        <v>305</v>
      </c>
    </row>
    <row r="1260" customFormat="false" ht="15" hidden="false" customHeight="false" outlineLevel="0" collapsed="false">
      <c r="A1260" s="49" t="s">
        <v>141</v>
      </c>
      <c r="B1260" s="29" t="s">
        <v>323</v>
      </c>
      <c r="C1260" s="49" t="s">
        <v>303</v>
      </c>
      <c r="D1260" s="50" t="n">
        <v>2.48</v>
      </c>
      <c r="E1260" s="51" t="n">
        <f aca="false">'Analisa Harga Satuan'!$F$228</f>
        <v>1386820</v>
      </c>
      <c r="F1260" s="52" t="n">
        <f aca="false">ROUND(D1260*E1260,0)</f>
        <v>3439314</v>
      </c>
      <c r="G1260" s="49" t="s">
        <v>324</v>
      </c>
      <c r="H1260" s="53" t="s">
        <v>305</v>
      </c>
    </row>
    <row r="1261" customFormat="false" ht="15" hidden="false" customHeight="false" outlineLevel="0" collapsed="false">
      <c r="A1261" s="49" t="s">
        <v>143</v>
      </c>
      <c r="B1261" s="29" t="s">
        <v>325</v>
      </c>
      <c r="C1261" s="49" t="s">
        <v>303</v>
      </c>
      <c r="D1261" s="50" t="n">
        <v>25.7</v>
      </c>
      <c r="E1261" s="51" t="n">
        <f aca="false">'Analisa Harga Satuan'!$F$294</f>
        <v>1803236</v>
      </c>
      <c r="F1261" s="52" t="n">
        <f aca="false">ROUND(D1261*E1261,0)</f>
        <v>46343165</v>
      </c>
      <c r="G1261" s="49" t="s">
        <v>326</v>
      </c>
      <c r="H1261" s="53" t="s">
        <v>305</v>
      </c>
    </row>
    <row r="1262" customFormat="false" ht="15" hidden="false" customHeight="false" outlineLevel="0" collapsed="false">
      <c r="A1262" s="49" t="s">
        <v>145</v>
      </c>
      <c r="B1262" s="29" t="s">
        <v>327</v>
      </c>
      <c r="C1262" s="49" t="s">
        <v>328</v>
      </c>
      <c r="D1262" s="50" t="n">
        <v>3656.09</v>
      </c>
      <c r="E1262" s="51" t="n">
        <f aca="false">'Analisa Harga Satuan'!$F$310</f>
        <v>23191</v>
      </c>
      <c r="F1262" s="52" t="n">
        <f aca="false">ROUND(D1262*E1262,0)</f>
        <v>84788383</v>
      </c>
      <c r="G1262" s="49" t="s">
        <v>329</v>
      </c>
      <c r="H1262" s="53" t="s">
        <v>305</v>
      </c>
    </row>
    <row r="1263" customFormat="false" ht="15" hidden="false" customHeight="false" outlineLevel="0" collapsed="false">
      <c r="A1263" s="49" t="s">
        <v>147</v>
      </c>
      <c r="B1263" s="29" t="s">
        <v>330</v>
      </c>
      <c r="C1263" s="49" t="s">
        <v>331</v>
      </c>
      <c r="D1263" s="50" t="n">
        <v>205.6</v>
      </c>
      <c r="E1263" s="51" t="n">
        <f aca="false">'Analisa Harga Satuan'!$F$330</f>
        <v>398959</v>
      </c>
      <c r="F1263" s="52" t="n">
        <f aca="false">ROUND(D1263*E1263,0)</f>
        <v>82025970</v>
      </c>
      <c r="G1263" s="49" t="s">
        <v>332</v>
      </c>
      <c r="H1263" s="53" t="s">
        <v>305</v>
      </c>
    </row>
    <row r="1264" customFormat="false" ht="15" hidden="false" customHeight="false" outlineLevel="0" collapsed="false">
      <c r="A1264" s="60" t="s">
        <v>111</v>
      </c>
      <c r="B1264" s="61" t="s">
        <v>1176</v>
      </c>
    </row>
    <row r="1265" customFormat="false" ht="15" hidden="false" customHeight="false" outlineLevel="0" collapsed="false">
      <c r="A1265" s="49" t="s">
        <v>139</v>
      </c>
      <c r="B1265" s="29" t="s">
        <v>325</v>
      </c>
      <c r="C1265" s="49" t="s">
        <v>303</v>
      </c>
      <c r="D1265" s="50" t="n">
        <v>3.52</v>
      </c>
      <c r="E1265" s="51" t="n">
        <f aca="false">'Analisa Harga Satuan'!$F$294</f>
        <v>1803236</v>
      </c>
      <c r="F1265" s="52" t="n">
        <f aca="false">ROUND(D1265*E1265,0)</f>
        <v>6347391</v>
      </c>
      <c r="G1265" s="49" t="s">
        <v>326</v>
      </c>
      <c r="H1265" s="53" t="s">
        <v>305</v>
      </c>
    </row>
    <row r="1266" customFormat="false" ht="15" hidden="false" customHeight="false" outlineLevel="0" collapsed="false">
      <c r="A1266" s="49" t="s">
        <v>141</v>
      </c>
      <c r="B1266" s="29" t="s">
        <v>327</v>
      </c>
      <c r="C1266" s="49" t="s">
        <v>328</v>
      </c>
      <c r="D1266" s="50" t="n">
        <v>649.65</v>
      </c>
      <c r="E1266" s="51" t="n">
        <f aca="false">'Analisa Harga Satuan'!$F$310</f>
        <v>23191</v>
      </c>
      <c r="F1266" s="52" t="n">
        <f aca="false">ROUND(D1266*E1266,0)</f>
        <v>15066033</v>
      </c>
      <c r="G1266" s="49" t="s">
        <v>329</v>
      </c>
      <c r="H1266" s="53" t="s">
        <v>305</v>
      </c>
    </row>
    <row r="1267" customFormat="false" ht="15" hidden="false" customHeight="false" outlineLevel="0" collapsed="false">
      <c r="A1267" s="49" t="s">
        <v>143</v>
      </c>
      <c r="B1267" s="29" t="s">
        <v>330</v>
      </c>
      <c r="C1267" s="49" t="s">
        <v>331</v>
      </c>
      <c r="D1267" s="50" t="n">
        <v>35.2</v>
      </c>
      <c r="E1267" s="51" t="n">
        <f aca="false">'Analisa Harga Satuan'!$F$330</f>
        <v>398959</v>
      </c>
      <c r="F1267" s="52" t="n">
        <f aca="false">ROUND(D1267*E1267,0)</f>
        <v>14043357</v>
      </c>
      <c r="G1267" s="49" t="s">
        <v>332</v>
      </c>
      <c r="H1267" s="53" t="s">
        <v>305</v>
      </c>
    </row>
    <row r="1268" customFormat="false" ht="15" hidden="false" customHeight="false" outlineLevel="0" collapsed="false">
      <c r="A1268" s="60" t="s">
        <v>119</v>
      </c>
      <c r="B1268" s="61" t="s">
        <v>1177</v>
      </c>
    </row>
    <row r="1269" customFormat="false" ht="15" hidden="false" customHeight="false" outlineLevel="0" collapsed="false">
      <c r="A1269" s="49" t="s">
        <v>139</v>
      </c>
      <c r="B1269" s="29" t="s">
        <v>338</v>
      </c>
      <c r="C1269" s="49" t="s">
        <v>303</v>
      </c>
      <c r="D1269" s="50" t="n">
        <v>20.27</v>
      </c>
      <c r="E1269" s="51" t="n">
        <f aca="false">'Analisa Harga Satuan'!$F$189</f>
        <v>1456103</v>
      </c>
      <c r="F1269" s="52" t="n">
        <f aca="false">ROUND(D1269*E1269,0)</f>
        <v>29515208</v>
      </c>
      <c r="G1269" s="49" t="s">
        <v>339</v>
      </c>
      <c r="H1269" s="53" t="s">
        <v>305</v>
      </c>
    </row>
    <row r="1270" customFormat="false" ht="15" hidden="false" customHeight="false" outlineLevel="0" collapsed="false">
      <c r="A1270" s="49" t="s">
        <v>141</v>
      </c>
      <c r="B1270" s="29" t="s">
        <v>310</v>
      </c>
      <c r="C1270" s="49" t="s">
        <v>331</v>
      </c>
      <c r="D1270" s="50" t="n">
        <v>1.06</v>
      </c>
      <c r="E1270" s="51" t="n">
        <f aca="false">'Analisa Harga Satuan'!$F$798</f>
        <v>23568</v>
      </c>
      <c r="F1270" s="52" t="n">
        <f aca="false">ROUND(D1270*E1270,0)</f>
        <v>24982</v>
      </c>
      <c r="G1270" s="49" t="s">
        <v>515</v>
      </c>
      <c r="H1270" s="53" t="s">
        <v>305</v>
      </c>
    </row>
    <row r="1271" customFormat="false" ht="15" hidden="false" customHeight="false" outlineLevel="0" collapsed="false">
      <c r="A1271" s="60" t="s">
        <v>127</v>
      </c>
      <c r="B1271" s="61" t="s">
        <v>1178</v>
      </c>
    </row>
    <row r="1272" customFormat="false" ht="15" hidden="false" customHeight="false" outlineLevel="0" collapsed="false">
      <c r="A1272" s="49" t="s">
        <v>139</v>
      </c>
      <c r="B1272" s="29" t="s">
        <v>310</v>
      </c>
      <c r="C1272" s="49" t="s">
        <v>303</v>
      </c>
      <c r="D1272" s="50" t="n">
        <v>0.06</v>
      </c>
      <c r="E1272" s="51" t="n">
        <f aca="false">'Analisa Harga Satuan'!$F$57</f>
        <v>470250</v>
      </c>
      <c r="F1272" s="52" t="n">
        <f aca="false">ROUND(D1272*E1272,0)</f>
        <v>28215</v>
      </c>
      <c r="G1272" s="49" t="s">
        <v>311</v>
      </c>
      <c r="H1272" s="53" t="s">
        <v>305</v>
      </c>
    </row>
    <row r="1273" customFormat="false" ht="15" hidden="false" customHeight="false" outlineLevel="0" collapsed="false">
      <c r="A1273" s="49" t="s">
        <v>141</v>
      </c>
      <c r="B1273" s="29" t="s">
        <v>323</v>
      </c>
      <c r="C1273" s="49" t="s">
        <v>303</v>
      </c>
      <c r="D1273" s="50" t="n">
        <v>0.06</v>
      </c>
      <c r="E1273" s="51" t="n">
        <f aca="false">'Analisa Harga Satuan'!$F$228</f>
        <v>1386820</v>
      </c>
      <c r="F1273" s="52" t="n">
        <f aca="false">ROUND(D1273*E1273,0)</f>
        <v>83209</v>
      </c>
      <c r="G1273" s="49" t="s">
        <v>324</v>
      </c>
      <c r="H1273" s="53" t="s">
        <v>305</v>
      </c>
    </row>
    <row r="1274" customFormat="false" ht="15" hidden="false" customHeight="false" outlineLevel="0" collapsed="false">
      <c r="A1274" s="49" t="s">
        <v>143</v>
      </c>
      <c r="B1274" s="29" t="s">
        <v>355</v>
      </c>
      <c r="C1274" s="49" t="s">
        <v>303</v>
      </c>
      <c r="D1274" s="50" t="n">
        <v>2.18</v>
      </c>
      <c r="E1274" s="51" t="n">
        <f aca="false">'Analisa Harga Satuan'!$F$272</f>
        <v>1747048</v>
      </c>
      <c r="F1274" s="52" t="n">
        <f aca="false">ROUND(D1274*E1274,0)</f>
        <v>3808565</v>
      </c>
      <c r="G1274" s="49" t="s">
        <v>351</v>
      </c>
      <c r="H1274" s="53" t="s">
        <v>305</v>
      </c>
    </row>
    <row r="1275" customFormat="false" ht="15" hidden="false" customHeight="false" outlineLevel="0" collapsed="false">
      <c r="A1275" s="49" t="s">
        <v>145</v>
      </c>
      <c r="B1275" s="29" t="s">
        <v>327</v>
      </c>
      <c r="C1275" s="49" t="s">
        <v>328</v>
      </c>
      <c r="D1275" s="50" t="n">
        <v>439.85</v>
      </c>
      <c r="E1275" s="51" t="n">
        <f aca="false">'Analisa Harga Satuan'!$F$310</f>
        <v>23191</v>
      </c>
      <c r="F1275" s="52" t="n">
        <f aca="false">ROUND(D1275*E1275,0)</f>
        <v>10200561</v>
      </c>
      <c r="G1275" s="49" t="s">
        <v>329</v>
      </c>
      <c r="H1275" s="53" t="s">
        <v>305</v>
      </c>
    </row>
    <row r="1276" customFormat="false" ht="15" hidden="false" customHeight="false" outlineLevel="0" collapsed="false">
      <c r="A1276" s="49" t="s">
        <v>147</v>
      </c>
      <c r="B1276" s="29" t="s">
        <v>330</v>
      </c>
      <c r="C1276" s="49" t="s">
        <v>331</v>
      </c>
      <c r="D1276" s="50" t="n">
        <v>21.8</v>
      </c>
      <c r="E1276" s="51" t="n">
        <f aca="false">'Analisa Harga Satuan'!$F$330</f>
        <v>398959</v>
      </c>
      <c r="F1276" s="52" t="n">
        <f aca="false">ROUND(D1276*E1276,0)</f>
        <v>8697306</v>
      </c>
      <c r="G1276" s="49" t="s">
        <v>332</v>
      </c>
      <c r="H1276" s="53" t="s">
        <v>305</v>
      </c>
    </row>
    <row r="1277" customFormat="false" ht="15" hidden="false" customHeight="false" outlineLevel="0" collapsed="false">
      <c r="A1277" s="60" t="s">
        <v>1179</v>
      </c>
      <c r="B1277" s="61" t="s">
        <v>1180</v>
      </c>
    </row>
    <row r="1278" customFormat="false" ht="15" hidden="false" customHeight="false" outlineLevel="0" collapsed="false">
      <c r="A1278" s="60" t="s">
        <v>78</v>
      </c>
      <c r="B1278" s="61" t="s">
        <v>1181</v>
      </c>
    </row>
    <row r="1279" customFormat="false" ht="15" hidden="false" customHeight="false" outlineLevel="0" collapsed="false">
      <c r="A1279" s="49" t="s">
        <v>139</v>
      </c>
      <c r="B1279" s="29" t="s">
        <v>310</v>
      </c>
      <c r="C1279" s="49" t="s">
        <v>303</v>
      </c>
      <c r="D1279" s="50" t="n">
        <v>2.62</v>
      </c>
      <c r="E1279" s="51" t="n">
        <f aca="false">'Analisa Harga Satuan'!$F$57</f>
        <v>470250</v>
      </c>
      <c r="F1279" s="52" t="n">
        <f aca="false">ROUND(D1279*E1279,0)</f>
        <v>1232055</v>
      </c>
      <c r="G1279" s="49" t="s">
        <v>311</v>
      </c>
      <c r="H1279" s="53" t="s">
        <v>305</v>
      </c>
    </row>
    <row r="1280" customFormat="false" ht="15" hidden="false" customHeight="false" outlineLevel="0" collapsed="false">
      <c r="A1280" s="49" t="s">
        <v>139</v>
      </c>
      <c r="B1280" s="29" t="s">
        <v>1182</v>
      </c>
      <c r="C1280" s="49" t="s">
        <v>303</v>
      </c>
      <c r="D1280" s="50" t="n">
        <v>6.98</v>
      </c>
      <c r="E1280" s="51" t="n">
        <f aca="false">'Analisa Harga Satuan'!$F$228</f>
        <v>1386820</v>
      </c>
      <c r="F1280" s="52" t="n">
        <f aca="false">ROUND(D1280*E1280,0)</f>
        <v>9680004</v>
      </c>
      <c r="G1280" s="49" t="s">
        <v>324</v>
      </c>
      <c r="H1280" s="53" t="s">
        <v>305</v>
      </c>
    </row>
    <row r="1281" customFormat="false" ht="15" hidden="false" customHeight="false" outlineLevel="0" collapsed="false">
      <c r="A1281" s="60" t="s">
        <v>93</v>
      </c>
      <c r="B1281" s="61" t="s">
        <v>1183</v>
      </c>
    </row>
    <row r="1282" customFormat="false" ht="15" hidden="false" customHeight="false" outlineLevel="0" collapsed="false">
      <c r="A1282" s="49" t="s">
        <v>139</v>
      </c>
      <c r="B1282" s="29" t="s">
        <v>310</v>
      </c>
      <c r="C1282" s="49" t="s">
        <v>303</v>
      </c>
      <c r="D1282" s="50" t="n">
        <v>0.92</v>
      </c>
      <c r="E1282" s="51" t="n">
        <f aca="false">'Analisa Harga Satuan'!$F$57</f>
        <v>470250</v>
      </c>
      <c r="F1282" s="52" t="n">
        <f aca="false">ROUND(D1282*E1282,0)</f>
        <v>432630</v>
      </c>
      <c r="G1282" s="49" t="s">
        <v>311</v>
      </c>
      <c r="H1282" s="53" t="s">
        <v>305</v>
      </c>
    </row>
    <row r="1283" customFormat="false" ht="15" hidden="false" customHeight="false" outlineLevel="0" collapsed="false">
      <c r="A1283" s="49" t="s">
        <v>141</v>
      </c>
      <c r="B1283" s="29" t="s">
        <v>323</v>
      </c>
      <c r="C1283" s="49" t="s">
        <v>303</v>
      </c>
      <c r="D1283" s="50" t="n">
        <v>0.92</v>
      </c>
      <c r="E1283" s="51" t="n">
        <f aca="false">'Analisa Harga Satuan'!$F$228</f>
        <v>1386820</v>
      </c>
      <c r="F1283" s="52" t="n">
        <f aca="false">ROUND(D1283*E1283,0)</f>
        <v>1275874</v>
      </c>
      <c r="G1283" s="49" t="s">
        <v>324</v>
      </c>
      <c r="H1283" s="53" t="s">
        <v>305</v>
      </c>
    </row>
    <row r="1284" customFormat="false" ht="15" hidden="false" customHeight="false" outlineLevel="0" collapsed="false">
      <c r="A1284" s="60" t="s">
        <v>102</v>
      </c>
      <c r="B1284" s="61" t="s">
        <v>1184</v>
      </c>
    </row>
    <row r="1285" customFormat="false" ht="15" hidden="false" customHeight="false" outlineLevel="0" collapsed="false">
      <c r="A1285" s="49" t="s">
        <v>139</v>
      </c>
      <c r="B1285" s="29" t="s">
        <v>310</v>
      </c>
      <c r="C1285" s="49" t="s">
        <v>303</v>
      </c>
      <c r="D1285" s="50" t="n">
        <v>28.96</v>
      </c>
      <c r="E1285" s="51" t="n">
        <f aca="false">'Analisa Harga Satuan'!$F$57</f>
        <v>470250</v>
      </c>
      <c r="F1285" s="52" t="n">
        <f aca="false">ROUND(D1285*E1285,0)</f>
        <v>13618440</v>
      </c>
      <c r="G1285" s="49" t="s">
        <v>311</v>
      </c>
      <c r="H1285" s="53" t="s">
        <v>305</v>
      </c>
    </row>
    <row r="1286" customFormat="false" ht="15" hidden="false" customHeight="false" outlineLevel="0" collapsed="false">
      <c r="A1286" s="49" t="s">
        <v>141</v>
      </c>
      <c r="B1286" s="29" t="s">
        <v>323</v>
      </c>
      <c r="C1286" s="49" t="s">
        <v>303</v>
      </c>
      <c r="D1286" s="50" t="n">
        <v>28.96</v>
      </c>
      <c r="E1286" s="51" t="n">
        <f aca="false">'Analisa Harga Satuan'!$F$228</f>
        <v>1386820</v>
      </c>
      <c r="F1286" s="52" t="n">
        <f aca="false">ROUND(D1286*E1286,0)</f>
        <v>40162307</v>
      </c>
      <c r="G1286" s="49" t="s">
        <v>324</v>
      </c>
      <c r="H1286" s="53" t="s">
        <v>305</v>
      </c>
    </row>
    <row r="1287" customFormat="false" ht="15" hidden="false" customHeight="false" outlineLevel="0" collapsed="false">
      <c r="A1287" s="49" t="s">
        <v>143</v>
      </c>
      <c r="B1287" s="29" t="s">
        <v>355</v>
      </c>
      <c r="C1287" s="49" t="s">
        <v>303</v>
      </c>
      <c r="D1287" s="50" t="n">
        <v>76.54</v>
      </c>
      <c r="E1287" s="51" t="n">
        <f aca="false">'Analisa Harga Satuan'!$F$272</f>
        <v>1747048</v>
      </c>
      <c r="F1287" s="52" t="n">
        <f aca="false">ROUND(D1287*E1287,0)</f>
        <v>133719054</v>
      </c>
      <c r="G1287" s="49" t="s">
        <v>351</v>
      </c>
      <c r="H1287" s="53" t="s">
        <v>305</v>
      </c>
    </row>
    <row r="1288" customFormat="false" ht="15" hidden="false" customHeight="false" outlineLevel="0" collapsed="false">
      <c r="A1288" s="49" t="s">
        <v>145</v>
      </c>
      <c r="B1288" s="29" t="s">
        <v>1000</v>
      </c>
      <c r="C1288" s="49" t="s">
        <v>328</v>
      </c>
      <c r="D1288" s="50" t="n">
        <v>7793.98</v>
      </c>
      <c r="E1288" s="51" t="n">
        <f aca="false">'Analisa Harga Satuan'!$F$344</f>
        <v>26098</v>
      </c>
      <c r="F1288" s="52" t="n">
        <f aca="false">ROUND(D1288*E1288,0)</f>
        <v>203407290</v>
      </c>
      <c r="G1288" s="49" t="s">
        <v>1001</v>
      </c>
      <c r="H1288" s="53" t="s">
        <v>305</v>
      </c>
    </row>
    <row r="1289" customFormat="false" ht="15" hidden="false" customHeight="false" outlineLevel="0" collapsed="false">
      <c r="A1289" s="60" t="s">
        <v>111</v>
      </c>
      <c r="B1289" s="61" t="s">
        <v>1185</v>
      </c>
    </row>
    <row r="1290" customFormat="false" ht="15" hidden="false" customHeight="false" outlineLevel="0" collapsed="false">
      <c r="A1290" s="49" t="s">
        <v>139</v>
      </c>
      <c r="B1290" s="29" t="s">
        <v>355</v>
      </c>
      <c r="C1290" s="49" t="s">
        <v>303</v>
      </c>
      <c r="D1290" s="50" t="n">
        <v>13.82</v>
      </c>
      <c r="E1290" s="51" t="n">
        <f aca="false">'Analisa Harga Satuan'!$F$272</f>
        <v>1747048</v>
      </c>
      <c r="F1290" s="52" t="n">
        <f aca="false">ROUND(D1290*E1290,0)</f>
        <v>24144203</v>
      </c>
      <c r="G1290" s="49" t="s">
        <v>351</v>
      </c>
      <c r="H1290" s="53" t="s">
        <v>305</v>
      </c>
    </row>
    <row r="1291" customFormat="false" ht="15" hidden="false" customHeight="false" outlineLevel="0" collapsed="false">
      <c r="A1291" s="49" t="s">
        <v>141</v>
      </c>
      <c r="B1291" s="29" t="s">
        <v>327</v>
      </c>
      <c r="C1291" s="49" t="s">
        <v>328</v>
      </c>
      <c r="D1291" s="50" t="n">
        <v>2487.46</v>
      </c>
      <c r="E1291" s="51" t="n">
        <f aca="false">'Analisa Harga Satuan'!$F$310</f>
        <v>23191</v>
      </c>
      <c r="F1291" s="52" t="n">
        <f aca="false">ROUND(D1291*E1291,0)</f>
        <v>57686685</v>
      </c>
      <c r="G1291" s="49" t="s">
        <v>329</v>
      </c>
      <c r="H1291" s="53" t="s">
        <v>305</v>
      </c>
    </row>
    <row r="1292" customFormat="false" ht="15" hidden="false" customHeight="false" outlineLevel="0" collapsed="false">
      <c r="A1292" s="49" t="s">
        <v>143</v>
      </c>
      <c r="B1292" s="29" t="s">
        <v>330</v>
      </c>
      <c r="C1292" s="49" t="s">
        <v>331</v>
      </c>
      <c r="D1292" s="50" t="n">
        <v>138.2</v>
      </c>
      <c r="E1292" s="51" t="n">
        <f aca="false">'Analisa Harga Satuan'!$F$330</f>
        <v>398959</v>
      </c>
      <c r="F1292" s="52" t="n">
        <f aca="false">ROUND(D1292*E1292,0)</f>
        <v>55136134</v>
      </c>
      <c r="G1292" s="49" t="s">
        <v>332</v>
      </c>
      <c r="H1292" s="53" t="s">
        <v>305</v>
      </c>
    </row>
    <row r="1293" customFormat="false" ht="15" hidden="false" customHeight="false" outlineLevel="0" collapsed="false">
      <c r="A1293" s="60" t="s">
        <v>119</v>
      </c>
      <c r="B1293" s="61" t="s">
        <v>1186</v>
      </c>
    </row>
    <row r="1294" customFormat="false" ht="15" hidden="false" customHeight="false" outlineLevel="0" collapsed="false">
      <c r="A1294" s="49" t="s">
        <v>139</v>
      </c>
      <c r="B1294" s="29" t="s">
        <v>355</v>
      </c>
      <c r="C1294" s="49" t="s">
        <v>303</v>
      </c>
      <c r="D1294" s="50" t="n">
        <v>1.77</v>
      </c>
      <c r="E1294" s="51" t="n">
        <f aca="false">'Analisa Harga Satuan'!$F$272</f>
        <v>1747048</v>
      </c>
      <c r="F1294" s="52" t="n">
        <f aca="false">ROUND(D1294*E1294,0)</f>
        <v>3092275</v>
      </c>
      <c r="G1294" s="49" t="s">
        <v>351</v>
      </c>
      <c r="H1294" s="53" t="s">
        <v>305</v>
      </c>
    </row>
    <row r="1295" customFormat="false" ht="15" hidden="false" customHeight="false" outlineLevel="0" collapsed="false">
      <c r="A1295" s="49" t="s">
        <v>141</v>
      </c>
      <c r="B1295" s="29" t="s">
        <v>327</v>
      </c>
      <c r="C1295" s="49" t="s">
        <v>328</v>
      </c>
      <c r="D1295" s="50" t="n">
        <v>534.41</v>
      </c>
      <c r="E1295" s="51" t="n">
        <f aca="false">'Analisa Harga Satuan'!$F$310</f>
        <v>23191</v>
      </c>
      <c r="F1295" s="52" t="n">
        <f aca="false">ROUND(D1295*E1295,0)</f>
        <v>12393502</v>
      </c>
      <c r="G1295" s="49" t="s">
        <v>329</v>
      </c>
      <c r="H1295" s="53" t="s">
        <v>305</v>
      </c>
    </row>
    <row r="1296" customFormat="false" ht="15" hidden="false" customHeight="false" outlineLevel="0" collapsed="false">
      <c r="A1296" s="49" t="s">
        <v>143</v>
      </c>
      <c r="B1296" s="29" t="s">
        <v>330</v>
      </c>
      <c r="C1296" s="49" t="s">
        <v>331</v>
      </c>
      <c r="D1296" s="50" t="n">
        <v>29.4</v>
      </c>
      <c r="E1296" s="51" t="n">
        <f aca="false">'Analisa Harga Satuan'!$F$330</f>
        <v>398959</v>
      </c>
      <c r="F1296" s="52" t="n">
        <f aca="false">ROUND(D1296*E1296,0)</f>
        <v>11729395</v>
      </c>
      <c r="G1296" s="49" t="s">
        <v>332</v>
      </c>
      <c r="H1296" s="53" t="s">
        <v>305</v>
      </c>
    </row>
    <row r="1297" customFormat="false" ht="15" hidden="false" customHeight="false" outlineLevel="0" collapsed="false">
      <c r="A1297" s="60" t="s">
        <v>127</v>
      </c>
      <c r="B1297" s="61" t="s">
        <v>1187</v>
      </c>
    </row>
    <row r="1298" customFormat="false" ht="15" hidden="false" customHeight="false" outlineLevel="0" collapsed="false">
      <c r="A1298" s="49" t="s">
        <v>139</v>
      </c>
      <c r="B1298" s="29" t="s">
        <v>355</v>
      </c>
      <c r="C1298" s="49" t="s">
        <v>303</v>
      </c>
      <c r="D1298" s="50" t="n">
        <v>20.56</v>
      </c>
      <c r="E1298" s="51" t="n">
        <f aca="false">'Analisa Harga Satuan'!$F$272</f>
        <v>1747048</v>
      </c>
      <c r="F1298" s="52" t="n">
        <f aca="false">ROUND(D1298*E1298,0)</f>
        <v>35919307</v>
      </c>
      <c r="G1298" s="49" t="s">
        <v>351</v>
      </c>
      <c r="H1298" s="53" t="s">
        <v>305</v>
      </c>
    </row>
    <row r="1299" customFormat="false" ht="15" hidden="false" customHeight="false" outlineLevel="0" collapsed="false">
      <c r="A1299" s="49" t="s">
        <v>141</v>
      </c>
      <c r="B1299" s="29" t="s">
        <v>327</v>
      </c>
      <c r="C1299" s="49" t="s">
        <v>328</v>
      </c>
      <c r="D1299" s="50" t="n">
        <v>3120.44</v>
      </c>
      <c r="E1299" s="51" t="n">
        <f aca="false">'Analisa Harga Satuan'!$F$310</f>
        <v>23191</v>
      </c>
      <c r="F1299" s="52" t="n">
        <f aca="false">ROUND(D1299*E1299,0)</f>
        <v>72366124</v>
      </c>
      <c r="G1299" s="49" t="s">
        <v>329</v>
      </c>
      <c r="H1299" s="53" t="s">
        <v>305</v>
      </c>
    </row>
    <row r="1300" customFormat="false" ht="15" hidden="false" customHeight="false" outlineLevel="0" collapsed="false">
      <c r="A1300" s="49" t="s">
        <v>143</v>
      </c>
      <c r="B1300" s="29" t="s">
        <v>330</v>
      </c>
      <c r="C1300" s="49" t="s">
        <v>331</v>
      </c>
      <c r="D1300" s="50" t="n">
        <v>185.04</v>
      </c>
      <c r="E1300" s="51" t="n">
        <f aca="false">'Analisa Harga Satuan'!$F$330</f>
        <v>398959</v>
      </c>
      <c r="F1300" s="52" t="n">
        <f aca="false">ROUND(D1300*E1300,0)</f>
        <v>73823373</v>
      </c>
      <c r="G1300" s="49" t="s">
        <v>332</v>
      </c>
      <c r="H1300" s="53" t="s">
        <v>305</v>
      </c>
    </row>
    <row r="1301" customFormat="false" ht="15" hidden="false" customHeight="false" outlineLevel="0" collapsed="false">
      <c r="A1301" s="60" t="s">
        <v>137</v>
      </c>
      <c r="B1301" s="61" t="s">
        <v>1188</v>
      </c>
    </row>
    <row r="1302" customFormat="false" ht="15" hidden="false" customHeight="false" outlineLevel="0" collapsed="false">
      <c r="A1302" s="49" t="s">
        <v>139</v>
      </c>
      <c r="B1302" s="29" t="s">
        <v>355</v>
      </c>
      <c r="C1302" s="49" t="s">
        <v>303</v>
      </c>
      <c r="D1302" s="50" t="n">
        <v>6.07</v>
      </c>
      <c r="E1302" s="51" t="n">
        <f aca="false">'Analisa Harga Satuan'!$F$272</f>
        <v>1747048</v>
      </c>
      <c r="F1302" s="52" t="n">
        <f aca="false">ROUND(D1302*E1302,0)</f>
        <v>10604581</v>
      </c>
      <c r="G1302" s="49" t="s">
        <v>351</v>
      </c>
      <c r="H1302" s="53" t="s">
        <v>305</v>
      </c>
    </row>
    <row r="1303" customFormat="false" ht="15" hidden="false" customHeight="false" outlineLevel="0" collapsed="false">
      <c r="A1303" s="49" t="s">
        <v>141</v>
      </c>
      <c r="B1303" s="29" t="s">
        <v>327</v>
      </c>
      <c r="C1303" s="49" t="s">
        <v>328</v>
      </c>
      <c r="D1303" s="50" t="n">
        <v>1169.85</v>
      </c>
      <c r="E1303" s="51" t="n">
        <f aca="false">'Analisa Harga Satuan'!$F$310</f>
        <v>23191</v>
      </c>
      <c r="F1303" s="52" t="n">
        <f aca="false">ROUND(D1303*E1303,0)</f>
        <v>27129991</v>
      </c>
      <c r="G1303" s="49" t="s">
        <v>329</v>
      </c>
      <c r="H1303" s="53" t="s">
        <v>305</v>
      </c>
    </row>
    <row r="1304" customFormat="false" ht="15" hidden="false" customHeight="false" outlineLevel="0" collapsed="false">
      <c r="A1304" s="49" t="s">
        <v>143</v>
      </c>
      <c r="B1304" s="29" t="s">
        <v>330</v>
      </c>
      <c r="C1304" s="49" t="s">
        <v>331</v>
      </c>
      <c r="D1304" s="50" t="n">
        <v>70.82</v>
      </c>
      <c r="E1304" s="51" t="n">
        <f aca="false">'Analisa Harga Satuan'!$F$330</f>
        <v>398959</v>
      </c>
      <c r="F1304" s="52" t="n">
        <f aca="false">ROUND(D1304*E1304,0)</f>
        <v>28254276</v>
      </c>
      <c r="G1304" s="49" t="s">
        <v>332</v>
      </c>
      <c r="H1304" s="53" t="s">
        <v>305</v>
      </c>
    </row>
    <row r="1305" customFormat="false" ht="15" hidden="false" customHeight="false" outlineLevel="0" collapsed="false">
      <c r="A1305" s="60" t="s">
        <v>364</v>
      </c>
      <c r="B1305" s="61" t="s">
        <v>1189</v>
      </c>
    </row>
    <row r="1306" customFormat="false" ht="15" hidden="false" customHeight="false" outlineLevel="0" collapsed="false">
      <c r="A1306" s="49" t="s">
        <v>139</v>
      </c>
      <c r="B1306" s="29" t="s">
        <v>355</v>
      </c>
      <c r="C1306" s="49" t="s">
        <v>303</v>
      </c>
      <c r="D1306" s="50" t="n">
        <v>0.47</v>
      </c>
      <c r="E1306" s="51" t="n">
        <f aca="false">'Analisa Harga Satuan'!$F$272</f>
        <v>1747048</v>
      </c>
      <c r="F1306" s="52" t="n">
        <f aca="false">ROUND(D1306*E1306,0)</f>
        <v>821113</v>
      </c>
      <c r="G1306" s="49" t="s">
        <v>351</v>
      </c>
      <c r="H1306" s="53" t="s">
        <v>305</v>
      </c>
    </row>
    <row r="1307" customFormat="false" ht="15" hidden="false" customHeight="false" outlineLevel="0" collapsed="false">
      <c r="A1307" s="49" t="s">
        <v>141</v>
      </c>
      <c r="B1307" s="29" t="s">
        <v>327</v>
      </c>
      <c r="C1307" s="49" t="s">
        <v>328</v>
      </c>
      <c r="D1307" s="50" t="n">
        <v>118.74</v>
      </c>
      <c r="E1307" s="51" t="n">
        <f aca="false">'Analisa Harga Satuan'!$F$310</f>
        <v>23191</v>
      </c>
      <c r="F1307" s="52" t="n">
        <f aca="false">ROUND(D1307*E1307,0)</f>
        <v>2753699</v>
      </c>
      <c r="G1307" s="49" t="s">
        <v>329</v>
      </c>
      <c r="H1307" s="53" t="s">
        <v>305</v>
      </c>
    </row>
    <row r="1308" customFormat="false" ht="15" hidden="false" customHeight="false" outlineLevel="0" collapsed="false">
      <c r="A1308" s="49" t="s">
        <v>143</v>
      </c>
      <c r="B1308" s="29" t="s">
        <v>330</v>
      </c>
      <c r="C1308" s="49" t="s">
        <v>331</v>
      </c>
      <c r="D1308" s="50" t="n">
        <v>6.27</v>
      </c>
      <c r="E1308" s="51" t="n">
        <f aca="false">'Analisa Harga Satuan'!$F$330</f>
        <v>398959</v>
      </c>
      <c r="F1308" s="52" t="n">
        <f aca="false">ROUND(D1308*E1308,0)</f>
        <v>2501473</v>
      </c>
      <c r="G1308" s="49" t="s">
        <v>332</v>
      </c>
      <c r="H1308" s="53" t="s">
        <v>305</v>
      </c>
    </row>
    <row r="1309" customFormat="false" ht="15" hidden="false" customHeight="false" outlineLevel="0" collapsed="false">
      <c r="A1309" s="60" t="s">
        <v>75</v>
      </c>
      <c r="B1309" s="61" t="s">
        <v>1190</v>
      </c>
    </row>
    <row r="1310" customFormat="false" ht="15" hidden="false" customHeight="false" outlineLevel="0" collapsed="false">
      <c r="A1310" s="49" t="s">
        <v>139</v>
      </c>
      <c r="B1310" s="29" t="s">
        <v>355</v>
      </c>
      <c r="C1310" s="49" t="s">
        <v>303</v>
      </c>
      <c r="D1310" s="50" t="n">
        <v>4.12</v>
      </c>
      <c r="E1310" s="51" t="n">
        <f aca="false">'Analisa Harga Satuan'!$F$272</f>
        <v>1747048</v>
      </c>
      <c r="F1310" s="52" t="n">
        <f aca="false">ROUND(D1310*E1310,0)</f>
        <v>7197838</v>
      </c>
      <c r="G1310" s="49" t="s">
        <v>351</v>
      </c>
      <c r="H1310" s="53" t="s">
        <v>305</v>
      </c>
    </row>
    <row r="1311" customFormat="false" ht="15" hidden="false" customHeight="false" outlineLevel="0" collapsed="false">
      <c r="A1311" s="49" t="s">
        <v>141</v>
      </c>
      <c r="B1311" s="29" t="s">
        <v>327</v>
      </c>
      <c r="C1311" s="49" t="s">
        <v>328</v>
      </c>
      <c r="D1311" s="50" t="n">
        <v>382.43</v>
      </c>
      <c r="E1311" s="51" t="n">
        <f aca="false">'Analisa Harga Satuan'!$F$310</f>
        <v>23191</v>
      </c>
      <c r="F1311" s="52" t="n">
        <f aca="false">ROUND(D1311*E1311,0)</f>
        <v>8868934</v>
      </c>
      <c r="G1311" s="49" t="s">
        <v>329</v>
      </c>
      <c r="H1311" s="53" t="s">
        <v>305</v>
      </c>
    </row>
    <row r="1312" customFormat="false" ht="15" hidden="false" customHeight="false" outlineLevel="0" collapsed="false">
      <c r="A1312" s="49" t="s">
        <v>143</v>
      </c>
      <c r="B1312" s="29" t="s">
        <v>330</v>
      </c>
      <c r="C1312" s="49" t="s">
        <v>331</v>
      </c>
      <c r="D1312" s="50" t="n">
        <v>82.34</v>
      </c>
      <c r="E1312" s="51" t="n">
        <f aca="false">'Analisa Harga Satuan'!$F$330</f>
        <v>398959</v>
      </c>
      <c r="F1312" s="52" t="n">
        <f aca="false">ROUND(D1312*E1312,0)</f>
        <v>32850284</v>
      </c>
      <c r="G1312" s="49" t="s">
        <v>332</v>
      </c>
      <c r="H1312" s="53" t="s">
        <v>305</v>
      </c>
    </row>
    <row r="1313" customFormat="false" ht="15" hidden="false" customHeight="false" outlineLevel="0" collapsed="false">
      <c r="A1313" s="60" t="s">
        <v>380</v>
      </c>
      <c r="B1313" s="61" t="s">
        <v>1191</v>
      </c>
    </row>
    <row r="1314" customFormat="false" ht="15" hidden="false" customHeight="false" outlineLevel="0" collapsed="false">
      <c r="A1314" s="49" t="s">
        <v>139</v>
      </c>
      <c r="B1314" s="29" t="s">
        <v>355</v>
      </c>
      <c r="C1314" s="49" t="s">
        <v>303</v>
      </c>
      <c r="D1314" s="50" t="n">
        <v>7.21</v>
      </c>
      <c r="E1314" s="51" t="n">
        <f aca="false">'Analisa Harga Satuan'!$F$272</f>
        <v>1747048</v>
      </c>
      <c r="F1314" s="52" t="n">
        <f aca="false">ROUND(D1314*E1314,0)</f>
        <v>12596216</v>
      </c>
      <c r="G1314" s="49" t="s">
        <v>351</v>
      </c>
      <c r="H1314" s="53" t="s">
        <v>305</v>
      </c>
    </row>
    <row r="1315" customFormat="false" ht="15" hidden="false" customHeight="false" outlineLevel="0" collapsed="false">
      <c r="A1315" s="49" t="s">
        <v>141</v>
      </c>
      <c r="B1315" s="29" t="s">
        <v>327</v>
      </c>
      <c r="C1315" s="49" t="s">
        <v>328</v>
      </c>
      <c r="D1315" s="50" t="n">
        <v>1830.19</v>
      </c>
      <c r="E1315" s="51" t="n">
        <f aca="false">'Analisa Harga Satuan'!$F$310</f>
        <v>23191</v>
      </c>
      <c r="F1315" s="52" t="n">
        <f aca="false">ROUND(D1315*E1315,0)</f>
        <v>42443936</v>
      </c>
      <c r="G1315" s="49" t="s">
        <v>329</v>
      </c>
      <c r="H1315" s="53" t="s">
        <v>305</v>
      </c>
    </row>
    <row r="1316" customFormat="false" ht="15" hidden="false" customHeight="false" outlineLevel="0" collapsed="false">
      <c r="A1316" s="49" t="s">
        <v>143</v>
      </c>
      <c r="B1316" s="29" t="s">
        <v>330</v>
      </c>
      <c r="C1316" s="49" t="s">
        <v>331</v>
      </c>
      <c r="D1316" s="50" t="n">
        <v>60.08</v>
      </c>
      <c r="E1316" s="51" t="n">
        <f aca="false">'Analisa Harga Satuan'!$F$330</f>
        <v>398959</v>
      </c>
      <c r="F1316" s="52" t="n">
        <f aca="false">ROUND(D1316*E1316,0)</f>
        <v>23969457</v>
      </c>
      <c r="G1316" s="49" t="s">
        <v>332</v>
      </c>
      <c r="H1316" s="53" t="s">
        <v>305</v>
      </c>
    </row>
    <row r="1317" customFormat="false" ht="15" hidden="false" customHeight="false" outlineLevel="0" collapsed="false">
      <c r="A1317" s="60" t="s">
        <v>381</v>
      </c>
      <c r="B1317" s="61" t="s">
        <v>365</v>
      </c>
    </row>
    <row r="1318" customFormat="false" ht="15" hidden="false" customHeight="false" outlineLevel="0" collapsed="false">
      <c r="A1318" s="49" t="s">
        <v>139</v>
      </c>
      <c r="B1318" s="29" t="s">
        <v>366</v>
      </c>
      <c r="C1318" s="49" t="s">
        <v>367</v>
      </c>
      <c r="D1318" s="50" t="n">
        <v>232.89</v>
      </c>
      <c r="E1318" s="51" t="n">
        <f aca="false">'Analisa Harga Satuan'!$F$355</f>
        <v>246954</v>
      </c>
      <c r="F1318" s="52" t="n">
        <f aca="false">ROUND(D1318*E1318,0)</f>
        <v>57513117</v>
      </c>
      <c r="G1318" s="49" t="s">
        <v>368</v>
      </c>
      <c r="H1318" s="53" t="s">
        <v>305</v>
      </c>
    </row>
    <row r="1319" customFormat="false" ht="25.5" hidden="false" customHeight="true" outlineLevel="0" collapsed="false">
      <c r="A1319" s="49" t="s">
        <v>141</v>
      </c>
      <c r="B1319" s="29" t="s">
        <v>369</v>
      </c>
      <c r="C1319" s="49" t="s">
        <v>367</v>
      </c>
      <c r="D1319" s="50" t="n">
        <v>106.22</v>
      </c>
      <c r="E1319" s="51" t="n">
        <f aca="false">'Analisa Harga Satuan'!$F$366</f>
        <v>238292</v>
      </c>
      <c r="F1319" s="52" t="n">
        <f aca="false">ROUND(D1319*E1319,0)</f>
        <v>25311376</v>
      </c>
      <c r="G1319" s="49" t="s">
        <v>370</v>
      </c>
      <c r="H1319" s="53" t="s">
        <v>305</v>
      </c>
    </row>
    <row r="1320" customFormat="false" ht="15" hidden="false" customHeight="false" outlineLevel="0" collapsed="false">
      <c r="A1320" s="55"/>
      <c r="B1320" s="56" t="s">
        <v>1192</v>
      </c>
      <c r="C1320" s="55"/>
      <c r="D1320" s="55"/>
      <c r="E1320" s="55"/>
      <c r="F1320" s="27" t="n">
        <f aca="false">SUM(F1244:F1319)</f>
        <v>1756129526</v>
      </c>
      <c r="G1320" s="55"/>
      <c r="H1320" s="55"/>
    </row>
    <row r="1321" customFormat="false" ht="15" hidden="false" customHeight="false" outlineLevel="0" collapsed="false">
      <c r="A1321" s="46" t="s">
        <v>84</v>
      </c>
      <c r="B1321" s="47" t="s">
        <v>115</v>
      </c>
      <c r="C1321" s="48"/>
      <c r="D1321" s="48"/>
      <c r="E1321" s="48"/>
      <c r="F1321" s="48"/>
      <c r="G1321" s="48"/>
      <c r="H1321" s="48"/>
    </row>
    <row r="1322" customFormat="false" ht="15" hidden="false" customHeight="false" outlineLevel="0" collapsed="false">
      <c r="A1322" s="60" t="s">
        <v>1193</v>
      </c>
      <c r="B1322" s="61" t="s">
        <v>393</v>
      </c>
    </row>
    <row r="1323" customFormat="false" ht="15" hidden="false" customHeight="false" outlineLevel="0" collapsed="false">
      <c r="A1323" s="60" t="s">
        <v>78</v>
      </c>
      <c r="B1323" s="61" t="s">
        <v>394</v>
      </c>
    </row>
    <row r="1324" customFormat="false" ht="15" hidden="false" customHeight="false" outlineLevel="0" collapsed="false">
      <c r="A1324" s="49" t="s">
        <v>139</v>
      </c>
      <c r="B1324" s="29" t="s">
        <v>395</v>
      </c>
      <c r="C1324" s="49" t="s">
        <v>331</v>
      </c>
      <c r="D1324" s="50" t="n">
        <v>716.6</v>
      </c>
      <c r="E1324" s="51" t="n">
        <f aca="false">'Analisa Harga Satuan'!$F$416</f>
        <v>265023</v>
      </c>
      <c r="F1324" s="52" t="n">
        <f aca="false">ROUND(D1324*E1324,0)</f>
        <v>189915482</v>
      </c>
      <c r="G1324" s="49" t="s">
        <v>396</v>
      </c>
      <c r="H1324" s="53" t="s">
        <v>305</v>
      </c>
    </row>
    <row r="1325" customFormat="false" ht="15" hidden="false" customHeight="false" outlineLevel="0" collapsed="false">
      <c r="A1325" s="49" t="s">
        <v>141</v>
      </c>
      <c r="B1325" s="29" t="s">
        <v>397</v>
      </c>
      <c r="C1325" s="49" t="s">
        <v>328</v>
      </c>
      <c r="D1325" s="50" t="n">
        <v>168.92</v>
      </c>
      <c r="E1325" s="51" t="n">
        <f aca="false">'Analisa Harga Satuan'!$F$310</f>
        <v>23191</v>
      </c>
      <c r="F1325" s="52" t="n">
        <f aca="false">ROUND(D1325*E1325,0)</f>
        <v>3917424</v>
      </c>
      <c r="G1325" s="49" t="s">
        <v>329</v>
      </c>
      <c r="H1325" s="53" t="s">
        <v>305</v>
      </c>
    </row>
    <row r="1326" customFormat="false" ht="15" hidden="false" customHeight="false" outlineLevel="0" collapsed="false">
      <c r="A1326" s="49" t="s">
        <v>143</v>
      </c>
      <c r="B1326" s="29" t="s">
        <v>398</v>
      </c>
      <c r="C1326" s="49" t="s">
        <v>331</v>
      </c>
      <c r="D1326" s="50" t="n">
        <v>1433.2</v>
      </c>
      <c r="E1326" s="51" t="n">
        <f aca="false">'Analisa Harga Satuan'!$F$432</f>
        <v>103703</v>
      </c>
      <c r="F1326" s="52" t="n">
        <f aca="false">ROUND(D1326*E1326,0)</f>
        <v>148627140</v>
      </c>
      <c r="G1326" s="49" t="s">
        <v>399</v>
      </c>
      <c r="H1326" s="53" t="s">
        <v>305</v>
      </c>
    </row>
    <row r="1327" customFormat="false" ht="15" hidden="false" customHeight="false" outlineLevel="0" collapsed="false">
      <c r="A1327" s="49" t="s">
        <v>145</v>
      </c>
      <c r="B1327" s="29" t="s">
        <v>1194</v>
      </c>
      <c r="C1327" s="49" t="s">
        <v>331</v>
      </c>
      <c r="D1327" s="50" t="n">
        <v>27.91</v>
      </c>
      <c r="E1327" s="51" t="n">
        <f aca="false">'Analisa Harga Satuan'!$F$464</f>
        <v>67650</v>
      </c>
      <c r="F1327" s="52" t="n">
        <f aca="false">ROUND(D1327*E1327,0)</f>
        <v>1888112</v>
      </c>
      <c r="G1327" s="49" t="s">
        <v>1195</v>
      </c>
      <c r="H1327" s="53" t="s">
        <v>305</v>
      </c>
    </row>
    <row r="1328" customFormat="false" ht="15" hidden="false" customHeight="false" outlineLevel="0" collapsed="false">
      <c r="A1328" s="49" t="s">
        <v>147</v>
      </c>
      <c r="B1328" s="29" t="s">
        <v>400</v>
      </c>
      <c r="C1328" s="49" t="s">
        <v>331</v>
      </c>
      <c r="D1328" s="50" t="n">
        <v>47.55</v>
      </c>
      <c r="E1328" s="51" t="n">
        <f aca="false">'Analisa Harga Satuan'!$F$448</f>
        <v>107987</v>
      </c>
      <c r="F1328" s="52" t="n">
        <f aca="false">ROUND(D1328*E1328,0)</f>
        <v>5134782</v>
      </c>
      <c r="G1328" s="49" t="s">
        <v>401</v>
      </c>
      <c r="H1328" s="53" t="s">
        <v>305</v>
      </c>
    </row>
    <row r="1329" customFormat="false" ht="15" hidden="false" customHeight="false" outlineLevel="0" collapsed="false">
      <c r="A1329" s="49" t="s">
        <v>149</v>
      </c>
      <c r="B1329" s="29" t="s">
        <v>512</v>
      </c>
      <c r="C1329" s="49" t="s">
        <v>331</v>
      </c>
      <c r="D1329" s="50" t="n">
        <v>1433.2</v>
      </c>
      <c r="E1329" s="51" t="n">
        <f aca="false">'Analisa Harga Satuan'!$F$479</f>
        <v>58982</v>
      </c>
      <c r="F1329" s="52" t="n">
        <f aca="false">ROUND(D1329*E1329,0)</f>
        <v>84533002</v>
      </c>
      <c r="G1329" s="49" t="s">
        <v>403</v>
      </c>
      <c r="H1329" s="53" t="s">
        <v>305</v>
      </c>
    </row>
    <row r="1330" customFormat="false" ht="15" hidden="false" customHeight="false" outlineLevel="0" collapsed="false">
      <c r="A1330" s="49" t="s">
        <v>151</v>
      </c>
      <c r="B1330" s="29" t="s">
        <v>1196</v>
      </c>
      <c r="C1330" s="49" t="s">
        <v>331</v>
      </c>
      <c r="D1330" s="50" t="n">
        <v>239.39</v>
      </c>
      <c r="E1330" s="51" t="n">
        <f aca="false">'Analisa Harga Satuan'!$F$479</f>
        <v>58982</v>
      </c>
      <c r="F1330" s="52" t="n">
        <f aca="false">ROUND(D1330*E1330,0)</f>
        <v>14119701</v>
      </c>
      <c r="G1330" s="49" t="s">
        <v>403</v>
      </c>
      <c r="H1330" s="53" t="s">
        <v>305</v>
      </c>
    </row>
    <row r="1331" customFormat="false" ht="15" hidden="false" customHeight="false" outlineLevel="0" collapsed="false">
      <c r="A1331" s="49" t="s">
        <v>423</v>
      </c>
      <c r="B1331" s="29" t="s">
        <v>1022</v>
      </c>
      <c r="C1331" s="49" t="s">
        <v>331</v>
      </c>
      <c r="D1331" s="50" t="n">
        <v>140.18</v>
      </c>
      <c r="E1331" s="51" t="n">
        <f aca="false">'Analisa Harga Satuan'!$F$496</f>
        <v>448305</v>
      </c>
      <c r="F1331" s="52" t="n">
        <f aca="false">ROUND(D1331*E1331,0)</f>
        <v>62843395</v>
      </c>
      <c r="G1331" s="49" t="s">
        <v>1023</v>
      </c>
      <c r="H1331" s="53" t="s">
        <v>305</v>
      </c>
    </row>
    <row r="1332" customFormat="false" ht="15" hidden="false" customHeight="false" outlineLevel="0" collapsed="false">
      <c r="A1332" s="60" t="s">
        <v>1197</v>
      </c>
      <c r="B1332" s="61" t="s">
        <v>409</v>
      </c>
    </row>
    <row r="1333" customFormat="false" ht="25.5" hidden="false" customHeight="true" outlineLevel="0" collapsed="false">
      <c r="A1333" s="49" t="s">
        <v>139</v>
      </c>
      <c r="B1333" s="29" t="s">
        <v>410</v>
      </c>
      <c r="C1333" s="49" t="s">
        <v>331</v>
      </c>
      <c r="D1333" s="50" t="n">
        <v>275.55</v>
      </c>
      <c r="E1333" s="51" t="n">
        <f aca="false">'Analisa Harga Satuan'!$H$842</f>
        <v>715000</v>
      </c>
      <c r="F1333" s="52" t="n">
        <f aca="false">ROUND(D1333*E1333,0)</f>
        <v>197018250</v>
      </c>
      <c r="G1333" s="49" t="s">
        <v>411</v>
      </c>
      <c r="H1333" s="53" t="s">
        <v>181</v>
      </c>
    </row>
    <row r="1334" customFormat="false" ht="25.5" hidden="false" customHeight="true" outlineLevel="0" collapsed="false">
      <c r="A1334" s="49" t="s">
        <v>141</v>
      </c>
      <c r="B1334" s="29" t="s">
        <v>412</v>
      </c>
      <c r="C1334" s="49" t="s">
        <v>331</v>
      </c>
      <c r="D1334" s="50" t="n">
        <v>81.5</v>
      </c>
      <c r="E1334" s="51" t="n">
        <f aca="false">'Analisa Harga Satuan'!$H$842</f>
        <v>715000</v>
      </c>
      <c r="F1334" s="52" t="n">
        <f aca="false">ROUND(D1334*E1334,0)</f>
        <v>58272500</v>
      </c>
      <c r="G1334" s="49" t="s">
        <v>411</v>
      </c>
      <c r="H1334" s="53" t="s">
        <v>181</v>
      </c>
    </row>
    <row r="1335" customFormat="false" ht="15" hidden="false" customHeight="false" outlineLevel="0" collapsed="false">
      <c r="A1335" s="49" t="s">
        <v>143</v>
      </c>
      <c r="B1335" s="29" t="s">
        <v>1198</v>
      </c>
      <c r="C1335" s="49" t="s">
        <v>331</v>
      </c>
      <c r="D1335" s="50" t="n">
        <v>28.75</v>
      </c>
      <c r="E1335" s="51" t="n">
        <f aca="false">'Analisa Harga Satuan'!$H$1075</f>
        <v>852500</v>
      </c>
      <c r="F1335" s="52" t="n">
        <f aca="false">ROUND(D1335*E1335,0)</f>
        <v>24509375</v>
      </c>
      <c r="G1335" s="49" t="s">
        <v>1199</v>
      </c>
      <c r="H1335" s="53" t="s">
        <v>181</v>
      </c>
    </row>
    <row r="1336" customFormat="false" ht="15" hidden="false" customHeight="false" outlineLevel="0" collapsed="false">
      <c r="A1336" s="49" t="s">
        <v>145</v>
      </c>
      <c r="B1336" s="29" t="s">
        <v>1200</v>
      </c>
      <c r="C1336" s="49" t="s">
        <v>183</v>
      </c>
      <c r="D1336" s="50" t="n">
        <v>1</v>
      </c>
      <c r="E1336" s="51" t="n">
        <f aca="false">'Analisa Harga Satuan'!$H$1076</f>
        <v>9350000</v>
      </c>
      <c r="F1336" s="52" t="n">
        <f aca="false">ROUND(D1336*E1336,0)</f>
        <v>9350000</v>
      </c>
      <c r="G1336" s="49" t="s">
        <v>1201</v>
      </c>
      <c r="H1336" s="53" t="s">
        <v>181</v>
      </c>
    </row>
    <row r="1337" customFormat="false" ht="15" hidden="false" customHeight="false" outlineLevel="0" collapsed="false">
      <c r="A1337" s="49" t="s">
        <v>147</v>
      </c>
      <c r="B1337" s="29" t="s">
        <v>1202</v>
      </c>
      <c r="C1337" s="49" t="s">
        <v>183</v>
      </c>
      <c r="D1337" s="50" t="n">
        <v>2</v>
      </c>
      <c r="E1337" s="51" t="n">
        <f aca="false">'Analisa Harga Satuan'!$H$1077</f>
        <v>4950000</v>
      </c>
      <c r="F1337" s="52" t="n">
        <f aca="false">ROUND(D1337*E1337,0)</f>
        <v>9900000</v>
      </c>
      <c r="G1337" s="49" t="s">
        <v>1203</v>
      </c>
      <c r="H1337" s="53" t="s">
        <v>189</v>
      </c>
    </row>
    <row r="1338" customFormat="false" ht="15" hidden="false" customHeight="false" outlineLevel="0" collapsed="false">
      <c r="A1338" s="60" t="s">
        <v>1204</v>
      </c>
      <c r="B1338" s="61" t="s">
        <v>436</v>
      </c>
    </row>
    <row r="1339" customFormat="false" ht="15" hidden="false" customHeight="false" outlineLevel="0" collapsed="false">
      <c r="A1339" s="60" t="s">
        <v>78</v>
      </c>
      <c r="B1339" s="61" t="s">
        <v>394</v>
      </c>
    </row>
    <row r="1340" customFormat="false" ht="25.5" hidden="false" customHeight="true" outlineLevel="0" collapsed="false">
      <c r="A1340" s="49" t="s">
        <v>139</v>
      </c>
      <c r="B1340" s="29" t="s">
        <v>1205</v>
      </c>
      <c r="C1340" s="49" t="s">
        <v>331</v>
      </c>
      <c r="D1340" s="50" t="n">
        <v>534.54</v>
      </c>
      <c r="E1340" s="51" t="n">
        <f aca="false">'Analisa Harga Satuan'!$F$532</f>
        <v>513931</v>
      </c>
      <c r="F1340" s="52" t="n">
        <f aca="false">ROUND(D1340*E1340,0)</f>
        <v>274716677</v>
      </c>
      <c r="G1340" s="49" t="s">
        <v>440</v>
      </c>
      <c r="H1340" s="53" t="s">
        <v>305</v>
      </c>
    </row>
    <row r="1341" customFormat="false" ht="15" hidden="false" customHeight="false" outlineLevel="0" collapsed="false">
      <c r="A1341" s="49" t="s">
        <v>141</v>
      </c>
      <c r="B1341" s="29" t="s">
        <v>1206</v>
      </c>
      <c r="C1341" s="49" t="s">
        <v>331</v>
      </c>
      <c r="D1341" s="50" t="n">
        <v>138.78</v>
      </c>
      <c r="E1341" s="51" t="n">
        <f aca="false">'Analisa Harga Satuan'!$F$551</f>
        <v>467731</v>
      </c>
      <c r="F1341" s="52" t="n">
        <f aca="false">ROUND(D1341*E1341,0)</f>
        <v>64911708</v>
      </c>
      <c r="G1341" s="49" t="s">
        <v>442</v>
      </c>
      <c r="H1341" s="53" t="s">
        <v>305</v>
      </c>
    </row>
    <row r="1342" customFormat="false" ht="15" hidden="false" customHeight="false" outlineLevel="0" collapsed="false">
      <c r="A1342" s="49" t="s">
        <v>143</v>
      </c>
      <c r="B1342" s="29" t="s">
        <v>1207</v>
      </c>
      <c r="C1342" s="49" t="s">
        <v>331</v>
      </c>
      <c r="D1342" s="50" t="n">
        <v>30.91</v>
      </c>
      <c r="E1342" s="51" t="n">
        <f aca="false">'Analisa Harga Satuan'!$F$551</f>
        <v>467731</v>
      </c>
      <c r="F1342" s="52" t="n">
        <f aca="false">ROUND(D1342*E1342,0)</f>
        <v>14457565</v>
      </c>
      <c r="G1342" s="49" t="s">
        <v>442</v>
      </c>
      <c r="H1342" s="53" t="s">
        <v>305</v>
      </c>
    </row>
    <row r="1343" customFormat="false" ht="15" hidden="false" customHeight="false" outlineLevel="0" collapsed="false">
      <c r="A1343" s="49" t="s">
        <v>145</v>
      </c>
      <c r="B1343" s="29" t="s">
        <v>445</v>
      </c>
      <c r="C1343" s="49" t="s">
        <v>367</v>
      </c>
      <c r="D1343" s="50" t="n">
        <v>246.48</v>
      </c>
      <c r="E1343" s="51" t="n">
        <f aca="false">'Analisa Harga Satuan'!$F$586</f>
        <v>63745</v>
      </c>
      <c r="F1343" s="52" t="n">
        <f aca="false">ROUND(D1343*E1343,0)</f>
        <v>15711868</v>
      </c>
      <c r="G1343" s="49" t="s">
        <v>446</v>
      </c>
      <c r="H1343" s="53" t="s">
        <v>305</v>
      </c>
    </row>
    <row r="1344" customFormat="false" ht="15" hidden="false" customHeight="false" outlineLevel="0" collapsed="false">
      <c r="A1344" s="60" t="s">
        <v>1208</v>
      </c>
      <c r="B1344" s="61" t="s">
        <v>453</v>
      </c>
    </row>
    <row r="1345" customFormat="false" ht="25.5" hidden="false" customHeight="true" outlineLevel="0" collapsed="false">
      <c r="A1345" s="49" t="s">
        <v>139</v>
      </c>
      <c r="B1345" s="29" t="s">
        <v>1209</v>
      </c>
      <c r="C1345" s="49" t="s">
        <v>183</v>
      </c>
      <c r="D1345" s="50" t="n">
        <v>2</v>
      </c>
      <c r="E1345" s="51" t="n">
        <f aca="false">'Analisa Harga Satuan'!$H$852</f>
        <v>19602000</v>
      </c>
      <c r="F1345" s="52" t="n">
        <f aca="false">ROUND(D1345*E1345,0)</f>
        <v>39204000</v>
      </c>
      <c r="G1345" s="49" t="s">
        <v>455</v>
      </c>
      <c r="H1345" s="53" t="s">
        <v>189</v>
      </c>
    </row>
    <row r="1346" customFormat="false" ht="25.5" hidden="false" customHeight="true" outlineLevel="0" collapsed="false">
      <c r="A1346" s="49" t="s">
        <v>141</v>
      </c>
      <c r="B1346" s="29" t="s">
        <v>1210</v>
      </c>
      <c r="C1346" s="49" t="s">
        <v>183</v>
      </c>
      <c r="D1346" s="50" t="n">
        <v>4</v>
      </c>
      <c r="E1346" s="51" t="n">
        <f aca="false">'Analisa Harga Satuan'!$H$853</f>
        <v>17226000</v>
      </c>
      <c r="F1346" s="52" t="n">
        <f aca="false">ROUND(D1346*E1346,0)</f>
        <v>68904000</v>
      </c>
      <c r="G1346" s="49" t="s">
        <v>457</v>
      </c>
      <c r="H1346" s="53" t="s">
        <v>189</v>
      </c>
    </row>
    <row r="1347" customFormat="false" ht="15" hidden="false" customHeight="false" outlineLevel="0" collapsed="false">
      <c r="A1347" s="49" t="s">
        <v>143</v>
      </c>
      <c r="B1347" s="29" t="s">
        <v>460</v>
      </c>
      <c r="C1347" s="49" t="s">
        <v>183</v>
      </c>
      <c r="D1347" s="50" t="n">
        <v>2</v>
      </c>
      <c r="E1347" s="51" t="n">
        <f aca="false">'Analisa Harga Satuan'!$H$855</f>
        <v>5049000</v>
      </c>
      <c r="F1347" s="52" t="n">
        <f aca="false">ROUND(D1347*E1347,0)</f>
        <v>10098000</v>
      </c>
      <c r="G1347" s="49" t="s">
        <v>461</v>
      </c>
      <c r="H1347" s="53" t="s">
        <v>189</v>
      </c>
    </row>
    <row r="1348" customFormat="false" ht="15" hidden="false" customHeight="false" outlineLevel="0" collapsed="false">
      <c r="A1348" s="49" t="s">
        <v>145</v>
      </c>
      <c r="B1348" s="29" t="s">
        <v>462</v>
      </c>
      <c r="C1348" s="49" t="s">
        <v>183</v>
      </c>
      <c r="D1348" s="50" t="n">
        <v>3</v>
      </c>
      <c r="E1348" s="51" t="n">
        <f aca="false">'Analisa Harga Satuan'!$H$856</f>
        <v>4276800</v>
      </c>
      <c r="F1348" s="52" t="n">
        <f aca="false">ROUND(D1348*E1348,0)</f>
        <v>12830400</v>
      </c>
      <c r="G1348" s="49" t="s">
        <v>463</v>
      </c>
      <c r="H1348" s="53" t="s">
        <v>189</v>
      </c>
    </row>
    <row r="1349" customFormat="false" ht="15" hidden="false" customHeight="false" outlineLevel="0" collapsed="false">
      <c r="A1349" s="49" t="s">
        <v>147</v>
      </c>
      <c r="B1349" s="29" t="s">
        <v>1211</v>
      </c>
      <c r="C1349" s="49" t="s">
        <v>183</v>
      </c>
      <c r="D1349" s="50" t="n">
        <v>4</v>
      </c>
      <c r="E1349" s="51" t="n">
        <f aca="false">'Analisa Harga Satuan'!$H$1078</f>
        <v>3801600</v>
      </c>
      <c r="F1349" s="52" t="n">
        <f aca="false">ROUND(D1349*E1349,0)</f>
        <v>15206400</v>
      </c>
      <c r="G1349" s="49" t="s">
        <v>1212</v>
      </c>
      <c r="H1349" s="53" t="s">
        <v>189</v>
      </c>
    </row>
    <row r="1350" customFormat="false" ht="15" hidden="false" customHeight="false" outlineLevel="0" collapsed="false">
      <c r="A1350" s="49" t="s">
        <v>149</v>
      </c>
      <c r="B1350" s="29" t="s">
        <v>1213</v>
      </c>
      <c r="C1350" s="49" t="s">
        <v>183</v>
      </c>
      <c r="D1350" s="50" t="n">
        <v>1</v>
      </c>
      <c r="E1350" s="51" t="n">
        <f aca="false">'Analisa Harga Satuan'!$H$1078</f>
        <v>3801600</v>
      </c>
      <c r="F1350" s="52" t="n">
        <f aca="false">ROUND(D1350*E1350,0)</f>
        <v>3801600</v>
      </c>
      <c r="G1350" s="49" t="s">
        <v>1212</v>
      </c>
      <c r="H1350" s="53" t="s">
        <v>189</v>
      </c>
    </row>
    <row r="1351" customFormat="false" ht="15" hidden="false" customHeight="false" outlineLevel="0" collapsed="false">
      <c r="A1351" s="49" t="s">
        <v>151</v>
      </c>
      <c r="B1351" s="29" t="s">
        <v>1214</v>
      </c>
      <c r="C1351" s="49" t="s">
        <v>183</v>
      </c>
      <c r="D1351" s="50" t="n">
        <v>2</v>
      </c>
      <c r="E1351" s="51" t="n">
        <f aca="false">'Analisa Harga Satuan'!$H$1079</f>
        <v>11286000</v>
      </c>
      <c r="F1351" s="52" t="n">
        <f aca="false">ROUND(D1351*E1351,0)</f>
        <v>22572000</v>
      </c>
      <c r="G1351" s="49" t="s">
        <v>1215</v>
      </c>
      <c r="H1351" s="53" t="s">
        <v>189</v>
      </c>
    </row>
    <row r="1352" customFormat="false" ht="15" hidden="false" customHeight="false" outlineLevel="0" collapsed="false">
      <c r="A1352" s="49" t="s">
        <v>423</v>
      </c>
      <c r="B1352" s="29" t="s">
        <v>1216</v>
      </c>
      <c r="C1352" s="49" t="s">
        <v>183</v>
      </c>
      <c r="D1352" s="50" t="n">
        <v>2</v>
      </c>
      <c r="E1352" s="51" t="n">
        <f aca="false">'Analisa Harga Satuan'!$H$1079</f>
        <v>11286000</v>
      </c>
      <c r="F1352" s="52" t="n">
        <f aca="false">ROUND(D1352*E1352,0)</f>
        <v>22572000</v>
      </c>
      <c r="G1352" s="49" t="s">
        <v>1215</v>
      </c>
      <c r="H1352" s="53" t="s">
        <v>189</v>
      </c>
    </row>
    <row r="1353" customFormat="false" ht="15" hidden="false" customHeight="false" outlineLevel="0" collapsed="false">
      <c r="A1353" s="49" t="s">
        <v>208</v>
      </c>
      <c r="B1353" s="29" t="s">
        <v>470</v>
      </c>
      <c r="C1353" s="49" t="s">
        <v>183</v>
      </c>
      <c r="D1353" s="50" t="n">
        <v>8</v>
      </c>
      <c r="E1353" s="51" t="n">
        <f aca="false">'Analisa Harga Satuan'!$H$860</f>
        <v>3326400</v>
      </c>
      <c r="F1353" s="52" t="n">
        <f aca="false">ROUND(D1353*E1353,0)</f>
        <v>26611200</v>
      </c>
      <c r="G1353" s="49" t="s">
        <v>471</v>
      </c>
      <c r="H1353" s="53" t="s">
        <v>189</v>
      </c>
    </row>
    <row r="1354" customFormat="false" ht="15" hidden="false" customHeight="false" outlineLevel="0" collapsed="false">
      <c r="A1354" s="49" t="s">
        <v>217</v>
      </c>
      <c r="B1354" s="29" t="s">
        <v>1217</v>
      </c>
      <c r="C1354" s="49" t="s">
        <v>183</v>
      </c>
      <c r="D1354" s="50" t="n">
        <v>2</v>
      </c>
      <c r="E1354" s="51" t="n">
        <f aca="false">'Analisa Harga Satuan'!$H$861</f>
        <v>1009800</v>
      </c>
      <c r="F1354" s="52" t="n">
        <f aca="false">ROUND(D1354*E1354,0)</f>
        <v>2019600</v>
      </c>
      <c r="G1354" s="49" t="s">
        <v>473</v>
      </c>
      <c r="H1354" s="53" t="s">
        <v>189</v>
      </c>
    </row>
    <row r="1355" customFormat="false" ht="15" hidden="false" customHeight="false" outlineLevel="0" collapsed="false">
      <c r="A1355" s="60" t="s">
        <v>1218</v>
      </c>
      <c r="B1355" s="61" t="s">
        <v>479</v>
      </c>
    </row>
    <row r="1356" customFormat="false" ht="15" hidden="false" customHeight="false" outlineLevel="0" collapsed="false">
      <c r="A1356" s="60" t="s">
        <v>78</v>
      </c>
      <c r="B1356" s="61" t="s">
        <v>480</v>
      </c>
    </row>
    <row r="1357" customFormat="false" ht="15" hidden="false" customHeight="false" outlineLevel="0" collapsed="false">
      <c r="A1357" s="49" t="s">
        <v>139</v>
      </c>
      <c r="B1357" s="29" t="s">
        <v>481</v>
      </c>
      <c r="C1357" s="49" t="s">
        <v>331</v>
      </c>
      <c r="D1357" s="50" t="n">
        <v>751.27</v>
      </c>
      <c r="E1357" s="51" t="n">
        <f aca="false">'Analisa Harga Satuan'!$F$631</f>
        <v>113025</v>
      </c>
      <c r="F1357" s="52" t="n">
        <f aca="false">ROUND(D1357*E1357,0)</f>
        <v>84912292</v>
      </c>
      <c r="G1357" s="49" t="s">
        <v>482</v>
      </c>
      <c r="H1357" s="53" t="s">
        <v>305</v>
      </c>
    </row>
    <row r="1358" customFormat="false" ht="15" hidden="false" customHeight="false" outlineLevel="0" collapsed="false">
      <c r="A1358" s="49" t="s">
        <v>141</v>
      </c>
      <c r="B1358" s="29" t="s">
        <v>483</v>
      </c>
      <c r="C1358" s="49" t="s">
        <v>331</v>
      </c>
      <c r="D1358" s="50" t="n">
        <v>530.65</v>
      </c>
      <c r="E1358" s="51" t="n">
        <f aca="false">'Analisa Harga Satuan'!$F$647</f>
        <v>99605</v>
      </c>
      <c r="F1358" s="52" t="n">
        <f aca="false">ROUND(D1358*E1358,0)</f>
        <v>52855393</v>
      </c>
      <c r="G1358" s="49" t="s">
        <v>484</v>
      </c>
      <c r="H1358" s="53" t="s">
        <v>305</v>
      </c>
    </row>
    <row r="1359" customFormat="false" ht="15" hidden="false" customHeight="false" outlineLevel="0" collapsed="false">
      <c r="A1359" s="49" t="s">
        <v>143</v>
      </c>
      <c r="B1359" s="29" t="s">
        <v>485</v>
      </c>
      <c r="C1359" s="49" t="s">
        <v>331</v>
      </c>
      <c r="D1359" s="50" t="n">
        <v>220.62</v>
      </c>
      <c r="E1359" s="51" t="n">
        <f aca="false">'Analisa Harga Satuan'!$F$663</f>
        <v>157850</v>
      </c>
      <c r="F1359" s="52" t="n">
        <f aca="false">ROUND(D1359*E1359,0)</f>
        <v>34824867</v>
      </c>
      <c r="G1359" s="49" t="s">
        <v>486</v>
      </c>
      <c r="H1359" s="53" t="s">
        <v>305</v>
      </c>
    </row>
    <row r="1360" customFormat="false" ht="15" hidden="false" customHeight="false" outlineLevel="0" collapsed="false">
      <c r="A1360" s="49" t="s">
        <v>145</v>
      </c>
      <c r="B1360" s="29" t="s">
        <v>1065</v>
      </c>
      <c r="C1360" s="49" t="s">
        <v>206</v>
      </c>
      <c r="D1360" s="50" t="n">
        <v>5</v>
      </c>
      <c r="E1360" s="51" t="n">
        <f aca="false">'Analisa Harga Satuan'!$H$1050</f>
        <v>2238500</v>
      </c>
      <c r="F1360" s="52" t="n">
        <f aca="false">ROUND(D1360*E1360,0)</f>
        <v>11192500</v>
      </c>
      <c r="G1360" s="49" t="s">
        <v>1066</v>
      </c>
      <c r="H1360" s="53" t="s">
        <v>181</v>
      </c>
    </row>
    <row r="1361" customFormat="false" ht="15" hidden="false" customHeight="false" outlineLevel="0" collapsed="false">
      <c r="A1361" s="60" t="s">
        <v>93</v>
      </c>
      <c r="B1361" s="61" t="s">
        <v>488</v>
      </c>
    </row>
    <row r="1362" customFormat="false" ht="15" hidden="false" customHeight="false" outlineLevel="0" collapsed="false">
      <c r="A1362" s="49" t="s">
        <v>139</v>
      </c>
      <c r="B1362" s="29" t="s">
        <v>489</v>
      </c>
      <c r="C1362" s="49" t="s">
        <v>331</v>
      </c>
      <c r="D1362" s="50" t="n">
        <v>78.08</v>
      </c>
      <c r="E1362" s="51" t="n">
        <f aca="false">'Analisa Harga Satuan'!$F$678</f>
        <v>78914</v>
      </c>
      <c r="F1362" s="52" t="n">
        <f aca="false">ROUND(D1362*E1362,0)</f>
        <v>6161605</v>
      </c>
      <c r="G1362" s="49" t="s">
        <v>490</v>
      </c>
      <c r="H1362" s="53" t="s">
        <v>305</v>
      </c>
    </row>
    <row r="1363" customFormat="false" ht="15" hidden="false" customHeight="false" outlineLevel="0" collapsed="false">
      <c r="A1363" s="49" t="s">
        <v>141</v>
      </c>
      <c r="B1363" s="29" t="s">
        <v>491</v>
      </c>
      <c r="C1363" s="49" t="s">
        <v>331</v>
      </c>
      <c r="D1363" s="50" t="n">
        <v>117.12</v>
      </c>
      <c r="E1363" s="51" t="n">
        <f aca="false">'Analisa Harga Satuan'!$F$693</f>
        <v>187220</v>
      </c>
      <c r="F1363" s="52" t="n">
        <f aca="false">ROUND(D1363*E1363,0)</f>
        <v>21927206</v>
      </c>
      <c r="G1363" s="49" t="s">
        <v>492</v>
      </c>
      <c r="H1363" s="53" t="s">
        <v>305</v>
      </c>
    </row>
    <row r="1364" customFormat="false" ht="15" hidden="false" customHeight="false" outlineLevel="0" collapsed="false">
      <c r="A1364" s="49" t="s">
        <v>143</v>
      </c>
      <c r="B1364" s="29" t="s">
        <v>1219</v>
      </c>
      <c r="C1364" s="49" t="s">
        <v>331</v>
      </c>
      <c r="D1364" s="50" t="n">
        <v>615.08</v>
      </c>
      <c r="E1364" s="51" t="n">
        <f aca="false">'Analisa Harga Satuan'!$H$1080</f>
        <v>495000</v>
      </c>
      <c r="F1364" s="52" t="n">
        <f aca="false">ROUND(D1364*E1364,0)</f>
        <v>304464600</v>
      </c>
      <c r="G1364" s="49" t="s">
        <v>1220</v>
      </c>
      <c r="H1364" s="53" t="s">
        <v>181</v>
      </c>
    </row>
    <row r="1365" customFormat="false" ht="15" hidden="false" customHeight="false" outlineLevel="0" collapsed="false">
      <c r="A1365" s="49" t="s">
        <v>145</v>
      </c>
      <c r="B1365" s="29" t="s">
        <v>497</v>
      </c>
      <c r="C1365" s="49" t="s">
        <v>431</v>
      </c>
      <c r="D1365" s="50" t="n">
        <v>103</v>
      </c>
      <c r="E1365" s="51" t="n">
        <f aca="false">'Analisa Harga Satuan'!$H$866</f>
        <v>125400</v>
      </c>
      <c r="F1365" s="52" t="n">
        <f aca="false">ROUND(D1365*E1365,0)</f>
        <v>12916200</v>
      </c>
      <c r="G1365" s="49" t="s">
        <v>498</v>
      </c>
      <c r="H1365" s="53" t="s">
        <v>181</v>
      </c>
    </row>
    <row r="1366" customFormat="false" ht="15" hidden="false" customHeight="false" outlineLevel="0" collapsed="false">
      <c r="A1366" s="60" t="s">
        <v>1221</v>
      </c>
      <c r="B1366" s="61" t="s">
        <v>500</v>
      </c>
    </row>
    <row r="1367" customFormat="false" ht="15" hidden="false" customHeight="false" outlineLevel="0" collapsed="false">
      <c r="A1367" s="49" t="s">
        <v>139</v>
      </c>
      <c r="B1367" s="29" t="s">
        <v>501</v>
      </c>
      <c r="C1367" s="49" t="s">
        <v>331</v>
      </c>
      <c r="D1367" s="50" t="n">
        <v>1387.81</v>
      </c>
      <c r="E1367" s="51" t="n">
        <f aca="false">'Analisa Harga Satuan'!$F$711</f>
        <v>38744</v>
      </c>
      <c r="F1367" s="52" t="n">
        <f aca="false">ROUND(D1367*E1367,0)</f>
        <v>53769311</v>
      </c>
      <c r="G1367" s="49" t="s">
        <v>502</v>
      </c>
      <c r="H1367" s="53" t="s">
        <v>305</v>
      </c>
    </row>
    <row r="1368" customFormat="false" ht="15" hidden="false" customHeight="false" outlineLevel="0" collapsed="false">
      <c r="A1368" s="49" t="s">
        <v>141</v>
      </c>
      <c r="B1368" s="29" t="s">
        <v>503</v>
      </c>
      <c r="C1368" s="49" t="s">
        <v>331</v>
      </c>
      <c r="D1368" s="50" t="n">
        <v>284.78</v>
      </c>
      <c r="E1368" s="51" t="n">
        <f aca="false">'Analisa Harga Satuan'!$F$729</f>
        <v>47896</v>
      </c>
      <c r="F1368" s="52" t="n">
        <f aca="false">ROUND(D1368*E1368,0)</f>
        <v>13639823</v>
      </c>
      <c r="G1368" s="49" t="s">
        <v>504</v>
      </c>
      <c r="H1368" s="53" t="s">
        <v>305</v>
      </c>
    </row>
    <row r="1369" customFormat="false" ht="15" hidden="false" customHeight="false" outlineLevel="0" collapsed="false">
      <c r="A1369" s="49" t="s">
        <v>143</v>
      </c>
      <c r="B1369" s="29" t="s">
        <v>505</v>
      </c>
      <c r="C1369" s="49" t="s">
        <v>331</v>
      </c>
      <c r="D1369" s="50" t="n">
        <v>751.27</v>
      </c>
      <c r="E1369" s="51" t="n">
        <f aca="false">'Analisa Harga Satuan'!$F$746</f>
        <v>28932</v>
      </c>
      <c r="F1369" s="52" t="n">
        <f aca="false">ROUND(D1369*E1369,0)</f>
        <v>21735744</v>
      </c>
      <c r="G1369" s="49" t="s">
        <v>506</v>
      </c>
      <c r="H1369" s="53" t="s">
        <v>305</v>
      </c>
    </row>
    <row r="1370" customFormat="false" ht="15" hidden="false" customHeight="false" outlineLevel="0" collapsed="false">
      <c r="A1370" s="60" t="s">
        <v>1222</v>
      </c>
      <c r="B1370" s="61" t="s">
        <v>1223</v>
      </c>
    </row>
    <row r="1371" customFormat="false" ht="15" hidden="false" customHeight="false" outlineLevel="0" collapsed="false">
      <c r="A1371" s="49" t="s">
        <v>139</v>
      </c>
      <c r="B1371" s="29" t="s">
        <v>509</v>
      </c>
      <c r="C1371" s="49" t="s">
        <v>331</v>
      </c>
      <c r="D1371" s="50" t="n">
        <v>204.2</v>
      </c>
      <c r="E1371" s="51" t="n">
        <f aca="false">'Analisa Harga Satuan'!$F$383</f>
        <v>247478</v>
      </c>
      <c r="F1371" s="52" t="n">
        <f aca="false">ROUND(D1371*E1371,0)</f>
        <v>50535008</v>
      </c>
      <c r="G1371" s="49" t="s">
        <v>510</v>
      </c>
      <c r="H1371" s="53" t="s">
        <v>305</v>
      </c>
    </row>
    <row r="1372" customFormat="false" ht="25.5" hidden="false" customHeight="true" outlineLevel="0" collapsed="false">
      <c r="A1372" s="49" t="s">
        <v>141</v>
      </c>
      <c r="B1372" s="29" t="s">
        <v>1224</v>
      </c>
      <c r="C1372" s="49" t="s">
        <v>331</v>
      </c>
      <c r="D1372" s="50" t="n">
        <v>204.2</v>
      </c>
      <c r="E1372" s="51" t="n">
        <f aca="false">'Analisa Harga Satuan'!$F$432</f>
        <v>103703</v>
      </c>
      <c r="F1372" s="52" t="n">
        <f aca="false">ROUND(D1372*E1372,0)</f>
        <v>21176153</v>
      </c>
      <c r="G1372" s="49" t="s">
        <v>399</v>
      </c>
      <c r="H1372" s="53" t="s">
        <v>305</v>
      </c>
    </row>
    <row r="1373" customFormat="false" ht="15" hidden="false" customHeight="false" outlineLevel="0" collapsed="false">
      <c r="A1373" s="49" t="s">
        <v>143</v>
      </c>
      <c r="B1373" s="29" t="s">
        <v>1225</v>
      </c>
      <c r="C1373" s="49" t="s">
        <v>331</v>
      </c>
      <c r="D1373" s="50" t="n">
        <v>204.2</v>
      </c>
      <c r="E1373" s="51" t="n">
        <f aca="false">'Analisa Harga Satuan'!$F$479</f>
        <v>58982</v>
      </c>
      <c r="F1373" s="52" t="n">
        <f aca="false">ROUND(D1373*E1373,0)</f>
        <v>12044124</v>
      </c>
      <c r="G1373" s="49" t="s">
        <v>403</v>
      </c>
      <c r="H1373" s="53" t="s">
        <v>305</v>
      </c>
    </row>
    <row r="1374" customFormat="false" ht="15" hidden="false" customHeight="false" outlineLevel="0" collapsed="false">
      <c r="A1374" s="49" t="s">
        <v>145</v>
      </c>
      <c r="B1374" s="29" t="s">
        <v>513</v>
      </c>
      <c r="C1374" s="49" t="s">
        <v>206</v>
      </c>
      <c r="D1374" s="50" t="n">
        <v>4</v>
      </c>
      <c r="E1374" s="51" t="n">
        <f aca="false">'Analisa Harga Satuan'!$H$867</f>
        <v>1518000</v>
      </c>
      <c r="F1374" s="52" t="n">
        <f aca="false">ROUND(D1374*E1374,0)</f>
        <v>6072000</v>
      </c>
      <c r="G1374" s="49" t="s">
        <v>514</v>
      </c>
      <c r="H1374" s="53" t="s">
        <v>181</v>
      </c>
    </row>
    <row r="1375" customFormat="false" ht="15" hidden="false" customHeight="false" outlineLevel="0" collapsed="false">
      <c r="A1375" s="49" t="s">
        <v>147</v>
      </c>
      <c r="B1375" s="29" t="s">
        <v>310</v>
      </c>
      <c r="C1375" s="49" t="s">
        <v>331</v>
      </c>
      <c r="D1375" s="50" t="n">
        <v>1.58</v>
      </c>
      <c r="E1375" s="51" t="n">
        <f aca="false">'Analisa Harga Satuan'!$F$798</f>
        <v>23568</v>
      </c>
      <c r="F1375" s="52" t="n">
        <f aca="false">ROUND(D1375*E1375,0)</f>
        <v>37237</v>
      </c>
      <c r="G1375" s="49" t="s">
        <v>515</v>
      </c>
      <c r="H1375" s="53" t="s">
        <v>305</v>
      </c>
    </row>
    <row r="1376" customFormat="false" ht="15" hidden="false" customHeight="false" outlineLevel="0" collapsed="false">
      <c r="A1376" s="49" t="s">
        <v>149</v>
      </c>
      <c r="B1376" s="29" t="s">
        <v>1226</v>
      </c>
      <c r="C1376" s="49" t="s">
        <v>303</v>
      </c>
      <c r="D1376" s="50" t="n">
        <v>1.36</v>
      </c>
      <c r="E1376" s="51" t="n">
        <f aca="false">'Analisa Harga Satuan'!$F$228</f>
        <v>1386820</v>
      </c>
      <c r="F1376" s="52" t="n">
        <f aca="false">ROUND(D1376*E1376,0)</f>
        <v>1886075</v>
      </c>
      <c r="G1376" s="49" t="s">
        <v>324</v>
      </c>
      <c r="H1376" s="53" t="s">
        <v>305</v>
      </c>
    </row>
    <row r="1377" customFormat="false" ht="15" hidden="false" customHeight="false" outlineLevel="0" collapsed="false">
      <c r="A1377" s="49" t="s">
        <v>151</v>
      </c>
      <c r="B1377" s="29" t="s">
        <v>366</v>
      </c>
      <c r="C1377" s="49" t="s">
        <v>367</v>
      </c>
      <c r="D1377" s="50" t="n">
        <v>31.11</v>
      </c>
      <c r="E1377" s="51" t="n">
        <f aca="false">'Analisa Harga Satuan'!$F$355</f>
        <v>246954</v>
      </c>
      <c r="F1377" s="52" t="n">
        <f aca="false">ROUND(D1377*E1377,0)</f>
        <v>7682739</v>
      </c>
      <c r="G1377" s="49" t="s">
        <v>368</v>
      </c>
      <c r="H1377" s="53" t="s">
        <v>305</v>
      </c>
    </row>
    <row r="1378" customFormat="false" ht="25.5" hidden="false" customHeight="true" outlineLevel="0" collapsed="false">
      <c r="A1378" s="49" t="s">
        <v>423</v>
      </c>
      <c r="B1378" s="29" t="s">
        <v>369</v>
      </c>
      <c r="C1378" s="49" t="s">
        <v>367</v>
      </c>
      <c r="D1378" s="50" t="n">
        <v>152.44</v>
      </c>
      <c r="E1378" s="51" t="n">
        <f aca="false">'Analisa Harga Satuan'!$F$366</f>
        <v>238292</v>
      </c>
      <c r="F1378" s="52" t="n">
        <f aca="false">ROUND(D1378*E1378,0)</f>
        <v>36325232</v>
      </c>
      <c r="G1378" s="49" t="s">
        <v>370</v>
      </c>
      <c r="H1378" s="53" t="s">
        <v>305</v>
      </c>
    </row>
    <row r="1379" customFormat="false" ht="15" hidden="false" customHeight="false" outlineLevel="0" collapsed="false">
      <c r="A1379" s="49" t="s">
        <v>208</v>
      </c>
      <c r="B1379" s="29" t="s">
        <v>1227</v>
      </c>
      <c r="C1379" s="49" t="s">
        <v>331</v>
      </c>
      <c r="D1379" s="50" t="n">
        <v>28</v>
      </c>
      <c r="E1379" s="51" t="n">
        <f aca="false">'Analisa Harga Satuan'!$H$1081</f>
        <v>40040</v>
      </c>
      <c r="F1379" s="52" t="n">
        <f aca="false">ROUND(D1379*E1379,0)</f>
        <v>1121120</v>
      </c>
      <c r="G1379" s="49" t="s">
        <v>1228</v>
      </c>
      <c r="H1379" s="53" t="s">
        <v>181</v>
      </c>
    </row>
    <row r="1380" customFormat="false" ht="15" hidden="false" customHeight="false" outlineLevel="0" collapsed="false">
      <c r="A1380" s="60" t="s">
        <v>1229</v>
      </c>
      <c r="B1380" s="61" t="s">
        <v>449</v>
      </c>
    </row>
    <row r="1381" customFormat="false" ht="15" hidden="false" customHeight="false" outlineLevel="0" collapsed="false">
      <c r="A1381" s="49" t="s">
        <v>139</v>
      </c>
      <c r="B1381" s="29" t="s">
        <v>450</v>
      </c>
      <c r="C1381" s="49" t="s">
        <v>331</v>
      </c>
      <c r="D1381" s="50" t="n">
        <v>330.25</v>
      </c>
      <c r="E1381" s="51" t="n">
        <f aca="false">'Analisa Harga Satuan'!$F$616</f>
        <v>226710</v>
      </c>
      <c r="F1381" s="52" t="n">
        <f aca="false">ROUND(D1381*E1381,0)</f>
        <v>74870978</v>
      </c>
      <c r="G1381" s="49" t="s">
        <v>451</v>
      </c>
      <c r="H1381" s="53" t="s">
        <v>305</v>
      </c>
    </row>
    <row r="1382" customFormat="false" ht="15" hidden="false" customHeight="false" outlineLevel="0" collapsed="false">
      <c r="A1382" s="49" t="s">
        <v>141</v>
      </c>
      <c r="B1382" s="29" t="s">
        <v>1043</v>
      </c>
      <c r="C1382" s="49" t="s">
        <v>303</v>
      </c>
      <c r="D1382" s="50" t="n">
        <v>5.06</v>
      </c>
      <c r="E1382" s="51" t="n">
        <f aca="false">'Analisa Harga Satuan'!$F$250</f>
        <v>1605610</v>
      </c>
      <c r="F1382" s="52" t="n">
        <f aca="false">ROUND(D1382*E1382,0)</f>
        <v>8124387</v>
      </c>
      <c r="G1382" s="49" t="s">
        <v>362</v>
      </c>
      <c r="H1382" s="53" t="s">
        <v>305</v>
      </c>
    </row>
    <row r="1383" customFormat="false" ht="15" hidden="false" customHeight="false" outlineLevel="0" collapsed="false">
      <c r="A1383" s="55"/>
      <c r="B1383" s="56" t="s">
        <v>1230</v>
      </c>
      <c r="C1383" s="55"/>
      <c r="D1383" s="55"/>
      <c r="E1383" s="55"/>
      <c r="F1383" s="27" t="n">
        <f aca="false">SUM(F1322:F1382)</f>
        <v>2241920775</v>
      </c>
      <c r="G1383" s="55"/>
      <c r="H1383" s="55"/>
    </row>
    <row r="1384" customFormat="false" ht="15" hidden="false" customHeight="false" outlineLevel="0" collapsed="false">
      <c r="A1384" s="46" t="s">
        <v>86</v>
      </c>
      <c r="B1384" s="47" t="s">
        <v>116</v>
      </c>
      <c r="C1384" s="48"/>
      <c r="D1384" s="48"/>
      <c r="E1384" s="48"/>
      <c r="F1384" s="48"/>
      <c r="G1384" s="48"/>
      <c r="H1384" s="48"/>
    </row>
    <row r="1385" customFormat="false" ht="23.85" hidden="false" customHeight="false" outlineLevel="0" collapsed="false">
      <c r="A1385" s="60" t="s">
        <v>1231</v>
      </c>
      <c r="B1385" s="61" t="s">
        <v>1232</v>
      </c>
    </row>
    <row r="1386" customFormat="false" ht="15" hidden="false" customHeight="false" outlineLevel="0" collapsed="false">
      <c r="A1386" s="60" t="s">
        <v>78</v>
      </c>
      <c r="B1386" s="61" t="s">
        <v>518</v>
      </c>
    </row>
    <row r="1387" customFormat="false" ht="15" hidden="false" customHeight="false" outlineLevel="0" collapsed="false">
      <c r="A1387" s="49" t="s">
        <v>139</v>
      </c>
      <c r="B1387" s="29" t="s">
        <v>1233</v>
      </c>
      <c r="C1387" s="49" t="s">
        <v>520</v>
      </c>
      <c r="D1387" s="50" t="n">
        <v>8</v>
      </c>
      <c r="E1387" s="51" t="n">
        <f aca="false">'Analisa Harga Satuan'!$H$868</f>
        <v>715000</v>
      </c>
      <c r="F1387" s="52" t="n">
        <f aca="false">ROUND(D1387*E1387,0)</f>
        <v>5720000</v>
      </c>
      <c r="G1387" s="49" t="s">
        <v>521</v>
      </c>
      <c r="H1387" s="53" t="s">
        <v>181</v>
      </c>
    </row>
    <row r="1388" customFormat="false" ht="15" hidden="false" customHeight="false" outlineLevel="0" collapsed="false">
      <c r="A1388" s="60" t="s">
        <v>93</v>
      </c>
      <c r="B1388" s="61" t="s">
        <v>524</v>
      </c>
    </row>
    <row r="1389" customFormat="false" ht="25.5" hidden="false" customHeight="true" outlineLevel="0" collapsed="false">
      <c r="B1389" s="54" t="s">
        <v>1082</v>
      </c>
    </row>
    <row r="1390" customFormat="false" ht="15" hidden="false" customHeight="false" outlineLevel="0" collapsed="false">
      <c r="B1390" s="54" t="s">
        <v>1083</v>
      </c>
    </row>
    <row r="1391" customFormat="false" ht="15" hidden="false" customHeight="false" outlineLevel="0" collapsed="false">
      <c r="A1391" s="49" t="s">
        <v>139</v>
      </c>
      <c r="B1391" s="29" t="s">
        <v>1084</v>
      </c>
      <c r="C1391" s="49" t="s">
        <v>520</v>
      </c>
      <c r="D1391" s="50" t="n">
        <v>1</v>
      </c>
      <c r="E1391" s="51" t="n">
        <f aca="false">'Analisa Harga Satuan'!$H$1055</f>
        <v>12650000</v>
      </c>
      <c r="F1391" s="52" t="n">
        <f aca="false">ROUND(D1391*E1391,0)</f>
        <v>12650000</v>
      </c>
      <c r="G1391" s="49" t="s">
        <v>1085</v>
      </c>
      <c r="H1391" s="53" t="s">
        <v>181</v>
      </c>
    </row>
    <row r="1392" customFormat="false" ht="15" hidden="false" customHeight="false" outlineLevel="0" collapsed="false">
      <c r="A1392" s="49" t="s">
        <v>139</v>
      </c>
      <c r="B1392" s="29" t="s">
        <v>1234</v>
      </c>
      <c r="C1392" s="49" t="s">
        <v>520</v>
      </c>
      <c r="D1392" s="50" t="n">
        <v>5</v>
      </c>
      <c r="E1392" s="51" t="n">
        <f aca="false">'Analisa Harga Satuan'!$H$1082</f>
        <v>31350000</v>
      </c>
      <c r="F1392" s="52" t="n">
        <f aca="false">ROUND(D1392*E1392,0)</f>
        <v>156750000</v>
      </c>
      <c r="G1392" s="49" t="s">
        <v>1235</v>
      </c>
      <c r="H1392" s="53" t="s">
        <v>181</v>
      </c>
    </row>
    <row r="1393" customFormat="false" ht="25.5" hidden="false" customHeight="true" outlineLevel="0" collapsed="false">
      <c r="A1393" s="49" t="s">
        <v>141</v>
      </c>
      <c r="B1393" s="29" t="s">
        <v>1086</v>
      </c>
      <c r="C1393" s="49" t="s">
        <v>431</v>
      </c>
      <c r="D1393" s="50" t="n">
        <v>6</v>
      </c>
      <c r="E1393" s="51" t="n">
        <f aca="false">'Analisa Harga Satuan'!$H$1056</f>
        <v>313500</v>
      </c>
      <c r="F1393" s="52" t="n">
        <f aca="false">ROUND(D1393*E1393,0)</f>
        <v>1881000</v>
      </c>
      <c r="G1393" s="49" t="s">
        <v>1087</v>
      </c>
      <c r="H1393" s="53" t="s">
        <v>181</v>
      </c>
    </row>
    <row r="1394" customFormat="false" ht="25.5" hidden="false" customHeight="true" outlineLevel="0" collapsed="false">
      <c r="A1394" s="49" t="s">
        <v>141</v>
      </c>
      <c r="B1394" s="29" t="s">
        <v>1236</v>
      </c>
      <c r="C1394" s="49" t="s">
        <v>431</v>
      </c>
      <c r="D1394" s="50" t="n">
        <v>30</v>
      </c>
      <c r="E1394" s="51" t="n">
        <f aca="false">'Analisa Harga Satuan'!$H$1083</f>
        <v>401500</v>
      </c>
      <c r="F1394" s="52" t="n">
        <f aca="false">ROUND(D1394*E1394,0)</f>
        <v>12045000</v>
      </c>
      <c r="G1394" s="49" t="s">
        <v>1237</v>
      </c>
      <c r="H1394" s="53" t="s">
        <v>181</v>
      </c>
    </row>
    <row r="1395" customFormat="false" ht="25.5" hidden="false" customHeight="true" outlineLevel="0" collapsed="false">
      <c r="A1395" s="49" t="s">
        <v>143</v>
      </c>
      <c r="B1395" s="29" t="s">
        <v>1088</v>
      </c>
      <c r="C1395" s="49" t="s">
        <v>431</v>
      </c>
      <c r="D1395" s="50" t="n">
        <v>32</v>
      </c>
      <c r="E1395" s="51" t="n">
        <f aca="false">'Analisa Harga Satuan'!$H$1057</f>
        <v>93500</v>
      </c>
      <c r="F1395" s="52" t="n">
        <f aca="false">ROUND(D1395*E1395,0)</f>
        <v>2992000</v>
      </c>
      <c r="G1395" s="49" t="s">
        <v>1089</v>
      </c>
      <c r="H1395" s="53" t="s">
        <v>181</v>
      </c>
    </row>
    <row r="1396" customFormat="false" ht="15" hidden="false" customHeight="false" outlineLevel="0" collapsed="false">
      <c r="A1396" s="49" t="s">
        <v>145</v>
      </c>
      <c r="B1396" s="29" t="s">
        <v>1090</v>
      </c>
      <c r="C1396" s="49" t="s">
        <v>784</v>
      </c>
      <c r="D1396" s="50" t="n">
        <v>6</v>
      </c>
      <c r="E1396" s="51" t="n">
        <f aca="false">'Analisa Harga Satuan'!$H$1058</f>
        <v>357500</v>
      </c>
      <c r="F1396" s="52" t="n">
        <f aca="false">ROUND(D1396*E1396,0)</f>
        <v>2145000</v>
      </c>
      <c r="G1396" s="49" t="s">
        <v>1091</v>
      </c>
      <c r="H1396" s="53" t="s">
        <v>181</v>
      </c>
    </row>
    <row r="1397" customFormat="false" ht="23.85" hidden="false" customHeight="false" outlineLevel="0" collapsed="false">
      <c r="A1397" s="60" t="s">
        <v>1238</v>
      </c>
      <c r="B1397" s="61" t="s">
        <v>1239</v>
      </c>
    </row>
    <row r="1398" customFormat="false" ht="15" hidden="false" customHeight="false" outlineLevel="0" collapsed="false">
      <c r="A1398" s="60" t="s">
        <v>78</v>
      </c>
      <c r="B1398" s="61" t="s">
        <v>1094</v>
      </c>
    </row>
    <row r="1399" customFormat="false" ht="25.5" hidden="false" customHeight="true" outlineLevel="0" collapsed="false">
      <c r="A1399" s="49" t="s">
        <v>139</v>
      </c>
      <c r="B1399" s="29" t="s">
        <v>667</v>
      </c>
      <c r="C1399" s="49" t="s">
        <v>520</v>
      </c>
      <c r="D1399" s="50" t="n">
        <v>4</v>
      </c>
      <c r="E1399" s="51" t="n">
        <f aca="false">'Analisa Harga Satuan'!$H$921</f>
        <v>2964500</v>
      </c>
      <c r="F1399" s="52" t="n">
        <f aca="false">ROUND(D1399*E1399,0)</f>
        <v>11858000</v>
      </c>
      <c r="G1399" s="49" t="s">
        <v>668</v>
      </c>
      <c r="H1399" s="53" t="s">
        <v>181</v>
      </c>
    </row>
    <row r="1400" customFormat="false" ht="25.5" hidden="false" customHeight="true" outlineLevel="0" collapsed="false">
      <c r="A1400" s="49" t="s">
        <v>141</v>
      </c>
      <c r="B1400" s="29" t="s">
        <v>669</v>
      </c>
      <c r="C1400" s="49" t="s">
        <v>520</v>
      </c>
      <c r="D1400" s="50" t="n">
        <v>1</v>
      </c>
      <c r="E1400" s="51" t="n">
        <f aca="false">'Analisa Harga Satuan'!$H$922</f>
        <v>4658500</v>
      </c>
      <c r="F1400" s="52" t="n">
        <f aca="false">ROUND(D1400*E1400,0)</f>
        <v>4658500</v>
      </c>
      <c r="G1400" s="49" t="s">
        <v>670</v>
      </c>
      <c r="H1400" s="53" t="s">
        <v>181</v>
      </c>
    </row>
    <row r="1401" customFormat="false" ht="15" hidden="false" customHeight="false" outlineLevel="0" collapsed="false">
      <c r="A1401" s="49" t="s">
        <v>143</v>
      </c>
      <c r="B1401" s="29" t="s">
        <v>671</v>
      </c>
      <c r="C1401" s="49" t="s">
        <v>520</v>
      </c>
      <c r="D1401" s="50" t="n">
        <v>5</v>
      </c>
      <c r="E1401" s="51" t="n">
        <f aca="false">'Analisa Harga Satuan'!$H$923</f>
        <v>360525</v>
      </c>
      <c r="F1401" s="52" t="n">
        <f aca="false">ROUND(D1401*E1401,0)</f>
        <v>1802625</v>
      </c>
      <c r="G1401" s="49" t="s">
        <v>672</v>
      </c>
      <c r="H1401" s="53" t="s">
        <v>181</v>
      </c>
    </row>
    <row r="1402" customFormat="false" ht="15" hidden="false" customHeight="false" outlineLevel="0" collapsed="false">
      <c r="A1402" s="49" t="s">
        <v>145</v>
      </c>
      <c r="B1402" s="29" t="s">
        <v>687</v>
      </c>
      <c r="C1402" s="49" t="s">
        <v>520</v>
      </c>
      <c r="D1402" s="50" t="n">
        <v>1</v>
      </c>
      <c r="E1402" s="51" t="n">
        <f aca="false">'Analisa Harga Satuan'!$H$931</f>
        <v>1996500</v>
      </c>
      <c r="F1402" s="52" t="n">
        <f aca="false">ROUND(D1402*E1402,0)</f>
        <v>1996500</v>
      </c>
      <c r="G1402" s="49" t="s">
        <v>688</v>
      </c>
      <c r="H1402" s="53" t="s">
        <v>181</v>
      </c>
    </row>
    <row r="1403" customFormat="false" ht="15" hidden="false" customHeight="false" outlineLevel="0" collapsed="false">
      <c r="A1403" s="49" t="s">
        <v>147</v>
      </c>
      <c r="B1403" s="29" t="s">
        <v>690</v>
      </c>
      <c r="C1403" s="49" t="s">
        <v>520</v>
      </c>
      <c r="D1403" s="50" t="n">
        <v>1</v>
      </c>
      <c r="E1403" s="51" t="n">
        <f aca="false">'Analisa Harga Satuan'!$H$932</f>
        <v>1633500</v>
      </c>
      <c r="F1403" s="52" t="n">
        <f aca="false">ROUND(D1403*E1403,0)</f>
        <v>1633500</v>
      </c>
      <c r="G1403" s="49" t="s">
        <v>691</v>
      </c>
      <c r="H1403" s="53" t="s">
        <v>181</v>
      </c>
    </row>
    <row r="1404" customFormat="false" ht="15" hidden="false" customHeight="false" outlineLevel="0" collapsed="false">
      <c r="A1404" s="49" t="s">
        <v>149</v>
      </c>
      <c r="B1404" s="29" t="s">
        <v>673</v>
      </c>
      <c r="C1404" s="49" t="s">
        <v>520</v>
      </c>
      <c r="D1404" s="50" t="n">
        <v>8</v>
      </c>
      <c r="E1404" s="51" t="n">
        <f aca="false">'Analisa Harga Satuan'!$H$924</f>
        <v>208725</v>
      </c>
      <c r="F1404" s="52" t="n">
        <f aca="false">ROUND(D1404*E1404,0)</f>
        <v>1669800</v>
      </c>
      <c r="G1404" s="49" t="s">
        <v>674</v>
      </c>
      <c r="H1404" s="53" t="s">
        <v>181</v>
      </c>
    </row>
    <row r="1405" customFormat="false" ht="15" hidden="false" customHeight="false" outlineLevel="0" collapsed="false">
      <c r="A1405" s="49" t="s">
        <v>151</v>
      </c>
      <c r="B1405" s="29" t="s">
        <v>675</v>
      </c>
      <c r="C1405" s="49" t="s">
        <v>520</v>
      </c>
      <c r="D1405" s="50" t="n">
        <v>4</v>
      </c>
      <c r="E1405" s="51" t="n">
        <f aca="false">'Analisa Harga Satuan'!$H$925</f>
        <v>234025</v>
      </c>
      <c r="F1405" s="52" t="n">
        <f aca="false">ROUND(D1405*E1405,0)</f>
        <v>936100</v>
      </c>
      <c r="G1405" s="49" t="s">
        <v>676</v>
      </c>
      <c r="H1405" s="53" t="s">
        <v>181</v>
      </c>
    </row>
    <row r="1406" customFormat="false" ht="15" hidden="false" customHeight="false" outlineLevel="0" collapsed="false">
      <c r="A1406" s="49" t="s">
        <v>423</v>
      </c>
      <c r="B1406" s="29" t="s">
        <v>1095</v>
      </c>
      <c r="C1406" s="49" t="s">
        <v>520</v>
      </c>
      <c r="D1406" s="50" t="n">
        <v>4</v>
      </c>
      <c r="E1406" s="51" t="n">
        <f aca="false">'Analisa Harga Satuan'!$H$1059</f>
        <v>1149500</v>
      </c>
      <c r="F1406" s="52" t="n">
        <f aca="false">ROUND(D1406*E1406,0)</f>
        <v>4598000</v>
      </c>
      <c r="G1406" s="49" t="s">
        <v>1096</v>
      </c>
      <c r="H1406" s="53" t="s">
        <v>181</v>
      </c>
    </row>
    <row r="1407" customFormat="false" ht="15" hidden="false" customHeight="false" outlineLevel="0" collapsed="false">
      <c r="A1407" s="49" t="s">
        <v>208</v>
      </c>
      <c r="B1407" s="29" t="s">
        <v>1097</v>
      </c>
      <c r="C1407" s="49" t="s">
        <v>520</v>
      </c>
      <c r="D1407" s="50" t="n">
        <v>4</v>
      </c>
      <c r="E1407" s="51" t="n">
        <f aca="false">'Analisa Harga Satuan'!$H$1060</f>
        <v>465850</v>
      </c>
      <c r="F1407" s="52" t="n">
        <f aca="false">ROUND(D1407*E1407,0)</f>
        <v>1863400</v>
      </c>
      <c r="G1407" s="49" t="s">
        <v>1098</v>
      </c>
      <c r="H1407" s="53" t="s">
        <v>181</v>
      </c>
    </row>
    <row r="1408" customFormat="false" ht="15" hidden="false" customHeight="false" outlineLevel="0" collapsed="false">
      <c r="A1408" s="49" t="s">
        <v>217</v>
      </c>
      <c r="B1408" s="29" t="s">
        <v>1240</v>
      </c>
      <c r="C1408" s="49" t="s">
        <v>520</v>
      </c>
      <c r="D1408" s="50" t="n">
        <v>3</v>
      </c>
      <c r="E1408" s="51" t="n">
        <f aca="false">'Analisa Harga Satuan'!$H$1084</f>
        <v>2117500</v>
      </c>
      <c r="F1408" s="52" t="n">
        <f aca="false">ROUND(D1408*E1408,0)</f>
        <v>6352500</v>
      </c>
      <c r="G1408" s="49" t="s">
        <v>1241</v>
      </c>
      <c r="H1408" s="53" t="s">
        <v>181</v>
      </c>
    </row>
    <row r="1409" customFormat="false" ht="15" hidden="false" customHeight="false" outlineLevel="0" collapsed="false">
      <c r="A1409" s="49" t="s">
        <v>221</v>
      </c>
      <c r="B1409" s="29" t="s">
        <v>693</v>
      </c>
      <c r="C1409" s="49" t="s">
        <v>520</v>
      </c>
      <c r="D1409" s="50" t="n">
        <v>4</v>
      </c>
      <c r="E1409" s="51" t="n">
        <f aca="false">'Analisa Harga Satuan'!$H$933</f>
        <v>786500</v>
      </c>
      <c r="F1409" s="52" t="n">
        <f aca="false">ROUND(D1409*E1409,0)</f>
        <v>3146000</v>
      </c>
      <c r="G1409" s="49" t="s">
        <v>694</v>
      </c>
      <c r="H1409" s="53" t="s">
        <v>181</v>
      </c>
    </row>
    <row r="1410" customFormat="false" ht="15" hidden="false" customHeight="false" outlineLevel="0" collapsed="false">
      <c r="A1410" s="60" t="s">
        <v>1242</v>
      </c>
      <c r="B1410" s="61" t="s">
        <v>698</v>
      </c>
    </row>
    <row r="1411" customFormat="false" ht="15" hidden="false" customHeight="false" outlineLevel="0" collapsed="false">
      <c r="A1411" s="60" t="s">
        <v>78</v>
      </c>
      <c r="B1411" s="61" t="s">
        <v>700</v>
      </c>
    </row>
    <row r="1412" customFormat="false" ht="15" hidden="false" customHeight="false" outlineLevel="0" collapsed="false">
      <c r="A1412" s="49" t="s">
        <v>139</v>
      </c>
      <c r="B1412" s="29" t="s">
        <v>1100</v>
      </c>
      <c r="C1412" s="49" t="s">
        <v>520</v>
      </c>
      <c r="D1412" s="50" t="n">
        <v>1</v>
      </c>
      <c r="E1412" s="51" t="n">
        <f aca="false">'Analisa Harga Satuan'!$H$1061</f>
        <v>15950000</v>
      </c>
      <c r="F1412" s="52" t="n">
        <f aca="false">ROUND(D1412*E1412,0)</f>
        <v>15950000</v>
      </c>
      <c r="G1412" s="49" t="s">
        <v>1101</v>
      </c>
      <c r="H1412" s="53" t="s">
        <v>181</v>
      </c>
    </row>
    <row r="1413" customFormat="false" ht="15" hidden="false" customHeight="false" outlineLevel="0" collapsed="false">
      <c r="B1413" s="54" t="s">
        <v>1102</v>
      </c>
    </row>
    <row r="1414" customFormat="false" ht="15" hidden="false" customHeight="false" outlineLevel="0" collapsed="false">
      <c r="A1414" s="49" t="s">
        <v>141</v>
      </c>
      <c r="B1414" s="29" t="s">
        <v>1103</v>
      </c>
      <c r="C1414" s="49" t="s">
        <v>520</v>
      </c>
      <c r="D1414" s="50" t="n">
        <v>5</v>
      </c>
      <c r="E1414" s="51" t="n">
        <f aca="false">'Analisa Harga Satuan'!$H$1062</f>
        <v>423500</v>
      </c>
      <c r="F1414" s="52" t="n">
        <f aca="false">ROUND(D1414*E1414,0)</f>
        <v>2117500</v>
      </c>
      <c r="G1414" s="49" t="s">
        <v>1104</v>
      </c>
      <c r="H1414" s="53" t="s">
        <v>181</v>
      </c>
    </row>
    <row r="1415" customFormat="false" ht="15" hidden="false" customHeight="false" outlineLevel="0" collapsed="false">
      <c r="A1415" s="49" t="s">
        <v>139</v>
      </c>
      <c r="B1415" s="29" t="s">
        <v>1105</v>
      </c>
      <c r="C1415" s="49" t="s">
        <v>520</v>
      </c>
      <c r="D1415" s="50" t="n">
        <v>2</v>
      </c>
      <c r="E1415" s="51" t="n">
        <f aca="false">'Analisa Harga Satuan'!$H$1063</f>
        <v>462000</v>
      </c>
      <c r="F1415" s="52" t="n">
        <f aca="false">ROUND(D1415*E1415,0)</f>
        <v>924000</v>
      </c>
      <c r="G1415" s="49" t="s">
        <v>1106</v>
      </c>
      <c r="H1415" s="53" t="s">
        <v>181</v>
      </c>
    </row>
    <row r="1416" customFormat="false" ht="15" hidden="false" customHeight="false" outlineLevel="0" collapsed="false">
      <c r="A1416" s="60" t="s">
        <v>93</v>
      </c>
      <c r="B1416" s="61" t="s">
        <v>726</v>
      </c>
    </row>
    <row r="1417" customFormat="false" ht="15" hidden="false" customHeight="false" outlineLevel="0" collapsed="false">
      <c r="A1417" s="49" t="s">
        <v>139</v>
      </c>
      <c r="B1417" s="29" t="s">
        <v>727</v>
      </c>
      <c r="C1417" s="49" t="s">
        <v>520</v>
      </c>
      <c r="D1417" s="50" t="n">
        <v>1</v>
      </c>
      <c r="E1417" s="51" t="n">
        <f aca="false">'Analisa Harga Satuan'!$H$947</f>
        <v>21450000</v>
      </c>
      <c r="F1417" s="52" t="n">
        <f aca="false">ROUND(D1417*E1417,0)</f>
        <v>21450000</v>
      </c>
      <c r="G1417" s="49" t="s">
        <v>728</v>
      </c>
      <c r="H1417" s="53" t="s">
        <v>181</v>
      </c>
    </row>
    <row r="1418" customFormat="false" ht="15" hidden="false" customHeight="false" outlineLevel="0" collapsed="false">
      <c r="A1418" s="49"/>
      <c r="B1418" s="29" t="s">
        <v>729</v>
      </c>
      <c r="C1418" s="49" t="s">
        <v>179</v>
      </c>
      <c r="D1418" s="50" t="n">
        <v>1</v>
      </c>
      <c r="E1418" s="51" t="n">
        <f aca="false">'Analisa Harga Satuan'!$H$948</f>
        <v>1650000</v>
      </c>
      <c r="F1418" s="52" t="n">
        <f aca="false">ROUND(D1418*E1418,0)</f>
        <v>1650000</v>
      </c>
      <c r="G1418" s="49" t="s">
        <v>730</v>
      </c>
      <c r="H1418" s="53" t="s">
        <v>181</v>
      </c>
    </row>
    <row r="1419" customFormat="false" ht="15" hidden="false" customHeight="false" outlineLevel="0" collapsed="false">
      <c r="A1419" s="60" t="s">
        <v>1243</v>
      </c>
      <c r="B1419" s="61" t="s">
        <v>732</v>
      </c>
    </row>
    <row r="1420" customFormat="false" ht="15" hidden="false" customHeight="false" outlineLevel="0" collapsed="false">
      <c r="A1420" s="60" t="s">
        <v>78</v>
      </c>
      <c r="B1420" s="61" t="s">
        <v>1244</v>
      </c>
    </row>
    <row r="1421" customFormat="false" ht="15" hidden="false" customHeight="false" outlineLevel="0" collapsed="false">
      <c r="A1421" s="49" t="s">
        <v>139</v>
      </c>
      <c r="B1421" s="29" t="s">
        <v>736</v>
      </c>
      <c r="C1421" s="49" t="s">
        <v>367</v>
      </c>
      <c r="D1421" s="50" t="n">
        <v>55</v>
      </c>
      <c r="E1421" s="51" t="n">
        <f aca="false">'Analisa Harga Satuan'!$H$950</f>
        <v>85800</v>
      </c>
      <c r="F1421" s="52" t="n">
        <f aca="false">ROUND(D1421*E1421,0)</f>
        <v>4719000</v>
      </c>
      <c r="G1421" s="49" t="s">
        <v>737</v>
      </c>
      <c r="H1421" s="53" t="s">
        <v>181</v>
      </c>
    </row>
    <row r="1422" customFormat="false" ht="15" hidden="false" customHeight="false" outlineLevel="0" collapsed="false">
      <c r="A1422" s="49" t="s">
        <v>141</v>
      </c>
      <c r="B1422" s="29" t="s">
        <v>738</v>
      </c>
      <c r="C1422" s="49" t="s">
        <v>367</v>
      </c>
      <c r="D1422" s="50" t="n">
        <v>28</v>
      </c>
      <c r="E1422" s="51" t="n">
        <f aca="false">'Analisa Harga Satuan'!$H$951</f>
        <v>63800</v>
      </c>
      <c r="F1422" s="52" t="n">
        <f aca="false">ROUND(D1422*E1422,0)</f>
        <v>1786400</v>
      </c>
      <c r="G1422" s="49" t="s">
        <v>739</v>
      </c>
      <c r="H1422" s="53" t="s">
        <v>181</v>
      </c>
    </row>
    <row r="1423" customFormat="false" ht="15" hidden="false" customHeight="false" outlineLevel="0" collapsed="false">
      <c r="A1423" s="49" t="s">
        <v>143</v>
      </c>
      <c r="B1423" s="29" t="s">
        <v>740</v>
      </c>
      <c r="C1423" s="49" t="s">
        <v>367</v>
      </c>
      <c r="D1423" s="50" t="n">
        <v>75</v>
      </c>
      <c r="E1423" s="51" t="n">
        <f aca="false">'Analisa Harga Satuan'!$H$952</f>
        <v>52800</v>
      </c>
      <c r="F1423" s="52" t="n">
        <f aca="false">ROUND(D1423*E1423,0)</f>
        <v>3960000</v>
      </c>
      <c r="G1423" s="49" t="s">
        <v>741</v>
      </c>
      <c r="H1423" s="53" t="s">
        <v>181</v>
      </c>
    </row>
    <row r="1424" customFormat="false" ht="15" hidden="false" customHeight="false" outlineLevel="0" collapsed="false">
      <c r="A1424" s="60" t="s">
        <v>1245</v>
      </c>
      <c r="B1424" s="61" t="s">
        <v>746</v>
      </c>
    </row>
    <row r="1425" customFormat="false" ht="15" hidden="false" customHeight="false" outlineLevel="0" collapsed="false">
      <c r="A1425" s="60" t="s">
        <v>78</v>
      </c>
      <c r="B1425" s="61" t="s">
        <v>1111</v>
      </c>
    </row>
    <row r="1426" customFormat="false" ht="15" hidden="false" customHeight="false" outlineLevel="0" collapsed="false">
      <c r="A1426" s="49" t="s">
        <v>139</v>
      </c>
      <c r="B1426" s="29" t="s">
        <v>748</v>
      </c>
      <c r="C1426" s="49" t="s">
        <v>367</v>
      </c>
      <c r="D1426" s="50" t="n">
        <v>28</v>
      </c>
      <c r="E1426" s="51" t="n">
        <f aca="false">'Analisa Harga Satuan'!$H$954</f>
        <v>181500</v>
      </c>
      <c r="F1426" s="52" t="n">
        <f aca="false">ROUND(D1426*E1426,0)</f>
        <v>5082000</v>
      </c>
      <c r="G1426" s="49" t="s">
        <v>749</v>
      </c>
      <c r="H1426" s="53" t="s">
        <v>181</v>
      </c>
    </row>
    <row r="1427" customFormat="false" ht="15" hidden="false" customHeight="false" outlineLevel="0" collapsed="false">
      <c r="A1427" s="49" t="s">
        <v>141</v>
      </c>
      <c r="B1427" s="29" t="s">
        <v>750</v>
      </c>
      <c r="C1427" s="49" t="s">
        <v>367</v>
      </c>
      <c r="D1427" s="50" t="n">
        <v>48</v>
      </c>
      <c r="E1427" s="51" t="n">
        <f aca="false">'Analisa Harga Satuan'!$H$955</f>
        <v>126500</v>
      </c>
      <c r="F1427" s="52" t="n">
        <f aca="false">ROUND(D1427*E1427,0)</f>
        <v>6072000</v>
      </c>
      <c r="G1427" s="49" t="s">
        <v>751</v>
      </c>
      <c r="H1427" s="53" t="s">
        <v>181</v>
      </c>
    </row>
    <row r="1428" customFormat="false" ht="15" hidden="false" customHeight="false" outlineLevel="0" collapsed="false">
      <c r="A1428" s="49" t="s">
        <v>143</v>
      </c>
      <c r="B1428" s="29" t="s">
        <v>1246</v>
      </c>
      <c r="C1428" s="49" t="s">
        <v>367</v>
      </c>
      <c r="D1428" s="50" t="n">
        <v>36</v>
      </c>
      <c r="E1428" s="51" t="n">
        <f aca="false">'Analisa Harga Satuan'!$H$1085</f>
        <v>79200</v>
      </c>
      <c r="F1428" s="52" t="n">
        <f aca="false">ROUND(D1428*E1428,0)</f>
        <v>2851200</v>
      </c>
      <c r="G1428" s="49" t="s">
        <v>1247</v>
      </c>
      <c r="H1428" s="53" t="s">
        <v>181</v>
      </c>
    </row>
    <row r="1429" customFormat="false" ht="15" hidden="false" customHeight="false" outlineLevel="0" collapsed="false">
      <c r="A1429" s="49" t="s">
        <v>145</v>
      </c>
      <c r="B1429" s="29" t="s">
        <v>762</v>
      </c>
      <c r="C1429" s="49" t="s">
        <v>206</v>
      </c>
      <c r="D1429" s="50" t="n">
        <v>1</v>
      </c>
      <c r="E1429" s="51" t="n">
        <f aca="false">'Analisa Harga Satuan'!$H$958</f>
        <v>313500</v>
      </c>
      <c r="F1429" s="52" t="n">
        <f aca="false">ROUND(D1429*E1429,0)</f>
        <v>313500</v>
      </c>
      <c r="G1429" s="49" t="s">
        <v>757</v>
      </c>
      <c r="H1429" s="53" t="s">
        <v>181</v>
      </c>
    </row>
    <row r="1430" customFormat="false" ht="39" hidden="false" customHeight="true" outlineLevel="0" collapsed="false">
      <c r="A1430" s="49" t="s">
        <v>147</v>
      </c>
      <c r="B1430" s="29" t="s">
        <v>1248</v>
      </c>
      <c r="C1430" s="49" t="s">
        <v>367</v>
      </c>
      <c r="D1430" s="50" t="n">
        <v>32</v>
      </c>
      <c r="E1430" s="51" t="n">
        <f aca="false">'Analisa Harga Satuan'!$H$954</f>
        <v>181500</v>
      </c>
      <c r="F1430" s="52" t="n">
        <f aca="false">ROUND(D1430*E1430,0)</f>
        <v>5808000</v>
      </c>
      <c r="G1430" s="49" t="s">
        <v>749</v>
      </c>
      <c r="H1430" s="53" t="s">
        <v>181</v>
      </c>
    </row>
    <row r="1431" customFormat="false" ht="15" hidden="false" customHeight="false" outlineLevel="0" collapsed="false">
      <c r="A1431" s="60" t="s">
        <v>1249</v>
      </c>
      <c r="B1431" s="61" t="s">
        <v>764</v>
      </c>
    </row>
    <row r="1432" customFormat="false" ht="15" hidden="false" customHeight="false" outlineLevel="0" collapsed="false">
      <c r="A1432" s="60" t="s">
        <v>78</v>
      </c>
      <c r="B1432" s="61" t="s">
        <v>765</v>
      </c>
    </row>
    <row r="1433" customFormat="false" ht="15" hidden="false" customHeight="false" outlineLevel="0" collapsed="false">
      <c r="A1433" s="49" t="s">
        <v>139</v>
      </c>
      <c r="B1433" s="29" t="s">
        <v>748</v>
      </c>
      <c r="C1433" s="49" t="s">
        <v>367</v>
      </c>
      <c r="D1433" s="50" t="n">
        <v>28</v>
      </c>
      <c r="E1433" s="51" t="n">
        <f aca="false">'Analisa Harga Satuan'!$H$954</f>
        <v>181500</v>
      </c>
      <c r="F1433" s="52" t="n">
        <f aca="false">ROUND(D1433*E1433,0)</f>
        <v>5082000</v>
      </c>
      <c r="G1433" s="49" t="s">
        <v>749</v>
      </c>
      <c r="H1433" s="53" t="s">
        <v>181</v>
      </c>
    </row>
    <row r="1434" customFormat="false" ht="15" hidden="false" customHeight="false" outlineLevel="0" collapsed="false">
      <c r="A1434" s="49" t="s">
        <v>141</v>
      </c>
      <c r="B1434" s="29" t="s">
        <v>762</v>
      </c>
      <c r="C1434" s="49" t="s">
        <v>206</v>
      </c>
      <c r="D1434" s="50" t="n">
        <v>1</v>
      </c>
      <c r="E1434" s="51" t="n">
        <f aca="false">'Analisa Harga Satuan'!$H$958</f>
        <v>313500</v>
      </c>
      <c r="F1434" s="52" t="n">
        <f aca="false">ROUND(D1434*E1434,0)</f>
        <v>313500</v>
      </c>
      <c r="G1434" s="49" t="s">
        <v>757</v>
      </c>
      <c r="H1434" s="53" t="s">
        <v>181</v>
      </c>
    </row>
    <row r="1435" customFormat="false" ht="15" hidden="false" customHeight="false" outlineLevel="0" collapsed="false">
      <c r="A1435" s="49" t="s">
        <v>143</v>
      </c>
      <c r="B1435" s="29" t="s">
        <v>1250</v>
      </c>
      <c r="C1435" s="49" t="s">
        <v>206</v>
      </c>
      <c r="D1435" s="50" t="n">
        <v>1</v>
      </c>
      <c r="E1435" s="51" t="n">
        <f aca="false">'Analisa Harga Satuan'!$H$1086</f>
        <v>23650000</v>
      </c>
      <c r="F1435" s="52" t="n">
        <f aca="false">ROUND(D1435*E1435,0)</f>
        <v>23650000</v>
      </c>
      <c r="G1435" s="49" t="s">
        <v>1251</v>
      </c>
      <c r="H1435" s="53" t="s">
        <v>181</v>
      </c>
    </row>
    <row r="1436" customFormat="false" ht="15" hidden="false" customHeight="false" outlineLevel="0" collapsed="false">
      <c r="A1436" s="49" t="s">
        <v>143</v>
      </c>
      <c r="B1436" s="29" t="s">
        <v>1252</v>
      </c>
      <c r="C1436" s="49" t="s">
        <v>183</v>
      </c>
      <c r="D1436" s="50" t="n">
        <v>1</v>
      </c>
      <c r="E1436" s="51" t="n">
        <f aca="false">'Analisa Harga Satuan'!$H$1087</f>
        <v>4675000</v>
      </c>
      <c r="F1436" s="52" t="n">
        <f aca="false">ROUND(D1436*E1436,0)</f>
        <v>4675000</v>
      </c>
      <c r="G1436" s="49" t="s">
        <v>1253</v>
      </c>
      <c r="H1436" s="53" t="s">
        <v>181</v>
      </c>
    </row>
    <row r="1437" customFormat="false" ht="15" hidden="false" customHeight="false" outlineLevel="0" collapsed="false">
      <c r="A1437" s="60" t="s">
        <v>1254</v>
      </c>
      <c r="B1437" s="61" t="s">
        <v>779</v>
      </c>
    </row>
    <row r="1438" customFormat="false" ht="15" hidden="false" customHeight="false" outlineLevel="0" collapsed="false">
      <c r="A1438" s="60" t="s">
        <v>78</v>
      </c>
      <c r="B1438" s="61" t="s">
        <v>780</v>
      </c>
    </row>
    <row r="1439" customFormat="false" ht="15" hidden="false" customHeight="false" outlineLevel="0" collapsed="false">
      <c r="A1439" s="49" t="s">
        <v>139</v>
      </c>
      <c r="B1439" s="29" t="s">
        <v>748</v>
      </c>
      <c r="C1439" s="49" t="s">
        <v>367</v>
      </c>
      <c r="D1439" s="50" t="n">
        <v>85</v>
      </c>
      <c r="E1439" s="51" t="n">
        <f aca="false">'Analisa Harga Satuan'!$H$954</f>
        <v>181500</v>
      </c>
      <c r="F1439" s="52" t="n">
        <f aca="false">ROUND(D1439*E1439,0)</f>
        <v>15427500</v>
      </c>
      <c r="G1439" s="49" t="s">
        <v>749</v>
      </c>
      <c r="H1439" s="53" t="s">
        <v>181</v>
      </c>
    </row>
    <row r="1440" customFormat="false" ht="15" hidden="false" customHeight="false" outlineLevel="0" collapsed="false">
      <c r="A1440" s="49" t="s">
        <v>141</v>
      </c>
      <c r="B1440" s="29" t="s">
        <v>781</v>
      </c>
      <c r="C1440" s="49" t="s">
        <v>206</v>
      </c>
      <c r="D1440" s="50" t="n">
        <v>6</v>
      </c>
      <c r="E1440" s="51" t="n">
        <f aca="false">'Analisa Harga Satuan'!$H$965</f>
        <v>533500</v>
      </c>
      <c r="F1440" s="52" t="n">
        <f aca="false">ROUND(D1440*E1440,0)</f>
        <v>3201000</v>
      </c>
      <c r="G1440" s="49" t="s">
        <v>782</v>
      </c>
      <c r="H1440" s="53" t="s">
        <v>181</v>
      </c>
    </row>
    <row r="1441" customFormat="false" ht="15" hidden="false" customHeight="false" outlineLevel="0" collapsed="false">
      <c r="A1441" s="49" t="s">
        <v>143</v>
      </c>
      <c r="B1441" s="29" t="s">
        <v>783</v>
      </c>
      <c r="C1441" s="49" t="s">
        <v>784</v>
      </c>
      <c r="D1441" s="50" t="n">
        <v>6</v>
      </c>
      <c r="E1441" s="51" t="n">
        <f aca="false">'Analisa Harga Satuan'!$H$966</f>
        <v>137500</v>
      </c>
      <c r="F1441" s="52" t="n">
        <f aca="false">ROUND(D1441*E1441,0)</f>
        <v>825000</v>
      </c>
      <c r="G1441" s="49" t="s">
        <v>785</v>
      </c>
      <c r="H1441" s="53" t="s">
        <v>181</v>
      </c>
    </row>
    <row r="1442" customFormat="false" ht="15" hidden="false" customHeight="false" outlineLevel="0" collapsed="false">
      <c r="A1442" s="55"/>
      <c r="B1442" s="56" t="s">
        <v>1255</v>
      </c>
      <c r="C1442" s="55"/>
      <c r="D1442" s="55"/>
      <c r="E1442" s="55"/>
      <c r="F1442" s="27" t="n">
        <f aca="false">SUM(F1385:F1441)</f>
        <v>360555525</v>
      </c>
      <c r="G1442" s="55"/>
      <c r="H1442" s="55"/>
    </row>
    <row r="1443" customFormat="false" ht="15" hidden="false" customHeight="false" outlineLevel="0" collapsed="false">
      <c r="A1443" s="46" t="s">
        <v>88</v>
      </c>
      <c r="B1443" s="47" t="s">
        <v>117</v>
      </c>
      <c r="C1443" s="48"/>
      <c r="D1443" s="48"/>
      <c r="E1443" s="48"/>
      <c r="F1443" s="48"/>
      <c r="G1443" s="48"/>
      <c r="H1443" s="48"/>
    </row>
    <row r="1444" customFormat="false" ht="15" hidden="false" customHeight="false" outlineLevel="0" collapsed="false">
      <c r="A1444" s="60" t="s">
        <v>1093</v>
      </c>
      <c r="B1444" s="61" t="s">
        <v>1256</v>
      </c>
    </row>
    <row r="1445" customFormat="false" ht="15" hidden="false" customHeight="false" outlineLevel="0" collapsed="false">
      <c r="A1445" s="60" t="s">
        <v>78</v>
      </c>
      <c r="B1445" s="61" t="s">
        <v>789</v>
      </c>
    </row>
    <row r="1446" customFormat="false" ht="25.5" hidden="false" customHeight="true" outlineLevel="0" collapsed="false">
      <c r="A1446" s="49" t="s">
        <v>139</v>
      </c>
      <c r="B1446" s="29" t="s">
        <v>1257</v>
      </c>
      <c r="C1446" s="49" t="s">
        <v>183</v>
      </c>
      <c r="D1446" s="50" t="n">
        <v>1</v>
      </c>
      <c r="E1446" s="51" t="n">
        <f aca="false">'Analisa Harga Satuan'!$H$1088</f>
        <v>13750000</v>
      </c>
      <c r="F1446" s="52" t="n">
        <f aca="false">ROUND(D1446*E1446,0)</f>
        <v>13750000</v>
      </c>
      <c r="G1446" s="49" t="s">
        <v>1258</v>
      </c>
      <c r="H1446" s="53" t="s">
        <v>189</v>
      </c>
    </row>
    <row r="1447" customFormat="false" ht="15" hidden="false" customHeight="false" outlineLevel="0" collapsed="false">
      <c r="A1447" s="60" t="s">
        <v>93</v>
      </c>
      <c r="B1447" s="61" t="s">
        <v>812</v>
      </c>
    </row>
    <row r="1448" customFormat="false" ht="15" hidden="false" customHeight="false" outlineLevel="0" collapsed="false">
      <c r="A1448" s="49" t="s">
        <v>139</v>
      </c>
      <c r="B1448" s="29" t="s">
        <v>1127</v>
      </c>
      <c r="C1448" s="49" t="s">
        <v>431</v>
      </c>
      <c r="D1448" s="50" t="n">
        <v>40.32</v>
      </c>
      <c r="E1448" s="51" t="n">
        <f aca="false">'Analisa Harga Satuan'!$H$975</f>
        <v>423500</v>
      </c>
      <c r="F1448" s="52" t="n">
        <f aca="false">ROUND(D1448*E1448,0)</f>
        <v>17075520</v>
      </c>
      <c r="G1448" s="49" t="s">
        <v>815</v>
      </c>
      <c r="H1448" s="53" t="s">
        <v>181</v>
      </c>
    </row>
    <row r="1449" customFormat="false" ht="15" hidden="false" customHeight="false" outlineLevel="0" collapsed="false">
      <c r="A1449" s="60" t="s">
        <v>1099</v>
      </c>
      <c r="B1449" s="61" t="s">
        <v>820</v>
      </c>
    </row>
    <row r="1450" customFormat="false" ht="15" hidden="false" customHeight="false" outlineLevel="0" collapsed="false">
      <c r="A1450" s="60" t="s">
        <v>78</v>
      </c>
      <c r="B1450" s="61" t="s">
        <v>1259</v>
      </c>
    </row>
    <row r="1451" customFormat="false" ht="15" hidden="false" customHeight="false" outlineLevel="0" collapsed="false">
      <c r="A1451" s="49" t="s">
        <v>139</v>
      </c>
      <c r="B1451" s="29" t="s">
        <v>824</v>
      </c>
      <c r="C1451" s="49" t="s">
        <v>206</v>
      </c>
      <c r="D1451" s="50" t="n">
        <v>67</v>
      </c>
      <c r="E1451" s="51" t="n">
        <f aca="false">'Analisa Harga Satuan'!$H$978</f>
        <v>170775</v>
      </c>
      <c r="F1451" s="52" t="n">
        <f aca="false">ROUND(D1451*E1451,0)</f>
        <v>11441925</v>
      </c>
      <c r="G1451" s="49" t="s">
        <v>825</v>
      </c>
      <c r="H1451" s="53" t="s">
        <v>181</v>
      </c>
    </row>
    <row r="1452" customFormat="false" ht="15" hidden="false" customHeight="false" outlineLevel="0" collapsed="false">
      <c r="A1452" s="49" t="s">
        <v>141</v>
      </c>
      <c r="B1452" s="29" t="s">
        <v>1260</v>
      </c>
      <c r="C1452" s="49" t="s">
        <v>206</v>
      </c>
      <c r="D1452" s="50" t="n">
        <v>14</v>
      </c>
      <c r="E1452" s="51" t="n">
        <f aca="false">'Analisa Harga Satuan'!$H$1089</f>
        <v>158125</v>
      </c>
      <c r="F1452" s="52" t="n">
        <f aca="false">ROUND(D1452*E1452,0)</f>
        <v>2213750</v>
      </c>
      <c r="G1452" s="49" t="s">
        <v>1261</v>
      </c>
      <c r="H1452" s="53" t="s">
        <v>181</v>
      </c>
    </row>
    <row r="1453" customFormat="false" ht="15" hidden="false" customHeight="false" outlineLevel="0" collapsed="false">
      <c r="A1453" s="49" t="s">
        <v>143</v>
      </c>
      <c r="B1453" s="29" t="s">
        <v>826</v>
      </c>
      <c r="C1453" s="49" t="s">
        <v>206</v>
      </c>
      <c r="D1453" s="50" t="n">
        <v>31</v>
      </c>
      <c r="E1453" s="51" t="n">
        <f aca="false">'Analisa Harga Satuan'!$H$979</f>
        <v>499675</v>
      </c>
      <c r="F1453" s="52" t="n">
        <f aca="false">ROUND(D1453*E1453,0)</f>
        <v>15489925</v>
      </c>
      <c r="G1453" s="49" t="s">
        <v>827</v>
      </c>
      <c r="H1453" s="53" t="s">
        <v>181</v>
      </c>
    </row>
    <row r="1454" customFormat="false" ht="15" hidden="false" customHeight="false" outlineLevel="0" collapsed="false">
      <c r="A1454" s="49" t="s">
        <v>145</v>
      </c>
      <c r="B1454" s="29" t="s">
        <v>830</v>
      </c>
      <c r="C1454" s="49" t="s">
        <v>206</v>
      </c>
      <c r="D1454" s="50" t="n">
        <v>7</v>
      </c>
      <c r="E1454" s="51" t="n">
        <f aca="false">'Analisa Harga Satuan'!$H$981</f>
        <v>72600</v>
      </c>
      <c r="F1454" s="52" t="n">
        <f aca="false">ROUND(D1454*E1454,0)</f>
        <v>508200</v>
      </c>
      <c r="G1454" s="49" t="s">
        <v>831</v>
      </c>
      <c r="H1454" s="53" t="s">
        <v>181</v>
      </c>
    </row>
    <row r="1455" customFormat="false" ht="15" hidden="false" customHeight="false" outlineLevel="0" collapsed="false">
      <c r="A1455" s="49" t="s">
        <v>147</v>
      </c>
      <c r="B1455" s="29" t="s">
        <v>832</v>
      </c>
      <c r="C1455" s="49" t="s">
        <v>206</v>
      </c>
      <c r="D1455" s="50" t="n">
        <v>11</v>
      </c>
      <c r="E1455" s="51" t="n">
        <f aca="false">'Analisa Harga Satuan'!$H$982</f>
        <v>99000</v>
      </c>
      <c r="F1455" s="52" t="n">
        <f aca="false">ROUND(D1455*E1455,0)</f>
        <v>1089000</v>
      </c>
      <c r="G1455" s="49" t="s">
        <v>833</v>
      </c>
      <c r="H1455" s="53" t="s">
        <v>181</v>
      </c>
    </row>
    <row r="1456" customFormat="false" ht="15" hidden="false" customHeight="false" outlineLevel="0" collapsed="false">
      <c r="A1456" s="49" t="s">
        <v>149</v>
      </c>
      <c r="B1456" s="29" t="s">
        <v>834</v>
      </c>
      <c r="C1456" s="49" t="s">
        <v>206</v>
      </c>
      <c r="D1456" s="50" t="n">
        <v>18</v>
      </c>
      <c r="E1456" s="51" t="n">
        <f aca="false">'Analisa Harga Satuan'!$H$983</f>
        <v>81840</v>
      </c>
      <c r="F1456" s="52" t="n">
        <f aca="false">ROUND(D1456*E1456,0)</f>
        <v>1473120</v>
      </c>
      <c r="G1456" s="49" t="s">
        <v>835</v>
      </c>
      <c r="H1456" s="53" t="s">
        <v>181</v>
      </c>
    </row>
    <row r="1457" customFormat="false" ht="15" hidden="false" customHeight="false" outlineLevel="0" collapsed="false">
      <c r="A1457" s="49" t="s">
        <v>151</v>
      </c>
      <c r="B1457" s="29" t="s">
        <v>1262</v>
      </c>
      <c r="C1457" s="49" t="s">
        <v>206</v>
      </c>
      <c r="D1457" s="50" t="n">
        <v>6</v>
      </c>
      <c r="E1457" s="51" t="n">
        <f aca="false">'Analisa Harga Satuan'!$H$1090</f>
        <v>112200</v>
      </c>
      <c r="F1457" s="52" t="n">
        <f aca="false">ROUND(D1457*E1457,0)</f>
        <v>673200</v>
      </c>
      <c r="G1457" s="49" t="s">
        <v>1263</v>
      </c>
      <c r="H1457" s="53" t="s">
        <v>181</v>
      </c>
    </row>
    <row r="1458" customFormat="false" ht="15" hidden="false" customHeight="false" outlineLevel="0" collapsed="false">
      <c r="A1458" s="49" t="s">
        <v>423</v>
      </c>
      <c r="B1458" s="29" t="s">
        <v>836</v>
      </c>
      <c r="C1458" s="49" t="s">
        <v>206</v>
      </c>
      <c r="D1458" s="50" t="n">
        <v>4</v>
      </c>
      <c r="E1458" s="51" t="n">
        <f aca="false">'Analisa Harga Satuan'!$H$984</f>
        <v>487025</v>
      </c>
      <c r="F1458" s="52" t="n">
        <f aca="false">ROUND(D1458*E1458,0)</f>
        <v>1948100</v>
      </c>
      <c r="G1458" s="49" t="s">
        <v>837</v>
      </c>
      <c r="H1458" s="53" t="s">
        <v>181</v>
      </c>
    </row>
    <row r="1459" customFormat="false" ht="15" hidden="false" customHeight="false" outlineLevel="0" collapsed="false">
      <c r="A1459" s="49" t="s">
        <v>208</v>
      </c>
      <c r="B1459" s="29" t="s">
        <v>838</v>
      </c>
      <c r="C1459" s="49" t="s">
        <v>784</v>
      </c>
      <c r="D1459" s="50" t="n">
        <v>112</v>
      </c>
      <c r="E1459" s="51" t="n">
        <f aca="false">'Analisa Harga Satuan'!$H$985</f>
        <v>236500</v>
      </c>
      <c r="F1459" s="52" t="n">
        <f aca="false">ROUND(D1459*E1459,0)</f>
        <v>26488000</v>
      </c>
      <c r="G1459" s="49" t="s">
        <v>839</v>
      </c>
      <c r="H1459" s="53" t="s">
        <v>181</v>
      </c>
    </row>
    <row r="1460" customFormat="false" ht="15" hidden="false" customHeight="false" outlineLevel="0" collapsed="false">
      <c r="A1460" s="49" t="s">
        <v>217</v>
      </c>
      <c r="B1460" s="29" t="s">
        <v>840</v>
      </c>
      <c r="C1460" s="49" t="s">
        <v>784</v>
      </c>
      <c r="D1460" s="50" t="n">
        <v>18</v>
      </c>
      <c r="E1460" s="51" t="n">
        <f aca="false">'Analisa Harga Satuan'!$H$986</f>
        <v>258500</v>
      </c>
      <c r="F1460" s="52" t="n">
        <f aca="false">ROUND(D1460*E1460,0)</f>
        <v>4653000</v>
      </c>
      <c r="G1460" s="49" t="s">
        <v>841</v>
      </c>
      <c r="H1460" s="53" t="s">
        <v>181</v>
      </c>
    </row>
    <row r="1461" customFormat="false" ht="15" hidden="false" customHeight="false" outlineLevel="0" collapsed="false">
      <c r="A1461" s="49" t="s">
        <v>221</v>
      </c>
      <c r="B1461" s="29" t="s">
        <v>1264</v>
      </c>
      <c r="C1461" s="49" t="s">
        <v>784</v>
      </c>
      <c r="D1461" s="50" t="n">
        <v>6</v>
      </c>
      <c r="E1461" s="51" t="n">
        <f aca="false">'Analisa Harga Satuan'!$H$1091</f>
        <v>357500</v>
      </c>
      <c r="F1461" s="52" t="n">
        <f aca="false">ROUND(D1461*E1461,0)</f>
        <v>2145000</v>
      </c>
      <c r="G1461" s="49" t="s">
        <v>1265</v>
      </c>
      <c r="H1461" s="53" t="s">
        <v>181</v>
      </c>
    </row>
    <row r="1462" customFormat="false" ht="15" hidden="false" customHeight="false" outlineLevel="0" collapsed="false">
      <c r="A1462" s="49" t="s">
        <v>689</v>
      </c>
      <c r="B1462" s="29" t="s">
        <v>842</v>
      </c>
      <c r="C1462" s="49" t="s">
        <v>784</v>
      </c>
      <c r="D1462" s="50" t="n">
        <v>4</v>
      </c>
      <c r="E1462" s="51" t="n">
        <f aca="false">'Analisa Harga Satuan'!$H$987</f>
        <v>236500</v>
      </c>
      <c r="F1462" s="52" t="n">
        <f aca="false">ROUND(D1462*E1462,0)</f>
        <v>946000</v>
      </c>
      <c r="G1462" s="49" t="s">
        <v>843</v>
      </c>
      <c r="H1462" s="53" t="s">
        <v>181</v>
      </c>
    </row>
    <row r="1463" customFormat="false" ht="15" hidden="false" customHeight="false" outlineLevel="0" collapsed="false">
      <c r="A1463" s="60" t="s">
        <v>1134</v>
      </c>
      <c r="B1463" s="61" t="s">
        <v>886</v>
      </c>
    </row>
    <row r="1464" customFormat="false" ht="15" hidden="false" customHeight="false" outlineLevel="0" collapsed="false">
      <c r="A1464" s="60" t="s">
        <v>78</v>
      </c>
      <c r="B1464" s="61" t="s">
        <v>849</v>
      </c>
    </row>
    <row r="1465" customFormat="false" ht="15" hidden="false" customHeight="false" outlineLevel="0" collapsed="false">
      <c r="A1465" s="49" t="s">
        <v>139</v>
      </c>
      <c r="B1465" s="29" t="s">
        <v>1135</v>
      </c>
      <c r="C1465" s="49" t="s">
        <v>520</v>
      </c>
      <c r="D1465" s="50" t="n">
        <v>1</v>
      </c>
      <c r="E1465" s="51" t="n">
        <f aca="false">'Analisa Harga Satuan'!$H$1068</f>
        <v>9350000</v>
      </c>
      <c r="F1465" s="52" t="n">
        <f aca="false">ROUND(D1465*E1465,0)</f>
        <v>9350000</v>
      </c>
      <c r="G1465" s="49" t="s">
        <v>1136</v>
      </c>
      <c r="H1465" s="53" t="s">
        <v>181</v>
      </c>
    </row>
    <row r="1466" customFormat="false" ht="25.5" hidden="false" customHeight="true" outlineLevel="0" collapsed="false">
      <c r="A1466" s="49" t="s">
        <v>143</v>
      </c>
      <c r="B1466" s="29" t="s">
        <v>891</v>
      </c>
      <c r="C1466" s="49" t="s">
        <v>784</v>
      </c>
      <c r="D1466" s="50" t="n">
        <v>1</v>
      </c>
      <c r="E1466" s="51" t="n">
        <f aca="false">'Analisa Harga Satuan'!$H$1006</f>
        <v>495000</v>
      </c>
      <c r="F1466" s="52" t="n">
        <f aca="false">ROUND(D1466*E1466,0)</f>
        <v>495000</v>
      </c>
      <c r="G1466" s="49" t="s">
        <v>892</v>
      </c>
      <c r="H1466" s="53" t="s">
        <v>181</v>
      </c>
    </row>
    <row r="1467" customFormat="false" ht="15" hidden="false" customHeight="false" outlineLevel="0" collapsed="false">
      <c r="A1467" s="60" t="s">
        <v>93</v>
      </c>
      <c r="B1467" s="61" t="s">
        <v>1137</v>
      </c>
    </row>
    <row r="1468" customFormat="false" ht="15" hidden="false" customHeight="false" outlineLevel="0" collapsed="false">
      <c r="A1468" s="49" t="s">
        <v>139</v>
      </c>
      <c r="B1468" s="29" t="s">
        <v>894</v>
      </c>
      <c r="C1468" s="49" t="s">
        <v>520</v>
      </c>
      <c r="D1468" s="50" t="n">
        <v>1</v>
      </c>
      <c r="E1468" s="51" t="n">
        <f aca="false">'Analisa Harga Satuan'!$H$1007</f>
        <v>715000</v>
      </c>
      <c r="F1468" s="52" t="n">
        <f aca="false">ROUND(D1468*E1468,0)</f>
        <v>715000</v>
      </c>
      <c r="G1468" s="49" t="s">
        <v>895</v>
      </c>
      <c r="H1468" s="53" t="s">
        <v>181</v>
      </c>
    </row>
    <row r="1469" customFormat="false" ht="15" hidden="false" customHeight="false" outlineLevel="0" collapsed="false">
      <c r="A1469" s="49" t="s">
        <v>141</v>
      </c>
      <c r="B1469" s="29" t="s">
        <v>896</v>
      </c>
      <c r="C1469" s="49" t="s">
        <v>367</v>
      </c>
      <c r="D1469" s="50" t="n">
        <v>12</v>
      </c>
      <c r="E1469" s="51" t="n">
        <f aca="false">'Analisa Harga Satuan'!$H$1008</f>
        <v>52800</v>
      </c>
      <c r="F1469" s="52" t="n">
        <f aca="false">ROUND(D1469*E1469,0)</f>
        <v>633600</v>
      </c>
      <c r="G1469" s="49" t="s">
        <v>897</v>
      </c>
      <c r="H1469" s="53" t="s">
        <v>181</v>
      </c>
    </row>
    <row r="1470" customFormat="false" ht="15" hidden="false" customHeight="false" outlineLevel="0" collapsed="false">
      <c r="A1470" s="49" t="s">
        <v>145</v>
      </c>
      <c r="B1470" s="29" t="s">
        <v>900</v>
      </c>
      <c r="C1470" s="49" t="s">
        <v>206</v>
      </c>
      <c r="D1470" s="50" t="n">
        <v>10</v>
      </c>
      <c r="E1470" s="51" t="n">
        <f aca="false">'Analisa Harga Satuan'!$H$1010</f>
        <v>436425</v>
      </c>
      <c r="F1470" s="52" t="n">
        <f aca="false">ROUND(D1470*E1470,0)</f>
        <v>4364250</v>
      </c>
      <c r="G1470" s="49" t="s">
        <v>901</v>
      </c>
      <c r="H1470" s="53" t="s">
        <v>181</v>
      </c>
    </row>
    <row r="1471" customFormat="false" ht="15" hidden="false" customHeight="false" outlineLevel="0" collapsed="false">
      <c r="A1471" s="49" t="s">
        <v>147</v>
      </c>
      <c r="B1471" s="29" t="s">
        <v>902</v>
      </c>
      <c r="C1471" s="49" t="s">
        <v>206</v>
      </c>
      <c r="D1471" s="50" t="n">
        <v>1</v>
      </c>
      <c r="E1471" s="51" t="n">
        <f aca="false">'Analisa Harga Satuan'!$H$1011</f>
        <v>360525</v>
      </c>
      <c r="F1471" s="52" t="n">
        <f aca="false">ROUND(D1471*E1471,0)</f>
        <v>360525</v>
      </c>
      <c r="G1471" s="49" t="s">
        <v>903</v>
      </c>
      <c r="H1471" s="53" t="s">
        <v>181</v>
      </c>
    </row>
    <row r="1472" customFormat="false" ht="15" hidden="false" customHeight="false" outlineLevel="0" collapsed="false">
      <c r="A1472" s="49" t="s">
        <v>149</v>
      </c>
      <c r="B1472" s="29" t="s">
        <v>904</v>
      </c>
      <c r="C1472" s="49" t="s">
        <v>206</v>
      </c>
      <c r="D1472" s="50" t="n">
        <v>1</v>
      </c>
      <c r="E1472" s="51" t="n">
        <f aca="false">'Analisa Harga Satuan'!$H$1012</f>
        <v>487025</v>
      </c>
      <c r="F1472" s="52" t="n">
        <f aca="false">ROUND(D1472*E1472,0)</f>
        <v>487025</v>
      </c>
      <c r="G1472" s="49" t="s">
        <v>905</v>
      </c>
      <c r="H1472" s="53" t="s">
        <v>181</v>
      </c>
    </row>
    <row r="1473" customFormat="false" ht="15" hidden="false" customHeight="false" outlineLevel="0" collapsed="false">
      <c r="A1473" s="49" t="s">
        <v>151</v>
      </c>
      <c r="B1473" s="29" t="s">
        <v>906</v>
      </c>
      <c r="C1473" s="49" t="s">
        <v>206</v>
      </c>
      <c r="D1473" s="50" t="n">
        <v>1</v>
      </c>
      <c r="E1473" s="51" t="n">
        <f aca="false">'Analisa Harga Satuan'!$H$1013</f>
        <v>208725</v>
      </c>
      <c r="F1473" s="52" t="n">
        <f aca="false">ROUND(D1473*E1473,0)</f>
        <v>208725</v>
      </c>
      <c r="G1473" s="49" t="s">
        <v>907</v>
      </c>
      <c r="H1473" s="53" t="s">
        <v>181</v>
      </c>
    </row>
    <row r="1474" customFormat="false" ht="25.5" hidden="false" customHeight="true" outlineLevel="0" collapsed="false">
      <c r="A1474" s="49" t="s">
        <v>423</v>
      </c>
      <c r="B1474" s="29" t="s">
        <v>908</v>
      </c>
      <c r="C1474" s="49" t="s">
        <v>784</v>
      </c>
      <c r="D1474" s="50" t="n">
        <v>10</v>
      </c>
      <c r="E1474" s="51" t="n">
        <f aca="false">'Analisa Harga Satuan'!$H$1014</f>
        <v>324500</v>
      </c>
      <c r="F1474" s="52" t="n">
        <f aca="false">ROUND(D1474*E1474,0)</f>
        <v>3245000</v>
      </c>
      <c r="G1474" s="49" t="s">
        <v>909</v>
      </c>
      <c r="H1474" s="53" t="s">
        <v>181</v>
      </c>
    </row>
    <row r="1475" customFormat="false" ht="25.5" hidden="false" customHeight="true" outlineLevel="0" collapsed="false">
      <c r="A1475" s="49" t="s">
        <v>208</v>
      </c>
      <c r="B1475" s="29" t="s">
        <v>910</v>
      </c>
      <c r="C1475" s="49" t="s">
        <v>784</v>
      </c>
      <c r="D1475" s="50" t="n">
        <v>1</v>
      </c>
      <c r="E1475" s="51" t="n">
        <f aca="false">'Analisa Harga Satuan'!$H$1014</f>
        <v>324500</v>
      </c>
      <c r="F1475" s="52" t="n">
        <f aca="false">ROUND(D1475*E1475,0)</f>
        <v>324500</v>
      </c>
      <c r="G1475" s="49" t="s">
        <v>909</v>
      </c>
      <c r="H1475" s="53" t="s">
        <v>181</v>
      </c>
    </row>
    <row r="1476" customFormat="false" ht="25.5" hidden="false" customHeight="true" outlineLevel="0" collapsed="false">
      <c r="A1476" s="49" t="s">
        <v>217</v>
      </c>
      <c r="B1476" s="29" t="s">
        <v>911</v>
      </c>
      <c r="C1476" s="49" t="s">
        <v>784</v>
      </c>
      <c r="D1476" s="50" t="n">
        <v>1</v>
      </c>
      <c r="E1476" s="51" t="n">
        <f aca="false">'Analisa Harga Satuan'!$H$1014</f>
        <v>324500</v>
      </c>
      <c r="F1476" s="52" t="n">
        <f aca="false">ROUND(D1476*E1476,0)</f>
        <v>324500</v>
      </c>
      <c r="G1476" s="49" t="s">
        <v>909</v>
      </c>
      <c r="H1476" s="53" t="s">
        <v>181</v>
      </c>
    </row>
    <row r="1477" customFormat="false" ht="15" hidden="false" customHeight="false" outlineLevel="0" collapsed="false">
      <c r="A1477" s="60" t="s">
        <v>1107</v>
      </c>
      <c r="B1477" s="61" t="s">
        <v>934</v>
      </c>
    </row>
    <row r="1478" customFormat="false" ht="15" hidden="false" customHeight="false" outlineLevel="0" collapsed="false">
      <c r="A1478" s="60" t="s">
        <v>78</v>
      </c>
      <c r="B1478" s="61" t="s">
        <v>935</v>
      </c>
    </row>
    <row r="1479" customFormat="false" ht="15" hidden="false" customHeight="false" outlineLevel="0" collapsed="false">
      <c r="A1479" s="49" t="s">
        <v>139</v>
      </c>
      <c r="B1479" s="29" t="s">
        <v>1138</v>
      </c>
      <c r="C1479" s="49" t="s">
        <v>520</v>
      </c>
      <c r="D1479" s="50" t="n">
        <v>15</v>
      </c>
      <c r="E1479" s="51" t="n">
        <f aca="false">'Analisa Harga Satuan'!$H$1069</f>
        <v>4235000</v>
      </c>
      <c r="F1479" s="52" t="n">
        <f aca="false">ROUND(D1479*E1479,0)</f>
        <v>63525000</v>
      </c>
      <c r="G1479" s="49" t="s">
        <v>1139</v>
      </c>
      <c r="H1479" s="53" t="s">
        <v>181</v>
      </c>
    </row>
    <row r="1480" customFormat="false" ht="15" hidden="false" customHeight="false" outlineLevel="0" collapsed="false">
      <c r="A1480" s="49" t="s">
        <v>141</v>
      </c>
      <c r="B1480" s="29" t="s">
        <v>1140</v>
      </c>
      <c r="C1480" s="49" t="s">
        <v>367</v>
      </c>
      <c r="D1480" s="50" t="n">
        <v>90</v>
      </c>
      <c r="E1480" s="51" t="n">
        <f aca="false">'Analisa Harga Satuan'!$H$1027</f>
        <v>115500</v>
      </c>
      <c r="F1480" s="52" t="n">
        <f aca="false">ROUND(D1480*E1480,0)</f>
        <v>10395000</v>
      </c>
      <c r="G1480" s="49" t="s">
        <v>952</v>
      </c>
      <c r="H1480" s="53" t="s">
        <v>181</v>
      </c>
    </row>
    <row r="1481" customFormat="false" ht="15" hidden="false" customHeight="false" outlineLevel="0" collapsed="false">
      <c r="A1481" s="49" t="s">
        <v>143</v>
      </c>
      <c r="B1481" s="29" t="s">
        <v>1141</v>
      </c>
      <c r="C1481" s="49" t="s">
        <v>943</v>
      </c>
      <c r="D1481" s="50" t="n">
        <v>1</v>
      </c>
      <c r="E1481" s="51" t="n">
        <f aca="false">'Analisa Harga Satuan'!$H$1070</f>
        <v>10450000</v>
      </c>
      <c r="F1481" s="52" t="n">
        <f aca="false">ROUND(D1481*E1481,0)</f>
        <v>10450000</v>
      </c>
      <c r="G1481" s="49" t="s">
        <v>1142</v>
      </c>
      <c r="H1481" s="53" t="s">
        <v>189</v>
      </c>
    </row>
    <row r="1482" customFormat="false" ht="15" hidden="false" customHeight="false" outlineLevel="0" collapsed="false">
      <c r="B1482" s="54" t="s">
        <v>1143</v>
      </c>
    </row>
    <row r="1483" customFormat="false" ht="15" hidden="false" customHeight="false" outlineLevel="0" collapsed="false">
      <c r="A1483" s="49" t="s">
        <v>145</v>
      </c>
      <c r="B1483" s="29" t="s">
        <v>945</v>
      </c>
      <c r="C1483" s="49" t="s">
        <v>179</v>
      </c>
      <c r="D1483" s="50" t="n">
        <v>1</v>
      </c>
      <c r="E1483" s="51" t="n">
        <f aca="false">'Analisa Harga Satuan'!$H$1025</f>
        <v>1375000</v>
      </c>
      <c r="F1483" s="52" t="n">
        <f aca="false">ROUND(D1483*E1483,0)</f>
        <v>1375000</v>
      </c>
      <c r="G1483" s="49" t="s">
        <v>946</v>
      </c>
      <c r="H1483" s="53" t="s">
        <v>181</v>
      </c>
    </row>
    <row r="1484" customFormat="false" ht="15" hidden="false" customHeight="false" outlineLevel="0" collapsed="false">
      <c r="A1484" s="60" t="s">
        <v>93</v>
      </c>
      <c r="B1484" s="61" t="s">
        <v>947</v>
      </c>
    </row>
    <row r="1485" customFormat="false" ht="25.5" hidden="false" customHeight="true" outlineLevel="0" collapsed="false">
      <c r="A1485" s="49" t="s">
        <v>139</v>
      </c>
      <c r="B1485" s="29" t="s">
        <v>1144</v>
      </c>
      <c r="C1485" s="49" t="s">
        <v>943</v>
      </c>
      <c r="D1485" s="50" t="n">
        <v>1</v>
      </c>
      <c r="E1485" s="51" t="n">
        <f aca="false">'Analisa Harga Satuan'!$H$1071</f>
        <v>13750000</v>
      </c>
      <c r="F1485" s="52" t="n">
        <f aca="false">ROUND(D1485*E1485,0)</f>
        <v>13750000</v>
      </c>
      <c r="G1485" s="49" t="s">
        <v>1145</v>
      </c>
      <c r="H1485" s="53" t="s">
        <v>189</v>
      </c>
    </row>
    <row r="1486" customFormat="false" ht="15" hidden="false" customHeight="false" outlineLevel="0" collapsed="false">
      <c r="A1486" s="49" t="s">
        <v>141</v>
      </c>
      <c r="B1486" s="29" t="s">
        <v>1146</v>
      </c>
      <c r="C1486" s="49" t="s">
        <v>367</v>
      </c>
      <c r="D1486" s="50" t="n">
        <v>90</v>
      </c>
      <c r="E1486" s="51" t="n">
        <f aca="false">'Analisa Harga Satuan'!$H$1027</f>
        <v>115500</v>
      </c>
      <c r="F1486" s="52" t="n">
        <f aca="false">ROUND(D1486*E1486,0)</f>
        <v>10395000</v>
      </c>
      <c r="G1486" s="49" t="s">
        <v>952</v>
      </c>
      <c r="H1486" s="53" t="s">
        <v>181</v>
      </c>
    </row>
    <row r="1487" customFormat="false" ht="15" hidden="false" customHeight="false" outlineLevel="0" collapsed="false">
      <c r="A1487" s="49" t="s">
        <v>143</v>
      </c>
      <c r="B1487" s="29" t="s">
        <v>945</v>
      </c>
      <c r="C1487" s="49" t="s">
        <v>179</v>
      </c>
      <c r="D1487" s="50" t="n">
        <v>1</v>
      </c>
      <c r="E1487" s="51" t="n">
        <f aca="false">'Analisa Harga Satuan'!$H$1025</f>
        <v>1375000</v>
      </c>
      <c r="F1487" s="52" t="n">
        <f aca="false">ROUND(D1487*E1487,0)</f>
        <v>1375000</v>
      </c>
      <c r="G1487" s="49" t="s">
        <v>946</v>
      </c>
      <c r="H1487" s="53" t="s">
        <v>181</v>
      </c>
    </row>
    <row r="1488" customFormat="false" ht="15" hidden="false" customHeight="false" outlineLevel="0" collapsed="false">
      <c r="A1488" s="55"/>
      <c r="B1488" s="56" t="s">
        <v>1266</v>
      </c>
      <c r="C1488" s="55"/>
      <c r="D1488" s="55"/>
      <c r="E1488" s="55"/>
      <c r="F1488" s="27" t="n">
        <f aca="false">SUM(F1444:F1487)</f>
        <v>231667865</v>
      </c>
      <c r="G1488" s="55"/>
      <c r="H1488" s="55"/>
    </row>
    <row r="1489" customFormat="false" ht="15" hidden="false" customHeight="false" outlineLevel="0" collapsed="false">
      <c r="A1489" s="57"/>
      <c r="B1489" s="58" t="s">
        <v>1267</v>
      </c>
      <c r="C1489" s="57"/>
      <c r="D1489" s="57"/>
      <c r="E1489" s="57"/>
      <c r="F1489" s="34" t="n">
        <f aca="false">F1242+F1320+F1383+F1442+F1488</f>
        <v>4764508439</v>
      </c>
      <c r="G1489" s="57"/>
      <c r="H1489" s="57"/>
    </row>
    <row r="1491" customFormat="false" ht="15" hidden="false" customHeight="false" outlineLevel="0" collapsed="false">
      <c r="A1491" s="59" t="s">
        <v>119</v>
      </c>
      <c r="B1491" s="24" t="s">
        <v>120</v>
      </c>
      <c r="C1491" s="23"/>
      <c r="D1491" s="23"/>
      <c r="E1491" s="23"/>
      <c r="F1491" s="23"/>
      <c r="G1491" s="23"/>
      <c r="H1491" s="23"/>
    </row>
    <row r="1492" customFormat="false" ht="15" hidden="false" customHeight="false" outlineLevel="0" collapsed="false">
      <c r="A1492" s="46" t="s">
        <v>80</v>
      </c>
      <c r="B1492" s="47" t="s">
        <v>121</v>
      </c>
      <c r="C1492" s="48"/>
      <c r="D1492" s="48"/>
      <c r="E1492" s="48"/>
      <c r="F1492" s="48"/>
      <c r="G1492" s="48"/>
      <c r="H1492" s="48"/>
    </row>
    <row r="1493" customFormat="false" ht="15" hidden="false" customHeight="false" outlineLevel="0" collapsed="false">
      <c r="A1493" s="60" t="s">
        <v>78</v>
      </c>
      <c r="B1493" s="61" t="s">
        <v>1268</v>
      </c>
    </row>
    <row r="1494" customFormat="false" ht="15" hidden="false" customHeight="false" outlineLevel="0" collapsed="false">
      <c r="A1494" s="49" t="s">
        <v>139</v>
      </c>
      <c r="B1494" s="29" t="s">
        <v>302</v>
      </c>
      <c r="C1494" s="49" t="s">
        <v>303</v>
      </c>
      <c r="D1494" s="50" t="n">
        <v>748.17</v>
      </c>
      <c r="E1494" s="51" t="n">
        <f aca="false">'Analisa Harga Satuan'!$F$17</f>
        <v>105050</v>
      </c>
      <c r="F1494" s="52" t="n">
        <f aca="false">ROUND(D1494*E1494,0)</f>
        <v>78595259</v>
      </c>
      <c r="G1494" s="49" t="s">
        <v>304</v>
      </c>
      <c r="H1494" s="53" t="s">
        <v>305</v>
      </c>
    </row>
    <row r="1495" customFormat="false" ht="15" hidden="false" customHeight="false" outlineLevel="0" collapsed="false">
      <c r="A1495" s="49" t="s">
        <v>141</v>
      </c>
      <c r="B1495" s="29" t="s">
        <v>306</v>
      </c>
      <c r="C1495" s="49" t="s">
        <v>303</v>
      </c>
      <c r="D1495" s="50" t="n">
        <v>123.15</v>
      </c>
      <c r="E1495" s="51" t="n">
        <f aca="false">'Analisa Harga Satuan'!$F$31</f>
        <v>113135</v>
      </c>
      <c r="F1495" s="52" t="n">
        <f aca="false">ROUND(D1495*E1495,0)</f>
        <v>13932575</v>
      </c>
      <c r="G1495" s="49" t="s">
        <v>307</v>
      </c>
      <c r="H1495" s="53" t="s">
        <v>305</v>
      </c>
    </row>
    <row r="1496" customFormat="false" ht="15" hidden="false" customHeight="false" outlineLevel="0" collapsed="false">
      <c r="A1496" s="49" t="s">
        <v>143</v>
      </c>
      <c r="B1496" s="29" t="s">
        <v>308</v>
      </c>
      <c r="C1496" s="49" t="s">
        <v>303</v>
      </c>
      <c r="D1496" s="50" t="n">
        <v>625.02</v>
      </c>
      <c r="E1496" s="51" t="n">
        <f aca="false">'Analisa Harga Satuan'!$F$44</f>
        <v>65175</v>
      </c>
      <c r="F1496" s="52" t="n">
        <f aca="false">ROUND(D1496*E1496,0)</f>
        <v>40735679</v>
      </c>
      <c r="G1496" s="49" t="s">
        <v>309</v>
      </c>
      <c r="H1496" s="53" t="s">
        <v>305</v>
      </c>
    </row>
    <row r="1497" customFormat="false" ht="15" hidden="false" customHeight="false" outlineLevel="0" collapsed="false">
      <c r="A1497" s="49" t="s">
        <v>145</v>
      </c>
      <c r="B1497" s="29" t="s">
        <v>1269</v>
      </c>
      <c r="C1497" s="49" t="s">
        <v>303</v>
      </c>
      <c r="D1497" s="50" t="n">
        <v>12.47</v>
      </c>
      <c r="E1497" s="51" t="n">
        <f aca="false">'Analisa Harga Satuan'!$F$57</f>
        <v>470250</v>
      </c>
      <c r="F1497" s="52" t="n">
        <f aca="false">ROUND(D1497*E1497,0)</f>
        <v>5864018</v>
      </c>
      <c r="G1497" s="49" t="s">
        <v>311</v>
      </c>
      <c r="H1497" s="53" t="s">
        <v>305</v>
      </c>
    </row>
    <row r="1498" customFormat="false" ht="15" hidden="false" customHeight="false" outlineLevel="0" collapsed="false">
      <c r="A1498" s="60" t="s">
        <v>93</v>
      </c>
      <c r="B1498" s="61" t="s">
        <v>312</v>
      </c>
    </row>
    <row r="1499" customFormat="false" ht="15" hidden="false" customHeight="false" outlineLevel="0" collapsed="false">
      <c r="A1499" s="49" t="s">
        <v>139</v>
      </c>
      <c r="B1499" s="29" t="s">
        <v>313</v>
      </c>
      <c r="C1499" s="49" t="s">
        <v>303</v>
      </c>
      <c r="D1499" s="50" t="n">
        <v>275.49</v>
      </c>
      <c r="E1499" s="51" t="n">
        <f aca="false">'Analisa Harga Satuan'!$F$73</f>
        <v>211750</v>
      </c>
      <c r="F1499" s="52" t="n">
        <f aca="false">ROUND(D1499*E1499,0)</f>
        <v>58335008</v>
      </c>
      <c r="G1499" s="49" t="s">
        <v>314</v>
      </c>
      <c r="H1499" s="53" t="s">
        <v>305</v>
      </c>
    </row>
    <row r="1500" customFormat="false" ht="15" hidden="false" customHeight="false" outlineLevel="0" collapsed="false">
      <c r="A1500" s="49" t="s">
        <v>141</v>
      </c>
      <c r="B1500" s="29" t="s">
        <v>315</v>
      </c>
      <c r="C1500" s="49" t="s">
        <v>303</v>
      </c>
      <c r="D1500" s="50" t="n">
        <v>275.49</v>
      </c>
      <c r="E1500" s="51" t="n">
        <f aca="false">'Analisa Harga Satuan'!$F$89</f>
        <v>25355</v>
      </c>
      <c r="F1500" s="52" t="n">
        <f aca="false">ROUND(D1500*E1500,0)</f>
        <v>6985049</v>
      </c>
      <c r="G1500" s="49" t="s">
        <v>316</v>
      </c>
      <c r="H1500" s="53" t="s">
        <v>305</v>
      </c>
    </row>
    <row r="1501" customFormat="false" ht="15" hidden="false" customHeight="false" outlineLevel="0" collapsed="false">
      <c r="A1501" s="49" t="s">
        <v>143</v>
      </c>
      <c r="B1501" s="29" t="s">
        <v>310</v>
      </c>
      <c r="C1501" s="49" t="s">
        <v>303</v>
      </c>
      <c r="D1501" s="50" t="n">
        <v>14.43</v>
      </c>
      <c r="E1501" s="51" t="n">
        <f aca="false">'Analisa Harga Satuan'!$F$57</f>
        <v>470250</v>
      </c>
      <c r="F1501" s="52" t="n">
        <f aca="false">ROUND(D1501*E1501,0)</f>
        <v>6785708</v>
      </c>
      <c r="G1501" s="49" t="s">
        <v>311</v>
      </c>
      <c r="H1501" s="53" t="s">
        <v>305</v>
      </c>
    </row>
    <row r="1502" customFormat="false" ht="15" hidden="false" customHeight="false" outlineLevel="0" collapsed="false">
      <c r="A1502" s="55"/>
      <c r="B1502" s="56" t="s">
        <v>1270</v>
      </c>
      <c r="C1502" s="55"/>
      <c r="D1502" s="55"/>
      <c r="E1502" s="55"/>
      <c r="F1502" s="27" t="n">
        <f aca="false">SUM(F1493:F1501)</f>
        <v>211233296</v>
      </c>
      <c r="G1502" s="55"/>
      <c r="H1502" s="55"/>
    </row>
    <row r="1503" customFormat="false" ht="15" hidden="false" customHeight="false" outlineLevel="0" collapsed="false">
      <c r="A1503" s="46" t="s">
        <v>82</v>
      </c>
      <c r="B1503" s="47" t="s">
        <v>122</v>
      </c>
      <c r="C1503" s="48"/>
      <c r="D1503" s="48"/>
      <c r="E1503" s="48"/>
      <c r="F1503" s="48"/>
      <c r="G1503" s="48"/>
      <c r="H1503" s="48"/>
    </row>
    <row r="1504" customFormat="false" ht="15" hidden="false" customHeight="false" outlineLevel="0" collapsed="false">
      <c r="A1504" s="60" t="s">
        <v>962</v>
      </c>
      <c r="B1504" s="61" t="s">
        <v>321</v>
      </c>
    </row>
    <row r="1505" customFormat="false" ht="15" hidden="false" customHeight="false" outlineLevel="0" collapsed="false">
      <c r="A1505" s="60" t="s">
        <v>78</v>
      </c>
      <c r="B1505" s="61" t="s">
        <v>1271</v>
      </c>
    </row>
    <row r="1506" customFormat="false" ht="15" hidden="false" customHeight="false" outlineLevel="0" collapsed="false">
      <c r="A1506" s="49" t="s">
        <v>139</v>
      </c>
      <c r="B1506" s="29" t="s">
        <v>323</v>
      </c>
      <c r="C1506" s="49" t="s">
        <v>303</v>
      </c>
      <c r="D1506" s="50" t="n">
        <v>12.47</v>
      </c>
      <c r="E1506" s="51" t="n">
        <f aca="false">'Analisa Harga Satuan'!$F$228</f>
        <v>1386820</v>
      </c>
      <c r="F1506" s="52" t="n">
        <f aca="false">ROUND(D1506*E1506,0)</f>
        <v>17293645</v>
      </c>
      <c r="G1506" s="49" t="s">
        <v>324</v>
      </c>
      <c r="H1506" s="53" t="s">
        <v>305</v>
      </c>
    </row>
    <row r="1507" customFormat="false" ht="15" hidden="false" customHeight="false" outlineLevel="0" collapsed="false">
      <c r="A1507" s="49" t="s">
        <v>141</v>
      </c>
      <c r="B1507" s="29" t="s">
        <v>325</v>
      </c>
      <c r="C1507" s="49" t="s">
        <v>303</v>
      </c>
      <c r="D1507" s="50" t="n">
        <v>89.1</v>
      </c>
      <c r="E1507" s="51" t="n">
        <f aca="false">'Analisa Harga Satuan'!$F$294</f>
        <v>1803236</v>
      </c>
      <c r="F1507" s="52" t="n">
        <f aca="false">ROUND(D1507*E1507,0)</f>
        <v>160668328</v>
      </c>
      <c r="G1507" s="49" t="s">
        <v>326</v>
      </c>
      <c r="H1507" s="53" t="s">
        <v>305</v>
      </c>
    </row>
    <row r="1508" customFormat="false" ht="15" hidden="false" customHeight="false" outlineLevel="0" collapsed="false">
      <c r="A1508" s="49" t="s">
        <v>143</v>
      </c>
      <c r="B1508" s="29" t="s">
        <v>327</v>
      </c>
      <c r="C1508" s="49" t="s">
        <v>328</v>
      </c>
      <c r="D1508" s="50" t="n">
        <v>8154.51</v>
      </c>
      <c r="E1508" s="51" t="n">
        <f aca="false">'Analisa Harga Satuan'!$F$310</f>
        <v>23191</v>
      </c>
      <c r="F1508" s="52" t="n">
        <f aca="false">ROUND(D1508*E1508,0)</f>
        <v>189111241</v>
      </c>
      <c r="G1508" s="49" t="s">
        <v>329</v>
      </c>
      <c r="H1508" s="53" t="s">
        <v>305</v>
      </c>
    </row>
    <row r="1509" customFormat="false" ht="15" hidden="false" customHeight="false" outlineLevel="0" collapsed="false">
      <c r="A1509" s="49" t="s">
        <v>145</v>
      </c>
      <c r="B1509" s="29" t="s">
        <v>330</v>
      </c>
      <c r="C1509" s="49" t="s">
        <v>331</v>
      </c>
      <c r="D1509" s="50" t="n">
        <v>108</v>
      </c>
      <c r="E1509" s="51" t="n">
        <f aca="false">'Analisa Harga Satuan'!$F$330</f>
        <v>398959</v>
      </c>
      <c r="F1509" s="52" t="n">
        <f aca="false">ROUND(D1509*E1509,0)</f>
        <v>43087572</v>
      </c>
      <c r="G1509" s="49" t="s">
        <v>332</v>
      </c>
      <c r="H1509" s="53" t="s">
        <v>305</v>
      </c>
    </row>
    <row r="1510" customFormat="false" ht="15" hidden="false" customHeight="false" outlineLevel="0" collapsed="false">
      <c r="A1510" s="60" t="s">
        <v>93</v>
      </c>
      <c r="B1510" s="61" t="s">
        <v>1272</v>
      </c>
    </row>
    <row r="1511" customFormat="false" ht="15" hidden="false" customHeight="false" outlineLevel="0" collapsed="false">
      <c r="A1511" s="49" t="s">
        <v>139</v>
      </c>
      <c r="B1511" s="29" t="s">
        <v>325</v>
      </c>
      <c r="C1511" s="49" t="s">
        <v>303</v>
      </c>
      <c r="D1511" s="50" t="n">
        <v>10.39</v>
      </c>
      <c r="E1511" s="51" t="n">
        <f aca="false">'Analisa Harga Satuan'!$F$294</f>
        <v>1803236</v>
      </c>
      <c r="F1511" s="52" t="n">
        <f aca="false">ROUND(D1511*E1511,0)</f>
        <v>18735622</v>
      </c>
      <c r="G1511" s="49" t="s">
        <v>326</v>
      </c>
      <c r="H1511" s="53" t="s">
        <v>305</v>
      </c>
    </row>
    <row r="1512" customFormat="false" ht="15" hidden="false" customHeight="false" outlineLevel="0" collapsed="false">
      <c r="A1512" s="49" t="s">
        <v>141</v>
      </c>
      <c r="B1512" s="29" t="s">
        <v>327</v>
      </c>
      <c r="C1512" s="49" t="s">
        <v>328</v>
      </c>
      <c r="D1512" s="50" t="n">
        <v>1720.78</v>
      </c>
      <c r="E1512" s="51" t="n">
        <f aca="false">'Analisa Harga Satuan'!$F$310</f>
        <v>23191</v>
      </c>
      <c r="F1512" s="52" t="n">
        <f aca="false">ROUND(D1512*E1512,0)</f>
        <v>39906609</v>
      </c>
      <c r="G1512" s="49" t="s">
        <v>329</v>
      </c>
      <c r="H1512" s="53" t="s">
        <v>305</v>
      </c>
    </row>
    <row r="1513" customFormat="false" ht="15" hidden="false" customHeight="false" outlineLevel="0" collapsed="false">
      <c r="A1513" s="49" t="s">
        <v>143</v>
      </c>
      <c r="B1513" s="29" t="s">
        <v>330</v>
      </c>
      <c r="C1513" s="49" t="s">
        <v>331</v>
      </c>
      <c r="D1513" s="50" t="n">
        <v>92.34</v>
      </c>
      <c r="E1513" s="51" t="n">
        <f aca="false">'Analisa Harga Satuan'!$F$330</f>
        <v>398959</v>
      </c>
      <c r="F1513" s="52" t="n">
        <f aca="false">ROUND(D1513*E1513,0)</f>
        <v>36839874</v>
      </c>
      <c r="G1513" s="49" t="s">
        <v>332</v>
      </c>
      <c r="H1513" s="53" t="s">
        <v>305</v>
      </c>
    </row>
    <row r="1514" customFormat="false" ht="15" hidden="false" customHeight="false" outlineLevel="0" collapsed="false">
      <c r="A1514" s="60" t="s">
        <v>102</v>
      </c>
      <c r="B1514" s="61" t="s">
        <v>1273</v>
      </c>
    </row>
    <row r="1515" customFormat="false" ht="15" hidden="false" customHeight="false" outlineLevel="0" collapsed="false">
      <c r="A1515" s="49" t="s">
        <v>139</v>
      </c>
      <c r="B1515" s="29" t="s">
        <v>1274</v>
      </c>
      <c r="C1515" s="49" t="s">
        <v>303</v>
      </c>
      <c r="D1515" s="50" t="n">
        <v>29.19</v>
      </c>
      <c r="E1515" s="51" t="n">
        <f aca="false">'Analisa Harga Satuan'!$F$189</f>
        <v>1456103</v>
      </c>
      <c r="F1515" s="52" t="n">
        <f aca="false">ROUND(D1515*E1515,0)</f>
        <v>42503647</v>
      </c>
      <c r="G1515" s="49" t="s">
        <v>339</v>
      </c>
      <c r="H1515" s="53" t="s">
        <v>305</v>
      </c>
    </row>
    <row r="1516" customFormat="false" ht="15" hidden="false" customHeight="false" outlineLevel="0" collapsed="false">
      <c r="A1516" s="60" t="s">
        <v>111</v>
      </c>
      <c r="B1516" s="61" t="s">
        <v>1275</v>
      </c>
    </row>
    <row r="1517" customFormat="false" ht="15" hidden="false" customHeight="false" outlineLevel="0" collapsed="false">
      <c r="A1517" s="49" t="s">
        <v>139</v>
      </c>
      <c r="B1517" s="29" t="s">
        <v>323</v>
      </c>
      <c r="C1517" s="49" t="s">
        <v>303</v>
      </c>
      <c r="D1517" s="50" t="n">
        <v>2.88</v>
      </c>
      <c r="E1517" s="51" t="n">
        <f aca="false">'Analisa Harga Satuan'!$F$228</f>
        <v>1386820</v>
      </c>
      <c r="F1517" s="52" t="n">
        <f aca="false">ROUND(D1517*E1517,0)</f>
        <v>3994042</v>
      </c>
      <c r="G1517" s="49" t="s">
        <v>324</v>
      </c>
      <c r="H1517" s="53" t="s">
        <v>305</v>
      </c>
    </row>
    <row r="1518" customFormat="false" ht="15" hidden="false" customHeight="false" outlineLevel="0" collapsed="false">
      <c r="A1518" s="49" t="s">
        <v>141</v>
      </c>
      <c r="B1518" s="29" t="s">
        <v>355</v>
      </c>
      <c r="C1518" s="49" t="s">
        <v>303</v>
      </c>
      <c r="D1518" s="50" t="n">
        <v>22.48</v>
      </c>
      <c r="E1518" s="51" t="n">
        <f aca="false">'Analisa Harga Satuan'!$F$272</f>
        <v>1747048</v>
      </c>
      <c r="F1518" s="52" t="n">
        <f aca="false">ROUND(D1518*E1518,0)</f>
        <v>39273639</v>
      </c>
      <c r="G1518" s="49" t="s">
        <v>351</v>
      </c>
      <c r="H1518" s="53" t="s">
        <v>305</v>
      </c>
    </row>
    <row r="1519" customFormat="false" ht="15" hidden="false" customHeight="false" outlineLevel="0" collapsed="false">
      <c r="A1519" s="49" t="s">
        <v>143</v>
      </c>
      <c r="B1519" s="29" t="s">
        <v>327</v>
      </c>
      <c r="C1519" s="49" t="s">
        <v>328</v>
      </c>
      <c r="D1519" s="50" t="n">
        <v>3721.36</v>
      </c>
      <c r="E1519" s="51" t="n">
        <f aca="false">'Analisa Harga Satuan'!$F$310</f>
        <v>23191</v>
      </c>
      <c r="F1519" s="52" t="n">
        <f aca="false">ROUND(D1519*E1519,0)</f>
        <v>86302060</v>
      </c>
      <c r="G1519" s="49" t="s">
        <v>329</v>
      </c>
      <c r="H1519" s="53" t="s">
        <v>305</v>
      </c>
    </row>
    <row r="1520" customFormat="false" ht="15" hidden="false" customHeight="false" outlineLevel="0" collapsed="false">
      <c r="A1520" s="49" t="s">
        <v>145</v>
      </c>
      <c r="B1520" s="29" t="s">
        <v>330</v>
      </c>
      <c r="C1520" s="49" t="s">
        <v>331</v>
      </c>
      <c r="D1520" s="50" t="n">
        <v>149.85</v>
      </c>
      <c r="E1520" s="51" t="n">
        <f aca="false">'Analisa Harga Satuan'!$F$330</f>
        <v>398959</v>
      </c>
      <c r="F1520" s="52" t="n">
        <f aca="false">ROUND(D1520*E1520,0)</f>
        <v>59784006</v>
      </c>
      <c r="G1520" s="49" t="s">
        <v>332</v>
      </c>
      <c r="H1520" s="53" t="s">
        <v>305</v>
      </c>
    </row>
    <row r="1521" customFormat="false" ht="15" hidden="false" customHeight="false" outlineLevel="0" collapsed="false">
      <c r="A1521" s="60" t="s">
        <v>119</v>
      </c>
      <c r="B1521" s="61" t="s">
        <v>1276</v>
      </c>
    </row>
    <row r="1522" customFormat="false" ht="15" hidden="false" customHeight="false" outlineLevel="0" collapsed="false">
      <c r="A1522" s="49" t="s">
        <v>139</v>
      </c>
      <c r="B1522" s="29" t="s">
        <v>323</v>
      </c>
      <c r="C1522" s="49" t="s">
        <v>303</v>
      </c>
      <c r="D1522" s="50" t="n">
        <v>2.02</v>
      </c>
      <c r="E1522" s="51" t="n">
        <f aca="false">'Analisa Harga Satuan'!$F$228</f>
        <v>1386820</v>
      </c>
      <c r="F1522" s="52" t="n">
        <f aca="false">ROUND(D1522*E1522,0)</f>
        <v>2801376</v>
      </c>
      <c r="G1522" s="49" t="s">
        <v>324</v>
      </c>
      <c r="H1522" s="53" t="s">
        <v>305</v>
      </c>
    </row>
    <row r="1523" customFormat="false" ht="15" hidden="false" customHeight="false" outlineLevel="0" collapsed="false">
      <c r="A1523" s="49" t="s">
        <v>141</v>
      </c>
      <c r="B1523" s="29" t="s">
        <v>355</v>
      </c>
      <c r="C1523" s="49" t="s">
        <v>303</v>
      </c>
      <c r="D1523" s="50" t="n">
        <v>17.82</v>
      </c>
      <c r="E1523" s="51" t="n">
        <f aca="false">'Analisa Harga Satuan'!$F$272</f>
        <v>1747048</v>
      </c>
      <c r="F1523" s="52" t="n">
        <f aca="false">ROUND(D1523*E1523,0)</f>
        <v>31132395</v>
      </c>
      <c r="G1523" s="49" t="s">
        <v>351</v>
      </c>
      <c r="H1523" s="53" t="s">
        <v>305</v>
      </c>
    </row>
    <row r="1524" customFormat="false" ht="15" hidden="false" customHeight="false" outlineLevel="0" collapsed="false">
      <c r="A1524" s="49" t="s">
        <v>143</v>
      </c>
      <c r="B1524" s="29" t="s">
        <v>327</v>
      </c>
      <c r="C1524" s="49" t="s">
        <v>328</v>
      </c>
      <c r="D1524" s="50" t="n">
        <v>2672.7</v>
      </c>
      <c r="E1524" s="51" t="n">
        <f aca="false">'Analisa Harga Satuan'!$F$310</f>
        <v>23191</v>
      </c>
      <c r="F1524" s="52" t="n">
        <f aca="false">ROUND(D1524*E1524,0)</f>
        <v>61982586</v>
      </c>
      <c r="G1524" s="49" t="s">
        <v>329</v>
      </c>
      <c r="H1524" s="53" t="s">
        <v>305</v>
      </c>
    </row>
    <row r="1525" customFormat="false" ht="15" hidden="false" customHeight="false" outlineLevel="0" collapsed="false">
      <c r="A1525" s="49" t="s">
        <v>145</v>
      </c>
      <c r="B1525" s="29" t="s">
        <v>330</v>
      </c>
      <c r="C1525" s="49" t="s">
        <v>331</v>
      </c>
      <c r="D1525" s="50" t="n">
        <v>283.66</v>
      </c>
      <c r="E1525" s="51" t="n">
        <f aca="false">'Analisa Harga Satuan'!$F$330</f>
        <v>398959</v>
      </c>
      <c r="F1525" s="52" t="n">
        <f aca="false">ROUND(D1525*E1525,0)</f>
        <v>113168710</v>
      </c>
      <c r="G1525" s="49" t="s">
        <v>332</v>
      </c>
      <c r="H1525" s="53" t="s">
        <v>305</v>
      </c>
    </row>
    <row r="1526" customFormat="false" ht="15" hidden="false" customHeight="false" outlineLevel="0" collapsed="false">
      <c r="A1526" s="60" t="s">
        <v>972</v>
      </c>
      <c r="B1526" s="61" t="s">
        <v>353</v>
      </c>
    </row>
    <row r="1527" customFormat="false" ht="15" hidden="false" customHeight="false" outlineLevel="0" collapsed="false">
      <c r="A1527" s="60" t="s">
        <v>78</v>
      </c>
      <c r="B1527" s="61" t="s">
        <v>1277</v>
      </c>
    </row>
    <row r="1528" customFormat="false" ht="15" hidden="false" customHeight="false" outlineLevel="0" collapsed="false">
      <c r="A1528" s="49" t="s">
        <v>139</v>
      </c>
      <c r="B1528" s="29" t="s">
        <v>323</v>
      </c>
      <c r="C1528" s="49" t="s">
        <v>303</v>
      </c>
      <c r="D1528" s="50" t="n">
        <v>14.43</v>
      </c>
      <c r="E1528" s="51" t="n">
        <f aca="false">'Analisa Harga Satuan'!$F$228</f>
        <v>1386820</v>
      </c>
      <c r="F1528" s="52" t="n">
        <f aca="false">ROUND(D1528*E1528,0)</f>
        <v>20011813</v>
      </c>
      <c r="G1528" s="49" t="s">
        <v>324</v>
      </c>
      <c r="H1528" s="53" t="s">
        <v>305</v>
      </c>
    </row>
    <row r="1529" customFormat="false" ht="15" hidden="false" customHeight="false" outlineLevel="0" collapsed="false">
      <c r="A1529" s="49" t="s">
        <v>141</v>
      </c>
      <c r="B1529" s="29" t="s">
        <v>355</v>
      </c>
      <c r="C1529" s="49" t="s">
        <v>303</v>
      </c>
      <c r="D1529" s="50" t="n">
        <v>55.19</v>
      </c>
      <c r="E1529" s="51" t="n">
        <f aca="false">'Analisa Harga Satuan'!$F$272</f>
        <v>1747048</v>
      </c>
      <c r="F1529" s="52" t="n">
        <f aca="false">ROUND(D1529*E1529,0)</f>
        <v>96419579</v>
      </c>
      <c r="G1529" s="49" t="s">
        <v>351</v>
      </c>
      <c r="H1529" s="53" t="s">
        <v>305</v>
      </c>
    </row>
    <row r="1530" customFormat="false" ht="15" hidden="false" customHeight="false" outlineLevel="0" collapsed="false">
      <c r="A1530" s="49" t="s">
        <v>143</v>
      </c>
      <c r="B1530" s="29" t="s">
        <v>327</v>
      </c>
      <c r="C1530" s="49" t="s">
        <v>328</v>
      </c>
      <c r="D1530" s="50" t="n">
        <v>4619.47</v>
      </c>
      <c r="E1530" s="51" t="n">
        <f aca="false">'Analisa Harga Satuan'!$F$310</f>
        <v>23191</v>
      </c>
      <c r="F1530" s="52" t="n">
        <f aca="false">ROUND(D1530*E1530,0)</f>
        <v>107130129</v>
      </c>
      <c r="G1530" s="49" t="s">
        <v>329</v>
      </c>
      <c r="H1530" s="53" t="s">
        <v>305</v>
      </c>
    </row>
    <row r="1531" customFormat="false" ht="15" hidden="false" customHeight="false" outlineLevel="0" collapsed="false">
      <c r="A1531" s="60" t="s">
        <v>93</v>
      </c>
      <c r="B1531" s="61" t="s">
        <v>1278</v>
      </c>
    </row>
    <row r="1532" customFormat="false" ht="15" hidden="false" customHeight="false" outlineLevel="0" collapsed="false">
      <c r="A1532" s="49" t="s">
        <v>139</v>
      </c>
      <c r="B1532" s="29" t="s">
        <v>355</v>
      </c>
      <c r="C1532" s="49" t="s">
        <v>303</v>
      </c>
      <c r="D1532" s="50" t="n">
        <v>16.4</v>
      </c>
      <c r="E1532" s="51" t="n">
        <f aca="false">'Analisa Harga Satuan'!$F$272</f>
        <v>1747048</v>
      </c>
      <c r="F1532" s="52" t="n">
        <f aca="false">ROUND(D1532*E1532,0)</f>
        <v>28651587</v>
      </c>
      <c r="G1532" s="49" t="s">
        <v>351</v>
      </c>
      <c r="H1532" s="53" t="s">
        <v>305</v>
      </c>
    </row>
    <row r="1533" customFormat="false" ht="15" hidden="false" customHeight="false" outlineLevel="0" collapsed="false">
      <c r="A1533" s="49" t="s">
        <v>141</v>
      </c>
      <c r="B1533" s="29" t="s">
        <v>327</v>
      </c>
      <c r="C1533" s="49" t="s">
        <v>328</v>
      </c>
      <c r="D1533" s="50" t="n">
        <v>2683.39</v>
      </c>
      <c r="E1533" s="51" t="n">
        <f aca="false">'Analisa Harga Satuan'!$F$310</f>
        <v>23191</v>
      </c>
      <c r="F1533" s="52" t="n">
        <f aca="false">ROUND(D1533*E1533,0)</f>
        <v>62230497</v>
      </c>
      <c r="G1533" s="49" t="s">
        <v>329</v>
      </c>
      <c r="H1533" s="53" t="s">
        <v>305</v>
      </c>
    </row>
    <row r="1534" customFormat="false" ht="15" hidden="false" customHeight="false" outlineLevel="0" collapsed="false">
      <c r="A1534" s="49" t="s">
        <v>143</v>
      </c>
      <c r="B1534" s="29" t="s">
        <v>330</v>
      </c>
      <c r="C1534" s="49" t="s">
        <v>331</v>
      </c>
      <c r="D1534" s="50" t="n">
        <v>145.8</v>
      </c>
      <c r="E1534" s="51" t="n">
        <f aca="false">'Analisa Harga Satuan'!$F$330</f>
        <v>398959</v>
      </c>
      <c r="F1534" s="52" t="n">
        <f aca="false">ROUND(D1534*E1534,0)</f>
        <v>58168222</v>
      </c>
      <c r="G1534" s="49" t="s">
        <v>332</v>
      </c>
      <c r="H1534" s="53" t="s">
        <v>305</v>
      </c>
    </row>
    <row r="1535" customFormat="false" ht="15" hidden="false" customHeight="false" outlineLevel="0" collapsed="false">
      <c r="A1535" s="60" t="s">
        <v>102</v>
      </c>
      <c r="B1535" s="61" t="s">
        <v>1279</v>
      </c>
    </row>
    <row r="1536" customFormat="false" ht="15" hidden="false" customHeight="false" outlineLevel="0" collapsed="false">
      <c r="A1536" s="49" t="s">
        <v>139</v>
      </c>
      <c r="B1536" s="29" t="s">
        <v>355</v>
      </c>
      <c r="C1536" s="49" t="s">
        <v>303</v>
      </c>
      <c r="D1536" s="50" t="n">
        <v>20.7</v>
      </c>
      <c r="E1536" s="51" t="n">
        <f aca="false">'Analisa Harga Satuan'!$F$272</f>
        <v>1747048</v>
      </c>
      <c r="F1536" s="52" t="n">
        <f aca="false">ROUND(D1536*E1536,0)</f>
        <v>36163894</v>
      </c>
      <c r="G1536" s="49" t="s">
        <v>351</v>
      </c>
      <c r="H1536" s="53" t="s">
        <v>305</v>
      </c>
    </row>
    <row r="1537" customFormat="false" ht="15" hidden="false" customHeight="false" outlineLevel="0" collapsed="false">
      <c r="A1537" s="49" t="s">
        <v>141</v>
      </c>
      <c r="B1537" s="29" t="s">
        <v>327</v>
      </c>
      <c r="C1537" s="49" t="s">
        <v>328</v>
      </c>
      <c r="D1537" s="50" t="n">
        <v>3743.65</v>
      </c>
      <c r="E1537" s="51" t="n">
        <f aca="false">'Analisa Harga Satuan'!$F$310</f>
        <v>23191</v>
      </c>
      <c r="F1537" s="52" t="n">
        <f aca="false">ROUND(D1537*E1537,0)</f>
        <v>86818987</v>
      </c>
      <c r="G1537" s="49" t="s">
        <v>329</v>
      </c>
      <c r="H1537" s="53" t="s">
        <v>305</v>
      </c>
    </row>
    <row r="1538" customFormat="false" ht="15" hidden="false" customHeight="false" outlineLevel="0" collapsed="false">
      <c r="A1538" s="49" t="s">
        <v>143</v>
      </c>
      <c r="B1538" s="29" t="s">
        <v>330</v>
      </c>
      <c r="C1538" s="49" t="s">
        <v>331</v>
      </c>
      <c r="D1538" s="50" t="n">
        <v>165.6</v>
      </c>
      <c r="E1538" s="51" t="n">
        <f aca="false">'Analisa Harga Satuan'!$F$330</f>
        <v>398959</v>
      </c>
      <c r="F1538" s="52" t="n">
        <f aca="false">ROUND(D1538*E1538,0)</f>
        <v>66067610</v>
      </c>
      <c r="G1538" s="49" t="s">
        <v>332</v>
      </c>
      <c r="H1538" s="53" t="s">
        <v>305</v>
      </c>
    </row>
    <row r="1539" customFormat="false" ht="15" hidden="false" customHeight="false" outlineLevel="0" collapsed="false">
      <c r="A1539" s="60" t="s">
        <v>111</v>
      </c>
      <c r="B1539" s="61" t="s">
        <v>1280</v>
      </c>
    </row>
    <row r="1540" customFormat="false" ht="15" hidden="false" customHeight="false" outlineLevel="0" collapsed="false">
      <c r="A1540" s="49" t="s">
        <v>139</v>
      </c>
      <c r="B1540" s="29" t="s">
        <v>355</v>
      </c>
      <c r="C1540" s="49" t="s">
        <v>303</v>
      </c>
      <c r="D1540" s="50" t="n">
        <v>10.13</v>
      </c>
      <c r="E1540" s="51" t="n">
        <f aca="false">'Analisa Harga Satuan'!$F$272</f>
        <v>1747048</v>
      </c>
      <c r="F1540" s="52" t="n">
        <f aca="false">ROUND(D1540*E1540,0)</f>
        <v>17697596</v>
      </c>
      <c r="G1540" s="49" t="s">
        <v>351</v>
      </c>
      <c r="H1540" s="53" t="s">
        <v>305</v>
      </c>
    </row>
    <row r="1541" customFormat="false" ht="15" hidden="false" customHeight="false" outlineLevel="0" collapsed="false">
      <c r="A1541" s="49" t="s">
        <v>141</v>
      </c>
      <c r="B1541" s="29" t="s">
        <v>327</v>
      </c>
      <c r="C1541" s="49" t="s">
        <v>328</v>
      </c>
      <c r="D1541" s="50" t="n">
        <v>1655.15</v>
      </c>
      <c r="E1541" s="51" t="n">
        <f aca="false">'Analisa Harga Satuan'!$F$310</f>
        <v>23191</v>
      </c>
      <c r="F1541" s="52" t="n">
        <f aca="false">ROUND(D1541*E1541,0)</f>
        <v>38384584</v>
      </c>
      <c r="G1541" s="49" t="s">
        <v>329</v>
      </c>
      <c r="H1541" s="53" t="s">
        <v>305</v>
      </c>
    </row>
    <row r="1542" customFormat="false" ht="15" hidden="false" customHeight="false" outlineLevel="0" collapsed="false">
      <c r="A1542" s="49" t="s">
        <v>143</v>
      </c>
      <c r="B1542" s="29" t="s">
        <v>330</v>
      </c>
      <c r="C1542" s="49" t="s">
        <v>331</v>
      </c>
      <c r="D1542" s="50" t="n">
        <v>101.32</v>
      </c>
      <c r="E1542" s="51" t="n">
        <f aca="false">'Analisa Harga Satuan'!$F$330</f>
        <v>398959</v>
      </c>
      <c r="F1542" s="52" t="n">
        <f aca="false">ROUND(D1542*E1542,0)</f>
        <v>40422526</v>
      </c>
      <c r="G1542" s="49" t="s">
        <v>332</v>
      </c>
      <c r="H1542" s="53" t="s">
        <v>305</v>
      </c>
    </row>
    <row r="1543" customFormat="false" ht="15" hidden="false" customHeight="false" outlineLevel="0" collapsed="false">
      <c r="A1543" s="60" t="s">
        <v>119</v>
      </c>
      <c r="B1543" s="61" t="s">
        <v>1281</v>
      </c>
    </row>
    <row r="1544" customFormat="false" ht="15" hidden="false" customHeight="false" outlineLevel="0" collapsed="false">
      <c r="A1544" s="49" t="s">
        <v>139</v>
      </c>
      <c r="B1544" s="29" t="s">
        <v>361</v>
      </c>
      <c r="C1544" s="49" t="s">
        <v>303</v>
      </c>
      <c r="D1544" s="50" t="n">
        <v>8.41</v>
      </c>
      <c r="E1544" s="51" t="n">
        <f aca="false">'Analisa Harga Satuan'!$F$250</f>
        <v>1605610</v>
      </c>
      <c r="F1544" s="52" t="n">
        <f aca="false">ROUND(D1544*E1544,0)</f>
        <v>13503180</v>
      </c>
      <c r="G1544" s="49" t="s">
        <v>362</v>
      </c>
      <c r="H1544" s="53" t="s">
        <v>305</v>
      </c>
    </row>
    <row r="1545" customFormat="false" ht="15" hidden="false" customHeight="false" outlineLevel="0" collapsed="false">
      <c r="A1545" s="49" t="s">
        <v>141</v>
      </c>
      <c r="B1545" s="29" t="s">
        <v>327</v>
      </c>
      <c r="C1545" s="49" t="s">
        <v>328</v>
      </c>
      <c r="D1545" s="50" t="n">
        <v>400.93</v>
      </c>
      <c r="E1545" s="51" t="n">
        <f aca="false">'Analisa Harga Satuan'!$F$310</f>
        <v>23191</v>
      </c>
      <c r="F1545" s="52" t="n">
        <f aca="false">ROUND(D1545*E1545,0)</f>
        <v>9297968</v>
      </c>
      <c r="G1545" s="49" t="s">
        <v>329</v>
      </c>
      <c r="H1545" s="53" t="s">
        <v>305</v>
      </c>
    </row>
    <row r="1546" customFormat="false" ht="15" hidden="false" customHeight="false" outlineLevel="0" collapsed="false">
      <c r="A1546" s="49" t="s">
        <v>143</v>
      </c>
      <c r="B1546" s="29" t="s">
        <v>330</v>
      </c>
      <c r="C1546" s="49" t="s">
        <v>331</v>
      </c>
      <c r="D1546" s="50" t="n">
        <v>126.09</v>
      </c>
      <c r="E1546" s="51" t="n">
        <f aca="false">'Analisa Harga Satuan'!$F$330</f>
        <v>398959</v>
      </c>
      <c r="F1546" s="52" t="n">
        <f aca="false">ROUND(D1546*E1546,0)</f>
        <v>50304740</v>
      </c>
      <c r="G1546" s="49" t="s">
        <v>332</v>
      </c>
      <c r="H1546" s="53" t="s">
        <v>305</v>
      </c>
    </row>
    <row r="1547" customFormat="false" ht="15" hidden="false" customHeight="false" outlineLevel="0" collapsed="false">
      <c r="A1547" s="60" t="s">
        <v>127</v>
      </c>
      <c r="B1547" s="61" t="s">
        <v>1282</v>
      </c>
    </row>
    <row r="1548" customFormat="false" ht="15" hidden="false" customHeight="false" outlineLevel="0" collapsed="false">
      <c r="A1548" s="49" t="s">
        <v>139</v>
      </c>
      <c r="B1548" s="29" t="s">
        <v>355</v>
      </c>
      <c r="C1548" s="49" t="s">
        <v>303</v>
      </c>
      <c r="D1548" s="50" t="n">
        <v>46.42</v>
      </c>
      <c r="E1548" s="51" t="n">
        <f aca="false">'Analisa Harga Satuan'!$F$272</f>
        <v>1747048</v>
      </c>
      <c r="F1548" s="52" t="n">
        <f aca="false">ROUND(D1548*E1548,0)</f>
        <v>81097968</v>
      </c>
      <c r="G1548" s="49" t="s">
        <v>351</v>
      </c>
      <c r="H1548" s="53" t="s">
        <v>305</v>
      </c>
    </row>
    <row r="1549" customFormat="false" ht="15" hidden="false" customHeight="false" outlineLevel="0" collapsed="false">
      <c r="A1549" s="49" t="s">
        <v>141</v>
      </c>
      <c r="B1549" s="29" t="s">
        <v>327</v>
      </c>
      <c r="C1549" s="49" t="s">
        <v>328</v>
      </c>
      <c r="D1549" s="50" t="n">
        <v>4968.45</v>
      </c>
      <c r="E1549" s="51" t="n">
        <f aca="false">'Analisa Harga Satuan'!$F$310</f>
        <v>23191</v>
      </c>
      <c r="F1549" s="52" t="n">
        <f aca="false">ROUND(D1549*E1549,0)</f>
        <v>115223324</v>
      </c>
      <c r="G1549" s="49" t="s">
        <v>329</v>
      </c>
      <c r="H1549" s="53" t="s">
        <v>305</v>
      </c>
    </row>
    <row r="1550" customFormat="false" ht="15" hidden="false" customHeight="false" outlineLevel="0" collapsed="false">
      <c r="A1550" s="49" t="s">
        <v>143</v>
      </c>
      <c r="B1550" s="29" t="s">
        <v>330</v>
      </c>
      <c r="C1550" s="49" t="s">
        <v>331</v>
      </c>
      <c r="D1550" s="50" t="n">
        <v>386.87</v>
      </c>
      <c r="E1550" s="51" t="n">
        <f aca="false">'Analisa Harga Satuan'!$F$330</f>
        <v>398959</v>
      </c>
      <c r="F1550" s="52" t="n">
        <f aca="false">ROUND(D1550*E1550,0)</f>
        <v>154345268</v>
      </c>
      <c r="G1550" s="49" t="s">
        <v>332</v>
      </c>
      <c r="H1550" s="53" t="s">
        <v>305</v>
      </c>
    </row>
    <row r="1551" customFormat="false" ht="15" hidden="false" customHeight="false" outlineLevel="0" collapsed="false">
      <c r="A1551" s="60" t="s">
        <v>137</v>
      </c>
      <c r="B1551" s="61" t="s">
        <v>365</v>
      </c>
    </row>
    <row r="1552" customFormat="false" ht="15" hidden="false" customHeight="false" outlineLevel="0" collapsed="false">
      <c r="A1552" s="49" t="s">
        <v>139</v>
      </c>
      <c r="B1552" s="29" t="s">
        <v>366</v>
      </c>
      <c r="C1552" s="49" t="s">
        <v>367</v>
      </c>
      <c r="D1552" s="50" t="n">
        <v>77.47</v>
      </c>
      <c r="E1552" s="51" t="n">
        <f aca="false">'Analisa Harga Satuan'!$F$355</f>
        <v>246954</v>
      </c>
      <c r="F1552" s="52" t="n">
        <f aca="false">ROUND(D1552*E1552,0)</f>
        <v>19131526</v>
      </c>
      <c r="G1552" s="49" t="s">
        <v>368</v>
      </c>
      <c r="H1552" s="53" t="s">
        <v>305</v>
      </c>
    </row>
    <row r="1553" customFormat="false" ht="25.5" hidden="false" customHeight="true" outlineLevel="0" collapsed="false">
      <c r="A1553" s="49" t="s">
        <v>141</v>
      </c>
      <c r="B1553" s="29" t="s">
        <v>369</v>
      </c>
      <c r="C1553" s="49" t="s">
        <v>367</v>
      </c>
      <c r="D1553" s="50" t="n">
        <v>48.84</v>
      </c>
      <c r="E1553" s="51" t="n">
        <f aca="false">'Analisa Harga Satuan'!$F$366</f>
        <v>238292</v>
      </c>
      <c r="F1553" s="52" t="n">
        <f aca="false">ROUND(D1553*E1553,0)</f>
        <v>11638181</v>
      </c>
      <c r="G1553" s="49" t="s">
        <v>370</v>
      </c>
      <c r="H1553" s="53" t="s">
        <v>305</v>
      </c>
    </row>
    <row r="1554" customFormat="false" ht="15" hidden="false" customHeight="false" outlineLevel="0" collapsed="false">
      <c r="A1554" s="55"/>
      <c r="B1554" s="56" t="s">
        <v>1283</v>
      </c>
      <c r="C1554" s="55"/>
      <c r="D1554" s="55"/>
      <c r="E1554" s="55"/>
      <c r="F1554" s="27" t="n">
        <f aca="false">SUM(F1504:F1553)</f>
        <v>2059294531</v>
      </c>
      <c r="G1554" s="55"/>
      <c r="H1554" s="55"/>
    </row>
    <row r="1555" customFormat="false" ht="15" hidden="false" customHeight="false" outlineLevel="0" collapsed="false">
      <c r="A1555" s="46" t="s">
        <v>84</v>
      </c>
      <c r="B1555" s="47" t="s">
        <v>123</v>
      </c>
      <c r="C1555" s="48"/>
      <c r="D1555" s="48"/>
      <c r="E1555" s="48"/>
      <c r="F1555" s="48"/>
      <c r="G1555" s="48"/>
      <c r="H1555" s="48"/>
    </row>
    <row r="1556" customFormat="false" ht="15" hidden="false" customHeight="false" outlineLevel="0" collapsed="false">
      <c r="A1556" s="60" t="s">
        <v>1018</v>
      </c>
      <c r="B1556" s="61" t="s">
        <v>393</v>
      </c>
    </row>
    <row r="1557" customFormat="false" ht="15" hidden="false" customHeight="false" outlineLevel="0" collapsed="false">
      <c r="A1557" s="60" t="s">
        <v>78</v>
      </c>
      <c r="B1557" s="61" t="s">
        <v>394</v>
      </c>
    </row>
    <row r="1558" customFormat="false" ht="15" hidden="false" customHeight="false" outlineLevel="0" collapsed="false">
      <c r="A1558" s="49" t="s">
        <v>139</v>
      </c>
      <c r="B1558" s="29" t="s">
        <v>395</v>
      </c>
      <c r="C1558" s="49" t="s">
        <v>331</v>
      </c>
      <c r="D1558" s="50" t="n">
        <v>278.31</v>
      </c>
      <c r="E1558" s="51" t="n">
        <f aca="false">'Analisa Harga Satuan'!$F$416</f>
        <v>265023</v>
      </c>
      <c r="F1558" s="52" t="n">
        <f aca="false">ROUND(D1558*E1558,0)</f>
        <v>73758551</v>
      </c>
      <c r="G1558" s="49" t="s">
        <v>396</v>
      </c>
      <c r="H1558" s="53" t="s">
        <v>305</v>
      </c>
    </row>
    <row r="1559" customFormat="false" ht="15" hidden="false" customHeight="false" outlineLevel="0" collapsed="false">
      <c r="A1559" s="49" t="s">
        <v>141</v>
      </c>
      <c r="B1559" s="29" t="s">
        <v>397</v>
      </c>
      <c r="C1559" s="49" t="s">
        <v>328</v>
      </c>
      <c r="D1559" s="50" t="n">
        <v>105.27</v>
      </c>
      <c r="E1559" s="51" t="n">
        <f aca="false">'Analisa Harga Satuan'!$F$310</f>
        <v>23191</v>
      </c>
      <c r="F1559" s="52" t="n">
        <f aca="false">ROUND(D1559*E1559,0)</f>
        <v>2441317</v>
      </c>
      <c r="G1559" s="49" t="s">
        <v>329</v>
      </c>
      <c r="H1559" s="53" t="s">
        <v>305</v>
      </c>
    </row>
    <row r="1560" customFormat="false" ht="15" hidden="false" customHeight="false" outlineLevel="0" collapsed="false">
      <c r="A1560" s="49" t="s">
        <v>143</v>
      </c>
      <c r="B1560" s="29" t="s">
        <v>398</v>
      </c>
      <c r="C1560" s="49" t="s">
        <v>331</v>
      </c>
      <c r="D1560" s="50" t="n">
        <v>514.65</v>
      </c>
      <c r="E1560" s="51" t="n">
        <f aca="false">'Analisa Harga Satuan'!$F$432</f>
        <v>103703</v>
      </c>
      <c r="F1560" s="52" t="n">
        <f aca="false">ROUND(D1560*E1560,0)</f>
        <v>53370749</v>
      </c>
      <c r="G1560" s="49" t="s">
        <v>399</v>
      </c>
      <c r="H1560" s="53" t="s">
        <v>305</v>
      </c>
    </row>
    <row r="1561" customFormat="false" ht="15" hidden="false" customHeight="false" outlineLevel="0" collapsed="false">
      <c r="A1561" s="49" t="s">
        <v>145</v>
      </c>
      <c r="B1561" s="29" t="s">
        <v>1020</v>
      </c>
      <c r="C1561" s="49" t="s">
        <v>331</v>
      </c>
      <c r="D1561" s="50" t="n">
        <v>369.09</v>
      </c>
      <c r="E1561" s="51" t="n">
        <f aca="false">'Analisa Harga Satuan'!$F$432</f>
        <v>103703</v>
      </c>
      <c r="F1561" s="52" t="n">
        <f aca="false">ROUND(D1561*E1561,0)</f>
        <v>38275740</v>
      </c>
      <c r="G1561" s="49" t="s">
        <v>399</v>
      </c>
      <c r="H1561" s="53" t="s">
        <v>305</v>
      </c>
    </row>
    <row r="1562" customFormat="false" ht="15" hidden="false" customHeight="false" outlineLevel="0" collapsed="false">
      <c r="A1562" s="49" t="s">
        <v>147</v>
      </c>
      <c r="B1562" s="29" t="s">
        <v>1284</v>
      </c>
      <c r="C1562" s="49" t="s">
        <v>331</v>
      </c>
      <c r="D1562" s="50" t="n">
        <v>41.96</v>
      </c>
      <c r="E1562" s="51" t="n">
        <f aca="false">'Analisa Harga Satuan'!$F$464</f>
        <v>67650</v>
      </c>
      <c r="F1562" s="52" t="n">
        <f aca="false">ROUND(D1562*E1562,0)</f>
        <v>2838594</v>
      </c>
      <c r="G1562" s="49" t="s">
        <v>1195</v>
      </c>
      <c r="H1562" s="53" t="s">
        <v>305</v>
      </c>
    </row>
    <row r="1563" customFormat="false" ht="15" hidden="false" customHeight="false" outlineLevel="0" collapsed="false">
      <c r="A1563" s="49" t="s">
        <v>149</v>
      </c>
      <c r="B1563" s="29" t="s">
        <v>402</v>
      </c>
      <c r="C1563" s="49" t="s">
        <v>331</v>
      </c>
      <c r="D1563" s="50" t="n">
        <v>883.74</v>
      </c>
      <c r="E1563" s="51" t="n">
        <f aca="false">'Analisa Harga Satuan'!$F$479</f>
        <v>58982</v>
      </c>
      <c r="F1563" s="52" t="n">
        <f aca="false">ROUND(D1563*E1563,0)</f>
        <v>52124753</v>
      </c>
      <c r="G1563" s="49" t="s">
        <v>403</v>
      </c>
      <c r="H1563" s="53" t="s">
        <v>305</v>
      </c>
    </row>
    <row r="1564" customFormat="false" ht="15" hidden="false" customHeight="false" outlineLevel="0" collapsed="false">
      <c r="A1564" s="60" t="s">
        <v>1024</v>
      </c>
      <c r="B1564" s="61" t="s">
        <v>453</v>
      </c>
    </row>
    <row r="1565" customFormat="false" ht="15" hidden="false" customHeight="false" outlineLevel="0" collapsed="false">
      <c r="A1565" s="60" t="s">
        <v>78</v>
      </c>
      <c r="B1565" s="61" t="s">
        <v>394</v>
      </c>
    </row>
    <row r="1566" customFormat="false" ht="15" hidden="false" customHeight="false" outlineLevel="0" collapsed="false">
      <c r="A1566" s="49" t="s">
        <v>139</v>
      </c>
      <c r="B1566" s="29" t="s">
        <v>1285</v>
      </c>
      <c r="C1566" s="49" t="s">
        <v>183</v>
      </c>
      <c r="D1566" s="50" t="n">
        <v>2</v>
      </c>
      <c r="E1566" s="51" t="n">
        <f aca="false">'Analisa Harga Satuan'!$H$1092</f>
        <v>10098000</v>
      </c>
      <c r="F1566" s="52" t="n">
        <f aca="false">ROUND(D1566*E1566,0)</f>
        <v>20196000</v>
      </c>
      <c r="G1566" s="49" t="s">
        <v>1286</v>
      </c>
      <c r="H1566" s="53" t="s">
        <v>189</v>
      </c>
    </row>
    <row r="1567" customFormat="false" ht="15" hidden="false" customHeight="false" outlineLevel="0" collapsed="false">
      <c r="A1567" s="49" t="s">
        <v>141</v>
      </c>
      <c r="B1567" s="29" t="s">
        <v>462</v>
      </c>
      <c r="C1567" s="49" t="s">
        <v>183</v>
      </c>
      <c r="D1567" s="50" t="n">
        <v>1</v>
      </c>
      <c r="E1567" s="51" t="n">
        <f aca="false">'Analisa Harga Satuan'!$H$856</f>
        <v>4276800</v>
      </c>
      <c r="F1567" s="52" t="n">
        <f aca="false">ROUND(D1567*E1567,0)</f>
        <v>4276800</v>
      </c>
      <c r="G1567" s="49" t="s">
        <v>463</v>
      </c>
      <c r="H1567" s="53" t="s">
        <v>189</v>
      </c>
    </row>
    <row r="1568" customFormat="false" ht="15" hidden="false" customHeight="false" outlineLevel="0" collapsed="false">
      <c r="A1568" s="49" t="s">
        <v>143</v>
      </c>
      <c r="B1568" s="29" t="s">
        <v>464</v>
      </c>
      <c r="C1568" s="49" t="s">
        <v>183</v>
      </c>
      <c r="D1568" s="50" t="n">
        <v>2</v>
      </c>
      <c r="E1568" s="51" t="n">
        <f aca="false">'Analisa Harga Satuan'!$H$857</f>
        <v>2791800</v>
      </c>
      <c r="F1568" s="52" t="n">
        <f aca="false">ROUND(D1568*E1568,0)</f>
        <v>5583600</v>
      </c>
      <c r="G1568" s="49" t="s">
        <v>465</v>
      </c>
      <c r="H1568" s="53" t="s">
        <v>189</v>
      </c>
    </row>
    <row r="1569" customFormat="false" ht="15" hidden="false" customHeight="false" outlineLevel="0" collapsed="false">
      <c r="A1569" s="49" t="s">
        <v>145</v>
      </c>
      <c r="B1569" s="29" t="s">
        <v>1287</v>
      </c>
      <c r="C1569" s="49" t="s">
        <v>183</v>
      </c>
      <c r="D1569" s="50" t="n">
        <v>6</v>
      </c>
      <c r="E1569" s="51" t="n">
        <f aca="false">'Analisa Harga Satuan'!$H$1093</f>
        <v>1722600</v>
      </c>
      <c r="F1569" s="52" t="n">
        <f aca="false">ROUND(D1569*E1569,0)</f>
        <v>10335600</v>
      </c>
      <c r="G1569" s="49" t="s">
        <v>1288</v>
      </c>
      <c r="H1569" s="53" t="s">
        <v>189</v>
      </c>
    </row>
    <row r="1570" customFormat="false" ht="15" hidden="false" customHeight="false" outlineLevel="0" collapsed="false">
      <c r="A1570" s="49" t="s">
        <v>147</v>
      </c>
      <c r="B1570" s="29" t="s">
        <v>1289</v>
      </c>
      <c r="C1570" s="49" t="s">
        <v>183</v>
      </c>
      <c r="D1570" s="50" t="n">
        <v>10</v>
      </c>
      <c r="E1570" s="51" t="n">
        <f aca="false">'Analisa Harga Satuan'!$H$1093</f>
        <v>1722600</v>
      </c>
      <c r="F1570" s="52" t="n">
        <f aca="false">ROUND(D1570*E1570,0)</f>
        <v>17226000</v>
      </c>
      <c r="G1570" s="49" t="s">
        <v>1288</v>
      </c>
      <c r="H1570" s="53" t="s">
        <v>189</v>
      </c>
    </row>
    <row r="1571" customFormat="false" ht="15" hidden="false" customHeight="false" outlineLevel="0" collapsed="false">
      <c r="A1571" s="60" t="s">
        <v>1035</v>
      </c>
      <c r="B1571" s="61" t="s">
        <v>500</v>
      </c>
    </row>
    <row r="1572" customFormat="false" ht="15" hidden="false" customHeight="false" outlineLevel="0" collapsed="false">
      <c r="A1572" s="49" t="s">
        <v>139</v>
      </c>
      <c r="B1572" s="29" t="s">
        <v>501</v>
      </c>
      <c r="C1572" s="49" t="s">
        <v>331</v>
      </c>
      <c r="D1572" s="50" t="n">
        <v>739.19</v>
      </c>
      <c r="E1572" s="51" t="n">
        <f aca="false">'Analisa Harga Satuan'!$F$711</f>
        <v>38744</v>
      </c>
      <c r="F1572" s="52" t="n">
        <f aca="false">ROUND(D1572*E1572,0)</f>
        <v>28639177</v>
      </c>
      <c r="G1572" s="49" t="s">
        <v>502</v>
      </c>
      <c r="H1572" s="53" t="s">
        <v>305</v>
      </c>
    </row>
    <row r="1573" customFormat="false" ht="15" hidden="false" customHeight="false" outlineLevel="0" collapsed="false">
      <c r="A1573" s="49" t="s">
        <v>141</v>
      </c>
      <c r="B1573" s="29" t="s">
        <v>503</v>
      </c>
      <c r="C1573" s="49" t="s">
        <v>331</v>
      </c>
      <c r="D1573" s="50" t="n">
        <v>186.51</v>
      </c>
      <c r="E1573" s="51" t="n">
        <f aca="false">'Analisa Harga Satuan'!$F$729</f>
        <v>47896</v>
      </c>
      <c r="F1573" s="52" t="n">
        <f aca="false">ROUND(D1573*E1573,0)</f>
        <v>8933083</v>
      </c>
      <c r="G1573" s="49" t="s">
        <v>504</v>
      </c>
      <c r="H1573" s="53" t="s">
        <v>305</v>
      </c>
    </row>
    <row r="1574" customFormat="false" ht="15" hidden="false" customHeight="false" outlineLevel="0" collapsed="false">
      <c r="A1574" s="49" t="s">
        <v>143</v>
      </c>
      <c r="B1574" s="29" t="s">
        <v>1290</v>
      </c>
      <c r="C1574" s="49" t="s">
        <v>331</v>
      </c>
      <c r="D1574" s="50" t="n">
        <v>386.87</v>
      </c>
      <c r="E1574" s="51" t="n">
        <f aca="false">'Analisa Harga Satuan'!$H$1094</f>
        <v>50050</v>
      </c>
      <c r="F1574" s="52" t="n">
        <f aca="false">ROUND(D1574*E1574,0)</f>
        <v>19362844</v>
      </c>
      <c r="G1574" s="49" t="s">
        <v>1291</v>
      </c>
      <c r="H1574" s="53" t="s">
        <v>181</v>
      </c>
    </row>
    <row r="1575" customFormat="false" ht="15" hidden="false" customHeight="false" outlineLevel="0" collapsed="false">
      <c r="A1575" s="49" t="s">
        <v>145</v>
      </c>
      <c r="B1575" s="29" t="s">
        <v>489</v>
      </c>
      <c r="C1575" s="49" t="s">
        <v>331</v>
      </c>
      <c r="D1575" s="50" t="n">
        <v>457.24</v>
      </c>
      <c r="E1575" s="51" t="n">
        <f aca="false">'Analisa Harga Satuan'!$F$678</f>
        <v>78914</v>
      </c>
      <c r="F1575" s="52" t="n">
        <f aca="false">ROUND(D1575*E1575,0)</f>
        <v>36082637</v>
      </c>
      <c r="G1575" s="49" t="s">
        <v>490</v>
      </c>
      <c r="H1575" s="53" t="s">
        <v>305</v>
      </c>
    </row>
    <row r="1576" customFormat="false" ht="15" hidden="false" customHeight="false" outlineLevel="0" collapsed="false">
      <c r="A1576" s="49" t="s">
        <v>147</v>
      </c>
      <c r="B1576" s="29" t="s">
        <v>491</v>
      </c>
      <c r="C1576" s="49" t="s">
        <v>331</v>
      </c>
      <c r="D1576" s="50" t="n">
        <v>466.52</v>
      </c>
      <c r="E1576" s="51" t="n">
        <f aca="false">'Analisa Harga Satuan'!$F$693</f>
        <v>187220</v>
      </c>
      <c r="F1576" s="52" t="n">
        <f aca="false">ROUND(D1576*E1576,0)</f>
        <v>87341874</v>
      </c>
      <c r="G1576" s="49" t="s">
        <v>492</v>
      </c>
      <c r="H1576" s="53" t="s">
        <v>305</v>
      </c>
    </row>
    <row r="1577" customFormat="false" ht="15" hidden="false" customHeight="false" outlineLevel="0" collapsed="false">
      <c r="A1577" s="60" t="s">
        <v>1042</v>
      </c>
      <c r="B1577" s="61" t="s">
        <v>1292</v>
      </c>
    </row>
    <row r="1578" customFormat="false" ht="15" hidden="false" customHeight="false" outlineLevel="0" collapsed="false">
      <c r="A1578" s="49" t="s">
        <v>139</v>
      </c>
      <c r="B1578" s="29" t="s">
        <v>509</v>
      </c>
      <c r="C1578" s="49" t="s">
        <v>331</v>
      </c>
      <c r="D1578" s="50" t="n">
        <v>50.8</v>
      </c>
      <c r="E1578" s="51" t="n">
        <f aca="false">'Analisa Harga Satuan'!$F$383</f>
        <v>247478</v>
      </c>
      <c r="F1578" s="52" t="n">
        <f aca="false">ROUND(D1578*E1578,0)</f>
        <v>12571882</v>
      </c>
      <c r="G1578" s="49" t="s">
        <v>510</v>
      </c>
      <c r="H1578" s="53" t="s">
        <v>305</v>
      </c>
    </row>
    <row r="1579" customFormat="false" ht="15" hidden="false" customHeight="false" outlineLevel="0" collapsed="false">
      <c r="A1579" s="49" t="s">
        <v>141</v>
      </c>
      <c r="B1579" s="29" t="s">
        <v>511</v>
      </c>
      <c r="C1579" s="49" t="s">
        <v>331</v>
      </c>
      <c r="D1579" s="50" t="n">
        <v>50.8</v>
      </c>
      <c r="E1579" s="51" t="n">
        <f aca="false">'Analisa Harga Satuan'!$F$432</f>
        <v>103703</v>
      </c>
      <c r="F1579" s="52" t="n">
        <f aca="false">ROUND(D1579*E1579,0)</f>
        <v>5268112</v>
      </c>
      <c r="G1579" s="49" t="s">
        <v>399</v>
      </c>
      <c r="H1579" s="53" t="s">
        <v>305</v>
      </c>
    </row>
    <row r="1580" customFormat="false" ht="15" hidden="false" customHeight="false" outlineLevel="0" collapsed="false">
      <c r="A1580" s="49" t="s">
        <v>143</v>
      </c>
      <c r="B1580" s="29" t="s">
        <v>512</v>
      </c>
      <c r="C1580" s="49" t="s">
        <v>331</v>
      </c>
      <c r="D1580" s="50" t="n">
        <v>50.8</v>
      </c>
      <c r="E1580" s="51" t="n">
        <f aca="false">'Analisa Harga Satuan'!$F$479</f>
        <v>58982</v>
      </c>
      <c r="F1580" s="52" t="n">
        <f aca="false">ROUND(D1580*E1580,0)</f>
        <v>2996286</v>
      </c>
      <c r="G1580" s="49" t="s">
        <v>403</v>
      </c>
      <c r="H1580" s="53" t="s">
        <v>305</v>
      </c>
    </row>
    <row r="1581" customFormat="false" ht="15" hidden="false" customHeight="false" outlineLevel="0" collapsed="false">
      <c r="A1581" s="49" t="s">
        <v>145</v>
      </c>
      <c r="B1581" s="29" t="s">
        <v>310</v>
      </c>
      <c r="C1581" s="49" t="s">
        <v>331</v>
      </c>
      <c r="D1581" s="50" t="n">
        <v>4.29</v>
      </c>
      <c r="E1581" s="51" t="n">
        <f aca="false">'Analisa Harga Satuan'!$F$798</f>
        <v>23568</v>
      </c>
      <c r="F1581" s="52" t="n">
        <f aca="false">ROUND(D1581*E1581,0)</f>
        <v>101107</v>
      </c>
      <c r="G1581" s="49" t="s">
        <v>515</v>
      </c>
      <c r="H1581" s="53" t="s">
        <v>305</v>
      </c>
    </row>
    <row r="1582" customFormat="false" ht="15" hidden="false" customHeight="false" outlineLevel="0" collapsed="false">
      <c r="A1582" s="49" t="s">
        <v>147</v>
      </c>
      <c r="B1582" s="29" t="s">
        <v>1080</v>
      </c>
      <c r="C1582" s="49" t="s">
        <v>303</v>
      </c>
      <c r="D1582" s="50" t="n">
        <v>5.65</v>
      </c>
      <c r="E1582" s="51" t="n">
        <f aca="false">'Analisa Harga Satuan'!$F$228</f>
        <v>1386820</v>
      </c>
      <c r="F1582" s="52" t="n">
        <f aca="false">ROUND(D1582*E1582,0)</f>
        <v>7835533</v>
      </c>
      <c r="G1582" s="49" t="s">
        <v>324</v>
      </c>
      <c r="H1582" s="53" t="s">
        <v>305</v>
      </c>
    </row>
    <row r="1583" customFormat="false" ht="15" hidden="false" customHeight="false" outlineLevel="0" collapsed="false">
      <c r="A1583" s="49" t="s">
        <v>149</v>
      </c>
      <c r="B1583" s="29" t="s">
        <v>1293</v>
      </c>
      <c r="C1583" s="49" t="s">
        <v>331</v>
      </c>
      <c r="D1583" s="50" t="n">
        <v>50.8</v>
      </c>
      <c r="E1583" s="51" t="n">
        <f aca="false">'Analisa Harga Satuan'!$F$729</f>
        <v>47896</v>
      </c>
      <c r="F1583" s="52" t="n">
        <f aca="false">ROUND(D1583*E1583,0)</f>
        <v>2433117</v>
      </c>
      <c r="G1583" s="49" t="s">
        <v>504</v>
      </c>
      <c r="H1583" s="53" t="s">
        <v>305</v>
      </c>
    </row>
    <row r="1584" customFormat="false" ht="15" hidden="false" customHeight="false" outlineLevel="0" collapsed="false">
      <c r="A1584" s="49" t="s">
        <v>151</v>
      </c>
      <c r="B1584" s="29" t="s">
        <v>317</v>
      </c>
      <c r="C1584" s="49" t="s">
        <v>303</v>
      </c>
      <c r="D1584" s="50" t="n">
        <v>7.61</v>
      </c>
      <c r="E1584" s="51" t="n">
        <f aca="false">'Analisa Harga Satuan'!$F$102</f>
        <v>237600</v>
      </c>
      <c r="F1584" s="52" t="n">
        <f aca="false">ROUND(D1584*E1584,0)</f>
        <v>1808136</v>
      </c>
      <c r="G1584" s="49" t="s">
        <v>318</v>
      </c>
      <c r="H1584" s="53" t="s">
        <v>305</v>
      </c>
    </row>
    <row r="1585" customFormat="false" ht="15" hidden="false" customHeight="false" outlineLevel="0" collapsed="false">
      <c r="A1585" s="49" t="s">
        <v>423</v>
      </c>
      <c r="B1585" s="29" t="s">
        <v>366</v>
      </c>
      <c r="C1585" s="49" t="s">
        <v>367</v>
      </c>
      <c r="D1585" s="50" t="n">
        <v>16.8</v>
      </c>
      <c r="E1585" s="51" t="n">
        <f aca="false">'Analisa Harga Satuan'!$F$355</f>
        <v>246954</v>
      </c>
      <c r="F1585" s="52" t="n">
        <f aca="false">ROUND(D1585*E1585,0)</f>
        <v>4148827</v>
      </c>
      <c r="G1585" s="49" t="s">
        <v>368</v>
      </c>
      <c r="H1585" s="53" t="s">
        <v>305</v>
      </c>
    </row>
    <row r="1586" customFormat="false" ht="25.5" hidden="false" customHeight="true" outlineLevel="0" collapsed="false">
      <c r="A1586" s="49" t="s">
        <v>208</v>
      </c>
      <c r="B1586" s="29" t="s">
        <v>369</v>
      </c>
      <c r="C1586" s="49" t="s">
        <v>367</v>
      </c>
      <c r="D1586" s="50" t="n">
        <v>41.69</v>
      </c>
      <c r="E1586" s="51" t="n">
        <f aca="false">'Analisa Harga Satuan'!$F$366</f>
        <v>238292</v>
      </c>
      <c r="F1586" s="52" t="n">
        <f aca="false">ROUND(D1586*E1586,0)</f>
        <v>9934393</v>
      </c>
      <c r="G1586" s="49" t="s">
        <v>370</v>
      </c>
      <c r="H1586" s="53" t="s">
        <v>305</v>
      </c>
    </row>
    <row r="1587" customFormat="false" ht="15" hidden="false" customHeight="false" outlineLevel="0" collapsed="false">
      <c r="A1587" s="60" t="s">
        <v>1044</v>
      </c>
      <c r="B1587" s="61" t="s">
        <v>449</v>
      </c>
    </row>
    <row r="1588" customFormat="false" ht="15" hidden="false" customHeight="false" outlineLevel="0" collapsed="false">
      <c r="A1588" s="49" t="s">
        <v>139</v>
      </c>
      <c r="B1588" s="29" t="s">
        <v>450</v>
      </c>
      <c r="C1588" s="49" t="s">
        <v>331</v>
      </c>
      <c r="D1588" s="50" t="n">
        <v>498.25</v>
      </c>
      <c r="E1588" s="51" t="n">
        <f aca="false">'Analisa Harga Satuan'!$F$616</f>
        <v>226710</v>
      </c>
      <c r="F1588" s="52" t="n">
        <f aca="false">ROUND(D1588*E1588,0)</f>
        <v>112958258</v>
      </c>
      <c r="G1588" s="49" t="s">
        <v>451</v>
      </c>
      <c r="H1588" s="53" t="s">
        <v>305</v>
      </c>
    </row>
    <row r="1589" customFormat="false" ht="15" hidden="false" customHeight="false" outlineLevel="0" collapsed="false">
      <c r="A1589" s="49" t="s">
        <v>141</v>
      </c>
      <c r="B1589" s="29" t="s">
        <v>1043</v>
      </c>
      <c r="C1589" s="49" t="s">
        <v>303</v>
      </c>
      <c r="D1589" s="50" t="n">
        <v>2.26</v>
      </c>
      <c r="E1589" s="51" t="n">
        <f aca="false">'Analisa Harga Satuan'!$F$250</f>
        <v>1605610</v>
      </c>
      <c r="F1589" s="52" t="n">
        <f aca="false">ROUND(D1589*E1589,0)</f>
        <v>3628679</v>
      </c>
      <c r="G1589" s="49" t="s">
        <v>362</v>
      </c>
      <c r="H1589" s="53" t="s">
        <v>305</v>
      </c>
    </row>
    <row r="1590" customFormat="false" ht="15" hidden="false" customHeight="false" outlineLevel="0" collapsed="false">
      <c r="A1590" s="55"/>
      <c r="B1590" s="56" t="s">
        <v>1294</v>
      </c>
      <c r="C1590" s="55"/>
      <c r="D1590" s="55"/>
      <c r="E1590" s="55"/>
      <c r="F1590" s="27" t="n">
        <f aca="false">SUM(F1556:F1589)</f>
        <v>624471649</v>
      </c>
      <c r="G1590" s="55"/>
      <c r="H1590" s="55"/>
    </row>
    <row r="1591" customFormat="false" ht="15" hidden="false" customHeight="false" outlineLevel="0" collapsed="false">
      <c r="A1591" s="46" t="s">
        <v>86</v>
      </c>
      <c r="B1591" s="47" t="s">
        <v>124</v>
      </c>
      <c r="C1591" s="48"/>
      <c r="D1591" s="48"/>
      <c r="E1591" s="48"/>
      <c r="F1591" s="48"/>
      <c r="G1591" s="48"/>
      <c r="H1591" s="48"/>
    </row>
    <row r="1592" customFormat="false" ht="15" hidden="false" customHeight="false" outlineLevel="0" collapsed="false">
      <c r="A1592" s="60" t="s">
        <v>78</v>
      </c>
      <c r="B1592" s="61" t="s">
        <v>518</v>
      </c>
    </row>
    <row r="1593" customFormat="false" ht="15" hidden="false" customHeight="false" outlineLevel="0" collapsed="false">
      <c r="A1593" s="49" t="s">
        <v>139</v>
      </c>
      <c r="B1593" s="29" t="s">
        <v>519</v>
      </c>
      <c r="C1593" s="49" t="s">
        <v>520</v>
      </c>
      <c r="D1593" s="50" t="n">
        <v>4</v>
      </c>
      <c r="E1593" s="51" t="n">
        <f aca="false">'Analisa Harga Satuan'!$H$868</f>
        <v>715000</v>
      </c>
      <c r="F1593" s="52" t="n">
        <f aca="false">ROUND(D1593*E1593,0)</f>
        <v>2860000</v>
      </c>
      <c r="G1593" s="49" t="s">
        <v>521</v>
      </c>
      <c r="H1593" s="53" t="s">
        <v>181</v>
      </c>
    </row>
    <row r="1594" customFormat="false" ht="15" hidden="false" customHeight="false" outlineLevel="0" collapsed="false">
      <c r="A1594" s="60" t="s">
        <v>93</v>
      </c>
      <c r="B1594" s="61" t="s">
        <v>1295</v>
      </c>
    </row>
    <row r="1595" customFormat="false" ht="15" hidden="false" customHeight="false" outlineLevel="0" collapsed="false">
      <c r="A1595" s="49" t="s">
        <v>139</v>
      </c>
      <c r="B1595" s="29" t="s">
        <v>748</v>
      </c>
      <c r="C1595" s="49" t="s">
        <v>367</v>
      </c>
      <c r="D1595" s="50" t="n">
        <v>52.64</v>
      </c>
      <c r="E1595" s="51" t="n">
        <f aca="false">'Analisa Harga Satuan'!$H$954</f>
        <v>181500</v>
      </c>
      <c r="F1595" s="52" t="n">
        <f aca="false">ROUND(D1595*E1595,0)</f>
        <v>9554160</v>
      </c>
      <c r="G1595" s="49" t="s">
        <v>749</v>
      </c>
      <c r="H1595" s="53" t="s">
        <v>181</v>
      </c>
    </row>
    <row r="1596" customFormat="false" ht="15" hidden="false" customHeight="false" outlineLevel="0" collapsed="false">
      <c r="A1596" s="49" t="s">
        <v>141</v>
      </c>
      <c r="B1596" s="29" t="s">
        <v>781</v>
      </c>
      <c r="C1596" s="49" t="s">
        <v>206</v>
      </c>
      <c r="D1596" s="50" t="n">
        <v>8</v>
      </c>
      <c r="E1596" s="51" t="n">
        <f aca="false">'Analisa Harga Satuan'!$H$965</f>
        <v>533500</v>
      </c>
      <c r="F1596" s="52" t="n">
        <f aca="false">ROUND(D1596*E1596,0)</f>
        <v>4268000</v>
      </c>
      <c r="G1596" s="49" t="s">
        <v>782</v>
      </c>
      <c r="H1596" s="53" t="s">
        <v>181</v>
      </c>
    </row>
    <row r="1597" customFormat="false" ht="15" hidden="false" customHeight="false" outlineLevel="0" collapsed="false">
      <c r="A1597" s="49" t="s">
        <v>143</v>
      </c>
      <c r="B1597" s="29" t="s">
        <v>783</v>
      </c>
      <c r="C1597" s="49" t="s">
        <v>784</v>
      </c>
      <c r="D1597" s="50" t="n">
        <v>8</v>
      </c>
      <c r="E1597" s="51" t="n">
        <f aca="false">'Analisa Harga Satuan'!$H$966</f>
        <v>137500</v>
      </c>
      <c r="F1597" s="52" t="n">
        <f aca="false">ROUND(D1597*E1597,0)</f>
        <v>1100000</v>
      </c>
      <c r="G1597" s="49" t="s">
        <v>785</v>
      </c>
      <c r="H1597" s="53" t="s">
        <v>181</v>
      </c>
    </row>
    <row r="1598" customFormat="false" ht="15" hidden="false" customHeight="false" outlineLevel="0" collapsed="false">
      <c r="A1598" s="55"/>
      <c r="B1598" s="56" t="s">
        <v>1296</v>
      </c>
      <c r="C1598" s="55"/>
      <c r="D1598" s="55"/>
      <c r="E1598" s="55"/>
      <c r="F1598" s="27" t="n">
        <f aca="false">SUM(F1592:F1597)</f>
        <v>17782160</v>
      </c>
      <c r="G1598" s="55"/>
      <c r="H1598" s="55"/>
    </row>
    <row r="1599" customFormat="false" ht="15" hidden="false" customHeight="false" outlineLevel="0" collapsed="false">
      <c r="A1599" s="46" t="s">
        <v>88</v>
      </c>
      <c r="B1599" s="47" t="s">
        <v>125</v>
      </c>
      <c r="C1599" s="48"/>
      <c r="D1599" s="48"/>
      <c r="E1599" s="48"/>
      <c r="F1599" s="48"/>
      <c r="G1599" s="48"/>
      <c r="H1599" s="48"/>
    </row>
    <row r="1600" customFormat="false" ht="15" hidden="false" customHeight="false" outlineLevel="0" collapsed="false">
      <c r="A1600" s="60" t="s">
        <v>1093</v>
      </c>
      <c r="B1600" s="61" t="s">
        <v>1297</v>
      </c>
    </row>
    <row r="1601" customFormat="false" ht="15" hidden="false" customHeight="false" outlineLevel="0" collapsed="false">
      <c r="A1601" s="60" t="s">
        <v>78</v>
      </c>
      <c r="B1601" s="61" t="s">
        <v>1298</v>
      </c>
    </row>
    <row r="1602" customFormat="false" ht="15" hidden="false" customHeight="false" outlineLevel="0" collapsed="false">
      <c r="A1602" s="49" t="s">
        <v>139</v>
      </c>
      <c r="B1602" s="29" t="s">
        <v>1299</v>
      </c>
      <c r="C1602" s="49" t="s">
        <v>943</v>
      </c>
      <c r="D1602" s="50" t="n">
        <v>1</v>
      </c>
      <c r="E1602" s="51" t="n">
        <f aca="false">'Analisa Harga Satuan'!$H$1095</f>
        <v>495000000</v>
      </c>
      <c r="F1602" s="52" t="n">
        <f aca="false">ROUND(D1602*E1602,0)</f>
        <v>495000000</v>
      </c>
      <c r="G1602" s="49" t="s">
        <v>1300</v>
      </c>
      <c r="H1602" s="53" t="s">
        <v>189</v>
      </c>
    </row>
    <row r="1603" customFormat="false" ht="15" hidden="false" customHeight="false" outlineLevel="0" collapsed="false">
      <c r="B1603" s="54" t="s">
        <v>1301</v>
      </c>
    </row>
    <row r="1604" customFormat="false" ht="15" hidden="false" customHeight="false" outlineLevel="0" collapsed="false">
      <c r="A1604" s="60" t="s">
        <v>93</v>
      </c>
      <c r="B1604" s="61" t="s">
        <v>1302</v>
      </c>
    </row>
    <row r="1605" customFormat="false" ht="25.5" hidden="false" customHeight="true" outlineLevel="0" collapsed="false">
      <c r="A1605" s="49" t="s">
        <v>139</v>
      </c>
      <c r="B1605" s="29" t="s">
        <v>1303</v>
      </c>
      <c r="C1605" s="49" t="s">
        <v>183</v>
      </c>
      <c r="D1605" s="50" t="n">
        <v>1</v>
      </c>
      <c r="E1605" s="51" t="n">
        <f aca="false">'Analisa Harga Satuan'!$H$1096</f>
        <v>379500000</v>
      </c>
      <c r="F1605" s="52" t="n">
        <f aca="false">ROUND(D1605*E1605,0)</f>
        <v>379500000</v>
      </c>
      <c r="G1605" s="49" t="s">
        <v>1304</v>
      </c>
      <c r="H1605" s="53" t="s">
        <v>189</v>
      </c>
    </row>
    <row r="1606" customFormat="false" ht="15" hidden="false" customHeight="false" outlineLevel="0" collapsed="false">
      <c r="B1606" s="54" t="s">
        <v>1305</v>
      </c>
    </row>
    <row r="1607" customFormat="false" ht="15" hidden="false" customHeight="false" outlineLevel="0" collapsed="false">
      <c r="B1607" s="54" t="s">
        <v>1306</v>
      </c>
    </row>
    <row r="1608" customFormat="false" ht="15" hidden="false" customHeight="false" outlineLevel="0" collapsed="false">
      <c r="B1608" s="54" t="s">
        <v>1307</v>
      </c>
    </row>
    <row r="1609" customFormat="false" ht="15" hidden="false" customHeight="false" outlineLevel="0" collapsed="false">
      <c r="B1609" s="54" t="s">
        <v>1308</v>
      </c>
    </row>
    <row r="1610" customFormat="false" ht="15" hidden="false" customHeight="false" outlineLevel="0" collapsed="false">
      <c r="A1610" s="49" t="s">
        <v>141</v>
      </c>
      <c r="B1610" s="29" t="s">
        <v>1309</v>
      </c>
      <c r="C1610" s="49" t="s">
        <v>520</v>
      </c>
      <c r="D1610" s="50" t="n">
        <v>1</v>
      </c>
      <c r="E1610" s="51" t="n">
        <f aca="false">'Analisa Harga Satuan'!$H$1097</f>
        <v>533500000</v>
      </c>
      <c r="F1610" s="52" t="n">
        <f aca="false">ROUND(D1610*E1610,0)</f>
        <v>533500000</v>
      </c>
      <c r="G1610" s="49" t="s">
        <v>1310</v>
      </c>
      <c r="H1610" s="53" t="s">
        <v>189</v>
      </c>
    </row>
    <row r="1611" customFormat="false" ht="15" hidden="false" customHeight="false" outlineLevel="0" collapsed="false">
      <c r="B1611" s="54" t="s">
        <v>1311</v>
      </c>
    </row>
    <row r="1612" customFormat="false" ht="15" hidden="false" customHeight="false" outlineLevel="0" collapsed="false">
      <c r="B1612" s="54" t="s">
        <v>1312</v>
      </c>
    </row>
    <row r="1613" customFormat="false" ht="15" hidden="false" customHeight="false" outlineLevel="0" collapsed="false">
      <c r="B1613" s="54" t="s">
        <v>1308</v>
      </c>
    </row>
    <row r="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179</v>
      </c>
      <c r="D1614" s="50" t="n">
        <v>1</v>
      </c>
      <c r="E1614" s="51" t="n">
        <f aca="false">'Analisa Harga Satuan'!$H$948</f>
        <v>1650000</v>
      </c>
      <c r="F1614" s="52" t="n">
        <f aca="false">ROUND(D1614*E1614,0)</f>
        <v>1650000</v>
      </c>
      <c r="G1614" s="49" t="s">
        <v>730</v>
      </c>
      <c r="H1614" s="53" t="s">
        <v>181</v>
      </c>
    </row>
    <row r="1615" customFormat="false" ht="15" hidden="false" customHeight="false" outlineLevel="0" collapsed="false">
      <c r="A1615" s="60" t="s">
        <v>102</v>
      </c>
      <c r="B1615" s="61" t="s">
        <v>1314</v>
      </c>
    </row>
    <row r="1616" customFormat="false" ht="15" hidden="false" customHeight="false" outlineLevel="0" collapsed="false">
      <c r="B1616" s="54" t="s">
        <v>1315</v>
      </c>
    </row>
    <row r="1617" customFormat="false" ht="25.5" hidden="false" customHeight="true" outlineLevel="0" collapsed="false">
      <c r="A1617" s="49" t="s">
        <v>139</v>
      </c>
      <c r="B1617" s="29" t="s">
        <v>1316</v>
      </c>
      <c r="C1617" s="49" t="s">
        <v>431</v>
      </c>
      <c r="D1617" s="50" t="n">
        <v>30</v>
      </c>
      <c r="E1617" s="51" t="n">
        <f aca="false">'Analisa Harga Satuan'!$H$1098</f>
        <v>770000</v>
      </c>
      <c r="F1617" s="52" t="n">
        <f aca="false">ROUND(D1617*E1617,0)</f>
        <v>23100000</v>
      </c>
      <c r="G1617" s="49" t="s">
        <v>1317</v>
      </c>
      <c r="H1617" s="53" t="s">
        <v>181</v>
      </c>
    </row>
    <row r="1618" customFormat="false" ht="25.5" hidden="false" customHeight="true" outlineLevel="0" collapsed="false">
      <c r="A1618" s="49" t="s">
        <v>141</v>
      </c>
      <c r="B1618" s="29" t="s">
        <v>1318</v>
      </c>
      <c r="C1618" s="49" t="s">
        <v>431</v>
      </c>
      <c r="D1618" s="50" t="n">
        <v>75</v>
      </c>
      <c r="E1618" s="51" t="n">
        <f aca="false">'Analisa Harga Satuan'!$H$1098</f>
        <v>770000</v>
      </c>
      <c r="F1618" s="52" t="n">
        <f aca="false">ROUND(D1618*E1618,0)</f>
        <v>57750000</v>
      </c>
      <c r="G1618" s="49" t="s">
        <v>1317</v>
      </c>
      <c r="H1618" s="53" t="s">
        <v>181</v>
      </c>
    </row>
    <row r="1619" customFormat="false" ht="25.5" hidden="false" customHeight="true" outlineLevel="0" collapsed="false">
      <c r="A1619" s="49" t="s">
        <v>143</v>
      </c>
      <c r="B1619" s="29" t="s">
        <v>1319</v>
      </c>
      <c r="C1619" s="49" t="s">
        <v>431</v>
      </c>
      <c r="D1619" s="50" t="n">
        <v>25</v>
      </c>
      <c r="E1619" s="51" t="n">
        <f aca="false">'Analisa Harga Satuan'!$H$1099</f>
        <v>3190000</v>
      </c>
      <c r="F1619" s="52" t="n">
        <f aca="false">ROUND(D1619*E1619,0)</f>
        <v>79750000</v>
      </c>
      <c r="G1619" s="49" t="s">
        <v>1320</v>
      </c>
      <c r="H1619" s="53" t="s">
        <v>181</v>
      </c>
    </row>
    <row r="1620" customFormat="false" ht="25.5" hidden="false" customHeight="true" outlineLevel="0" collapsed="false">
      <c r="A1620" s="49" t="s">
        <v>145</v>
      </c>
      <c r="B1620" s="29" t="s">
        <v>1321</v>
      </c>
      <c r="C1620" s="49" t="s">
        <v>431</v>
      </c>
      <c r="D1620" s="50" t="n">
        <v>10</v>
      </c>
      <c r="E1620" s="51" t="n">
        <f aca="false">'Analisa Harga Satuan'!$H$1100</f>
        <v>3520000</v>
      </c>
      <c r="F1620" s="52" t="n">
        <f aca="false">ROUND(D1620*E1620,0)</f>
        <v>35200000</v>
      </c>
      <c r="G1620" s="49" t="s">
        <v>1322</v>
      </c>
      <c r="H1620" s="53" t="s">
        <v>181</v>
      </c>
    </row>
    <row r="1621" customFormat="false" ht="15" hidden="false" customHeight="false" outlineLevel="0" collapsed="false">
      <c r="A1621" s="49" t="s">
        <v>143</v>
      </c>
      <c r="B1621" s="29" t="s">
        <v>1323</v>
      </c>
      <c r="C1621" s="49" t="s">
        <v>431</v>
      </c>
      <c r="D1621" s="50" t="n">
        <v>27</v>
      </c>
      <c r="E1621" s="51" t="n">
        <f aca="false">'Analisa Harga Satuan'!$H$1101</f>
        <v>533500</v>
      </c>
      <c r="F1621" s="52" t="n">
        <f aca="false">ROUND(D1621*E1621,0)</f>
        <v>14404500</v>
      </c>
      <c r="G1621" s="49" t="s">
        <v>1324</v>
      </c>
      <c r="H1621" s="53" t="s">
        <v>181</v>
      </c>
    </row>
    <row r="1622" customFormat="false" ht="15" hidden="false" customHeight="false" outlineLevel="0" collapsed="false">
      <c r="B1622" s="54" t="s">
        <v>1325</v>
      </c>
    </row>
    <row r="1623" customFormat="false" ht="25.5" hidden="false" customHeight="true" outlineLevel="0" collapsed="false">
      <c r="B1623" s="54" t="s">
        <v>1326</v>
      </c>
    </row>
    <row r="1624" customFormat="false" ht="15" hidden="false" customHeight="false" outlineLevel="0" collapsed="false">
      <c r="A1624" s="49" t="s">
        <v>141</v>
      </c>
      <c r="B1624" s="29" t="s">
        <v>1327</v>
      </c>
      <c r="C1624" s="49" t="s">
        <v>431</v>
      </c>
      <c r="D1624" s="50" t="n">
        <v>12</v>
      </c>
      <c r="E1624" s="51" t="n">
        <f aca="false">'Analisa Harga Satuan'!$H$1102</f>
        <v>148500</v>
      </c>
      <c r="F1624" s="52" t="n">
        <f aca="false">ROUND(D1624*E1624,0)</f>
        <v>1782000</v>
      </c>
      <c r="G1624" s="49" t="s">
        <v>1328</v>
      </c>
      <c r="H1624" s="53" t="s">
        <v>181</v>
      </c>
    </row>
    <row r="1625" customFormat="false" ht="15" hidden="false" customHeight="false" outlineLevel="0" collapsed="false">
      <c r="B1625" s="54" t="s">
        <v>1329</v>
      </c>
    </row>
    <row r="1626" customFormat="false" ht="15" hidden="false" customHeight="false" outlineLevel="0" collapsed="false">
      <c r="A1626" s="49" t="s">
        <v>139</v>
      </c>
      <c r="B1626" s="29" t="s">
        <v>1330</v>
      </c>
      <c r="C1626" s="49" t="s">
        <v>520</v>
      </c>
      <c r="D1626" s="50" t="n">
        <v>1</v>
      </c>
      <c r="E1626" s="51" t="n">
        <f aca="false">'Analisa Harga Satuan'!$H$1103</f>
        <v>302500000</v>
      </c>
      <c r="F1626" s="52" t="n">
        <f aca="false">ROUND(D1626*E1626,0)</f>
        <v>302500000</v>
      </c>
      <c r="G1626" s="49" t="s">
        <v>1331</v>
      </c>
      <c r="H1626" s="53" t="s">
        <v>189</v>
      </c>
    </row>
    <row r="1627" customFormat="false" ht="15" hidden="false" customHeight="false" outlineLevel="0" collapsed="false">
      <c r="A1627" s="49" t="s">
        <v>141</v>
      </c>
      <c r="B1627" s="29" t="s">
        <v>1332</v>
      </c>
      <c r="C1627" s="49" t="s">
        <v>520</v>
      </c>
      <c r="D1627" s="50" t="n">
        <v>1</v>
      </c>
      <c r="E1627" s="51" t="n">
        <f aca="false">'Analisa Harga Satuan'!$H$1104</f>
        <v>93500000</v>
      </c>
      <c r="F1627" s="52" t="n">
        <f aca="false">ROUND(D1627*E1627,0)</f>
        <v>93500000</v>
      </c>
      <c r="G1627" s="49" t="s">
        <v>1333</v>
      </c>
      <c r="H1627" s="53" t="s">
        <v>189</v>
      </c>
    </row>
    <row r="1628" customFormat="false" ht="15" hidden="false" customHeight="false" outlineLevel="0" collapsed="false">
      <c r="A1628" s="60" t="s">
        <v>111</v>
      </c>
      <c r="B1628" s="61" t="s">
        <v>1334</v>
      </c>
    </row>
    <row r="1629" customFormat="false" ht="15" hidden="false" customHeight="false" outlineLevel="0" collapsed="false">
      <c r="A1629" s="49" t="s">
        <v>139</v>
      </c>
      <c r="B1629" s="29" t="s">
        <v>1335</v>
      </c>
      <c r="C1629" s="49" t="s">
        <v>183</v>
      </c>
      <c r="D1629" s="50" t="n">
        <v>1</v>
      </c>
      <c r="E1629" s="51" t="n">
        <f aca="false">'Analisa Harga Satuan'!$H$1105</f>
        <v>1155000000</v>
      </c>
      <c r="F1629" s="52" t="n">
        <f aca="false">ROUND(D1629*E1629,0)</f>
        <v>1155000000</v>
      </c>
      <c r="G1629" s="49" t="s">
        <v>1336</v>
      </c>
      <c r="H1629" s="53" t="s">
        <v>189</v>
      </c>
    </row>
    <row r="1630" customFormat="false" ht="15" hidden="false" customHeight="false" outlineLevel="0" collapsed="false">
      <c r="A1630" s="60" t="s">
        <v>1099</v>
      </c>
      <c r="B1630" s="61" t="s">
        <v>820</v>
      </c>
    </row>
    <row r="1631" customFormat="false" ht="15" hidden="false" customHeight="false" outlineLevel="0" collapsed="false">
      <c r="A1631" s="60" t="s">
        <v>78</v>
      </c>
      <c r="B1631" s="61" t="s">
        <v>821</v>
      </c>
    </row>
    <row r="1632" customFormat="false" ht="15" hidden="false" customHeight="false" outlineLevel="0" collapsed="false">
      <c r="A1632" s="49" t="s">
        <v>139</v>
      </c>
      <c r="B1632" s="29" t="s">
        <v>1337</v>
      </c>
      <c r="C1632" s="49" t="s">
        <v>206</v>
      </c>
      <c r="D1632" s="50" t="n">
        <v>14</v>
      </c>
      <c r="E1632" s="51" t="n">
        <f aca="false">'Analisa Harga Satuan'!$H$1106</f>
        <v>360525</v>
      </c>
      <c r="F1632" s="52" t="n">
        <f aca="false">ROUND(D1632*E1632,0)</f>
        <v>5047350</v>
      </c>
      <c r="G1632" s="49" t="s">
        <v>1338</v>
      </c>
      <c r="H1632" s="53" t="s">
        <v>181</v>
      </c>
    </row>
    <row r="1633" customFormat="false" ht="15" hidden="false" customHeight="false" outlineLevel="0" collapsed="false">
      <c r="A1633" s="49" t="s">
        <v>141</v>
      </c>
      <c r="B1633" s="29" t="s">
        <v>1339</v>
      </c>
      <c r="C1633" s="49" t="s">
        <v>206</v>
      </c>
      <c r="D1633" s="50" t="n">
        <v>22</v>
      </c>
      <c r="E1633" s="51" t="n">
        <f aca="false">'Analisa Harga Satuan'!$H$1107</f>
        <v>221375</v>
      </c>
      <c r="F1633" s="52" t="n">
        <f aca="false">ROUND(D1633*E1633,0)</f>
        <v>4870250</v>
      </c>
      <c r="G1633" s="49" t="s">
        <v>1340</v>
      </c>
      <c r="H1633" s="53" t="s">
        <v>181</v>
      </c>
    </row>
    <row r="1634" customFormat="false" ht="15" hidden="false" customHeight="false" outlineLevel="0" collapsed="false">
      <c r="A1634" s="49" t="s">
        <v>143</v>
      </c>
      <c r="B1634" s="29" t="s">
        <v>830</v>
      </c>
      <c r="C1634" s="49" t="s">
        <v>206</v>
      </c>
      <c r="D1634" s="50" t="n">
        <v>2</v>
      </c>
      <c r="E1634" s="51" t="n">
        <f aca="false">'Analisa Harga Satuan'!$H$981</f>
        <v>72600</v>
      </c>
      <c r="F1634" s="52" t="n">
        <f aca="false">ROUND(D1634*E1634,0)</f>
        <v>145200</v>
      </c>
      <c r="G1634" s="49" t="s">
        <v>831</v>
      </c>
      <c r="H1634" s="53" t="s">
        <v>181</v>
      </c>
    </row>
    <row r="1635" customFormat="false" ht="15" hidden="false" customHeight="false" outlineLevel="0" collapsed="false">
      <c r="A1635" s="49" t="s">
        <v>145</v>
      </c>
      <c r="B1635" s="29" t="s">
        <v>832</v>
      </c>
      <c r="C1635" s="49" t="s">
        <v>206</v>
      </c>
      <c r="D1635" s="50" t="n">
        <v>2</v>
      </c>
      <c r="E1635" s="51" t="n">
        <f aca="false">'Analisa Harga Satuan'!$H$982</f>
        <v>99000</v>
      </c>
      <c r="F1635" s="52" t="n">
        <f aca="false">ROUND(D1635*E1635,0)</f>
        <v>198000</v>
      </c>
      <c r="G1635" s="49" t="s">
        <v>833</v>
      </c>
      <c r="H1635" s="53" t="s">
        <v>181</v>
      </c>
    </row>
    <row r="1636" customFormat="false" ht="15" hidden="false" customHeight="false" outlineLevel="0" collapsed="false">
      <c r="A1636" s="49" t="s">
        <v>147</v>
      </c>
      <c r="B1636" s="29" t="s">
        <v>834</v>
      </c>
      <c r="C1636" s="49" t="s">
        <v>206</v>
      </c>
      <c r="D1636" s="50" t="n">
        <v>5</v>
      </c>
      <c r="E1636" s="51" t="n">
        <f aca="false">'Analisa Harga Satuan'!$H$983</f>
        <v>81840</v>
      </c>
      <c r="F1636" s="52" t="n">
        <f aca="false">ROUND(D1636*E1636,0)</f>
        <v>409200</v>
      </c>
      <c r="G1636" s="49" t="s">
        <v>835</v>
      </c>
      <c r="H1636" s="53" t="s">
        <v>181</v>
      </c>
    </row>
    <row r="1637" customFormat="false" ht="15" hidden="false" customHeight="false" outlineLevel="0" collapsed="false">
      <c r="A1637" s="49" t="s">
        <v>149</v>
      </c>
      <c r="B1637" s="29" t="s">
        <v>838</v>
      </c>
      <c r="C1637" s="49" t="s">
        <v>784</v>
      </c>
      <c r="D1637" s="50" t="n">
        <v>36</v>
      </c>
      <c r="E1637" s="51" t="n">
        <f aca="false">'Analisa Harga Satuan'!$H$985</f>
        <v>236500</v>
      </c>
      <c r="F1637" s="52" t="n">
        <f aca="false">ROUND(D1637*E1637,0)</f>
        <v>8514000</v>
      </c>
      <c r="G1637" s="49" t="s">
        <v>839</v>
      </c>
      <c r="H1637" s="53" t="s">
        <v>181</v>
      </c>
    </row>
    <row r="1638" customFormat="false" ht="15" hidden="false" customHeight="false" outlineLevel="0" collapsed="false">
      <c r="A1638" s="49" t="s">
        <v>151</v>
      </c>
      <c r="B1638" s="29" t="s">
        <v>840</v>
      </c>
      <c r="C1638" s="49" t="s">
        <v>784</v>
      </c>
      <c r="D1638" s="50" t="n">
        <v>5</v>
      </c>
      <c r="E1638" s="51" t="n">
        <f aca="false">'Analisa Harga Satuan'!$H$986</f>
        <v>258500</v>
      </c>
      <c r="F1638" s="52" t="n">
        <f aca="false">ROUND(D1638*E1638,0)</f>
        <v>1292500</v>
      </c>
      <c r="G1638" s="49" t="s">
        <v>841</v>
      </c>
      <c r="H1638" s="53" t="s">
        <v>181</v>
      </c>
    </row>
    <row r="1639" customFormat="false" ht="15" hidden="false" customHeight="false" outlineLevel="0" collapsed="false">
      <c r="A1639" s="49" t="s">
        <v>423</v>
      </c>
      <c r="B1639" s="29" t="s">
        <v>1341</v>
      </c>
      <c r="C1639" s="49" t="s">
        <v>784</v>
      </c>
      <c r="D1639" s="50" t="n">
        <v>14</v>
      </c>
      <c r="E1639" s="51" t="n">
        <f aca="false">'Analisa Harga Satuan'!$H$1108</f>
        <v>613525</v>
      </c>
      <c r="F1639" s="52" t="n">
        <f aca="false">ROUND(D1639*E1639,0)</f>
        <v>8589350</v>
      </c>
      <c r="G1639" s="49" t="s">
        <v>1342</v>
      </c>
      <c r="H1639" s="53" t="s">
        <v>181</v>
      </c>
    </row>
    <row r="1640" customFormat="false" ht="15" hidden="false" customHeight="false" outlineLevel="0" collapsed="false">
      <c r="A1640" s="49" t="s">
        <v>208</v>
      </c>
      <c r="B1640" s="29" t="s">
        <v>729</v>
      </c>
      <c r="C1640" s="49" t="s">
        <v>179</v>
      </c>
      <c r="D1640" s="50" t="n">
        <v>1</v>
      </c>
      <c r="E1640" s="51" t="n">
        <f aca="false">'Analisa Harga Satuan'!$H$948</f>
        <v>1650000</v>
      </c>
      <c r="F1640" s="52" t="n">
        <f aca="false">ROUND(D1640*E1640,0)</f>
        <v>1650000</v>
      </c>
      <c r="G1640" s="49" t="s">
        <v>730</v>
      </c>
      <c r="H1640" s="53" t="s">
        <v>181</v>
      </c>
    </row>
    <row r="1641" customFormat="false" ht="15" hidden="false" customHeight="false" outlineLevel="0" collapsed="false">
      <c r="A1641" s="55"/>
      <c r="B1641" s="56" t="s">
        <v>1343</v>
      </c>
      <c r="C1641" s="55"/>
      <c r="D1641" s="55"/>
      <c r="E1641" s="55"/>
      <c r="F1641" s="27" t="n">
        <f aca="false">SUM(F1600:F1640)</f>
        <v>3203352350</v>
      </c>
      <c r="G1641" s="55"/>
      <c r="H1641" s="55"/>
    </row>
    <row r="1642" customFormat="false" ht="15" hidden="false" customHeight="false" outlineLevel="0" collapsed="false">
      <c r="A1642" s="57"/>
      <c r="B1642" s="58" t="s">
        <v>126</v>
      </c>
      <c r="C1642" s="57"/>
      <c r="D1642" s="57"/>
      <c r="E1642" s="57"/>
      <c r="F1642" s="34" t="n">
        <f aca="false">F1502+F1554+F1590+F1598+F1641</f>
        <v>6116133986</v>
      </c>
      <c r="G1642" s="57"/>
      <c r="H1642" s="57"/>
    </row>
    <row r="1644" customFormat="false" ht="15" hidden="false" customHeight="false" outlineLevel="0" collapsed="false">
      <c r="A1644" s="59" t="s">
        <v>127</v>
      </c>
      <c r="B1644" s="24" t="s">
        <v>128</v>
      </c>
      <c r="C1644" s="23"/>
      <c r="D1644" s="23"/>
      <c r="E1644" s="23"/>
      <c r="F1644" s="23"/>
      <c r="G1644" s="23"/>
      <c r="H1644" s="23"/>
    </row>
    <row r="1645" customFormat="false" ht="15" hidden="false" customHeight="false" outlineLevel="0" collapsed="false">
      <c r="A1645" s="46" t="s">
        <v>80</v>
      </c>
      <c r="B1645" s="47" t="s">
        <v>129</v>
      </c>
      <c r="C1645" s="48"/>
      <c r="D1645" s="48"/>
      <c r="E1645" s="48"/>
      <c r="F1645" s="48"/>
      <c r="G1645" s="48"/>
      <c r="H1645" s="48"/>
    </row>
    <row r="1646" customFormat="false" ht="15" hidden="false" customHeight="false" outlineLevel="0" collapsed="false">
      <c r="A1646" s="60" t="s">
        <v>78</v>
      </c>
      <c r="B1646" s="61" t="s">
        <v>1344</v>
      </c>
    </row>
    <row r="1647" customFormat="false" ht="15" hidden="false" customHeight="false" outlineLevel="0" collapsed="false">
      <c r="A1647" s="49" t="s">
        <v>139</v>
      </c>
      <c r="B1647" s="29" t="s">
        <v>302</v>
      </c>
      <c r="C1647" s="49" t="s">
        <v>303</v>
      </c>
      <c r="D1647" s="50" t="n">
        <v>479.23</v>
      </c>
      <c r="E1647" s="51" t="n">
        <f aca="false">'Analisa Harga Satuan'!$F$17</f>
        <v>105050</v>
      </c>
      <c r="F1647" s="52" t="n">
        <f aca="false">ROUND(D1647*E1647,0)</f>
        <v>50343112</v>
      </c>
      <c r="G1647" s="49" t="s">
        <v>304</v>
      </c>
      <c r="H1647" s="53" t="s">
        <v>305</v>
      </c>
    </row>
    <row r="1648" customFormat="false" ht="15" hidden="false" customHeight="false" outlineLevel="0" collapsed="false">
      <c r="A1648" s="49" t="s">
        <v>141</v>
      </c>
      <c r="B1648" s="29" t="s">
        <v>306</v>
      </c>
      <c r="C1648" s="49" t="s">
        <v>303</v>
      </c>
      <c r="D1648" s="50" t="n">
        <v>365.2</v>
      </c>
      <c r="E1648" s="51" t="n">
        <f aca="false">'Analisa Harga Satuan'!$F$31</f>
        <v>113135</v>
      </c>
      <c r="F1648" s="52" t="n">
        <f aca="false">ROUND(D1648*E1648,0)</f>
        <v>41316902</v>
      </c>
      <c r="G1648" s="49" t="s">
        <v>307</v>
      </c>
      <c r="H1648" s="53" t="s">
        <v>305</v>
      </c>
    </row>
    <row r="1649" customFormat="false" ht="15" hidden="false" customHeight="false" outlineLevel="0" collapsed="false">
      <c r="A1649" s="49" t="s">
        <v>143</v>
      </c>
      <c r="B1649" s="29" t="s">
        <v>308</v>
      </c>
      <c r="C1649" s="49" t="s">
        <v>303</v>
      </c>
      <c r="D1649" s="50" t="n">
        <v>114.03</v>
      </c>
      <c r="E1649" s="51" t="n">
        <f aca="false">'Analisa Harga Satuan'!$F$44</f>
        <v>65175</v>
      </c>
      <c r="F1649" s="52" t="n">
        <f aca="false">ROUND(D1649*E1649,0)</f>
        <v>7431905</v>
      </c>
      <c r="G1649" s="49" t="s">
        <v>309</v>
      </c>
      <c r="H1649" s="53" t="s">
        <v>305</v>
      </c>
    </row>
    <row r="1650" customFormat="false" ht="15" hidden="false" customHeight="false" outlineLevel="0" collapsed="false">
      <c r="A1650" s="49" t="s">
        <v>145</v>
      </c>
      <c r="B1650" s="29" t="s">
        <v>1269</v>
      </c>
      <c r="C1650" s="49" t="s">
        <v>303</v>
      </c>
      <c r="D1650" s="50" t="n">
        <v>4</v>
      </c>
      <c r="E1650" s="51" t="n">
        <f aca="false">'Analisa Harga Satuan'!$F$57</f>
        <v>470250</v>
      </c>
      <c r="F1650" s="52" t="n">
        <f aca="false">ROUND(D1650*E1650,0)</f>
        <v>1881000</v>
      </c>
      <c r="G1650" s="49" t="s">
        <v>311</v>
      </c>
      <c r="H1650" s="53" t="s">
        <v>305</v>
      </c>
    </row>
    <row r="1651" customFormat="false" ht="15" hidden="false" customHeight="false" outlineLevel="0" collapsed="false">
      <c r="A1651" s="60" t="s">
        <v>93</v>
      </c>
      <c r="B1651" s="61" t="s">
        <v>312</v>
      </c>
    </row>
    <row r="1652" customFormat="false" ht="15" hidden="false" customHeight="false" outlineLevel="0" collapsed="false">
      <c r="A1652" s="49" t="s">
        <v>139</v>
      </c>
      <c r="B1652" s="29" t="s">
        <v>313</v>
      </c>
      <c r="C1652" s="49" t="s">
        <v>303</v>
      </c>
      <c r="D1652" s="50" t="n">
        <v>41.39</v>
      </c>
      <c r="E1652" s="51" t="n">
        <f aca="false">'Analisa Harga Satuan'!$F$73</f>
        <v>211750</v>
      </c>
      <c r="F1652" s="52" t="n">
        <f aca="false">ROUND(D1652*E1652,0)</f>
        <v>8764333</v>
      </c>
      <c r="G1652" s="49" t="s">
        <v>314</v>
      </c>
      <c r="H1652" s="53" t="s">
        <v>305</v>
      </c>
    </row>
    <row r="1653" customFormat="false" ht="15" hidden="false" customHeight="false" outlineLevel="0" collapsed="false">
      <c r="A1653" s="49" t="s">
        <v>141</v>
      </c>
      <c r="B1653" s="29" t="s">
        <v>315</v>
      </c>
      <c r="C1653" s="49" t="s">
        <v>303</v>
      </c>
      <c r="D1653" s="50" t="n">
        <v>41.39</v>
      </c>
      <c r="E1653" s="51" t="n">
        <f aca="false">'Analisa Harga Satuan'!$F$89</f>
        <v>25355</v>
      </c>
      <c r="F1653" s="52" t="n">
        <f aca="false">ROUND(D1653*E1653,0)</f>
        <v>1049443</v>
      </c>
      <c r="G1653" s="49" t="s">
        <v>316</v>
      </c>
      <c r="H1653" s="53" t="s">
        <v>305</v>
      </c>
    </row>
    <row r="1654" customFormat="false" ht="15" hidden="false" customHeight="false" outlineLevel="0" collapsed="false">
      <c r="A1654" s="49" t="s">
        <v>143</v>
      </c>
      <c r="B1654" s="29" t="s">
        <v>310</v>
      </c>
      <c r="C1654" s="49" t="s">
        <v>303</v>
      </c>
      <c r="D1654" s="50" t="n">
        <v>4.02</v>
      </c>
      <c r="E1654" s="51" t="n">
        <f aca="false">'Analisa Harga Satuan'!$F$57</f>
        <v>470250</v>
      </c>
      <c r="F1654" s="52" t="n">
        <f aca="false">ROUND(D1654*E1654,0)</f>
        <v>1890405</v>
      </c>
      <c r="G1654" s="49" t="s">
        <v>311</v>
      </c>
      <c r="H1654" s="53" t="s">
        <v>305</v>
      </c>
    </row>
    <row r="1655" customFormat="false" ht="15" hidden="false" customHeight="false" outlineLevel="0" collapsed="false">
      <c r="A1655" s="55"/>
      <c r="B1655" s="56" t="s">
        <v>1345</v>
      </c>
      <c r="C1655" s="55"/>
      <c r="D1655" s="55"/>
      <c r="E1655" s="55"/>
      <c r="F1655" s="27" t="n">
        <f aca="false">SUM(F1646:F1654)</f>
        <v>112677100</v>
      </c>
      <c r="G1655" s="55"/>
      <c r="H1655" s="55"/>
    </row>
    <row r="1656" customFormat="false" ht="15" hidden="false" customHeight="false" outlineLevel="0" collapsed="false">
      <c r="A1656" s="46" t="s">
        <v>82</v>
      </c>
      <c r="B1656" s="47" t="s">
        <v>130</v>
      </c>
      <c r="C1656" s="48"/>
      <c r="D1656" s="48"/>
      <c r="E1656" s="48"/>
      <c r="F1656" s="48"/>
      <c r="G1656" s="48"/>
      <c r="H1656" s="48"/>
    </row>
    <row r="1657" customFormat="false" ht="15" hidden="false" customHeight="false" outlineLevel="0" collapsed="false">
      <c r="A1657" s="60" t="s">
        <v>320</v>
      </c>
      <c r="B1657" s="61" t="s">
        <v>321</v>
      </c>
    </row>
    <row r="1658" customFormat="false" ht="15" hidden="false" customHeight="false" outlineLevel="0" collapsed="false">
      <c r="A1658" s="60" t="s">
        <v>78</v>
      </c>
      <c r="B1658" s="61" t="s">
        <v>1271</v>
      </c>
    </row>
    <row r="1659" customFormat="false" ht="15" hidden="false" customHeight="false" outlineLevel="0" collapsed="false">
      <c r="A1659" s="49" t="s">
        <v>139</v>
      </c>
      <c r="B1659" s="29" t="s">
        <v>323</v>
      </c>
      <c r="C1659" s="49" t="s">
        <v>303</v>
      </c>
      <c r="D1659" s="50" t="n">
        <v>4</v>
      </c>
      <c r="E1659" s="51" t="n">
        <f aca="false">'Analisa Harga Satuan'!$F$228</f>
        <v>1386820</v>
      </c>
      <c r="F1659" s="52" t="n">
        <f aca="false">ROUND(D1659*E1659,0)</f>
        <v>5547280</v>
      </c>
      <c r="G1659" s="49" t="s">
        <v>324</v>
      </c>
      <c r="H1659" s="53" t="s">
        <v>305</v>
      </c>
    </row>
    <row r="1660" customFormat="false" ht="15" hidden="false" customHeight="false" outlineLevel="0" collapsed="false">
      <c r="A1660" s="49" t="s">
        <v>141</v>
      </c>
      <c r="B1660" s="29" t="s">
        <v>325</v>
      </c>
      <c r="C1660" s="49" t="s">
        <v>303</v>
      </c>
      <c r="D1660" s="50" t="n">
        <v>28.29</v>
      </c>
      <c r="E1660" s="51" t="n">
        <f aca="false">'Analisa Harga Satuan'!$F$294</f>
        <v>1803236</v>
      </c>
      <c r="F1660" s="52" t="n">
        <f aca="false">ROUND(D1660*E1660,0)</f>
        <v>51013546</v>
      </c>
      <c r="G1660" s="49" t="s">
        <v>326</v>
      </c>
      <c r="H1660" s="53" t="s">
        <v>305</v>
      </c>
    </row>
    <row r="1661" customFormat="false" ht="15" hidden="false" customHeight="false" outlineLevel="0" collapsed="false">
      <c r="A1661" s="49" t="s">
        <v>143</v>
      </c>
      <c r="B1661" s="29" t="s">
        <v>327</v>
      </c>
      <c r="C1661" s="49" t="s">
        <v>328</v>
      </c>
      <c r="D1661" s="50" t="n">
        <v>3337.33</v>
      </c>
      <c r="E1661" s="51" t="n">
        <f aca="false">'Analisa Harga Satuan'!$F$310</f>
        <v>23191</v>
      </c>
      <c r="F1661" s="52" t="n">
        <f aca="false">ROUND(D1661*E1661,0)</f>
        <v>77396020</v>
      </c>
      <c r="G1661" s="49" t="s">
        <v>329</v>
      </c>
      <c r="H1661" s="53" t="s">
        <v>305</v>
      </c>
    </row>
    <row r="1662" customFormat="false" ht="15" hidden="false" customHeight="false" outlineLevel="0" collapsed="false">
      <c r="A1662" s="49" t="s">
        <v>145</v>
      </c>
      <c r="B1662" s="29" t="s">
        <v>330</v>
      </c>
      <c r="C1662" s="49" t="s">
        <v>331</v>
      </c>
      <c r="D1662" s="50" t="n">
        <v>35.82</v>
      </c>
      <c r="E1662" s="51" t="n">
        <f aca="false">'Analisa Harga Satuan'!$F$330</f>
        <v>398959</v>
      </c>
      <c r="F1662" s="52" t="n">
        <f aca="false">ROUND(D1662*E1662,0)</f>
        <v>14290711</v>
      </c>
      <c r="G1662" s="49" t="s">
        <v>332</v>
      </c>
      <c r="H1662" s="53" t="s">
        <v>305</v>
      </c>
    </row>
    <row r="1663" customFormat="false" ht="15" hidden="false" customHeight="false" outlineLevel="0" collapsed="false">
      <c r="A1663" s="60" t="s">
        <v>93</v>
      </c>
      <c r="B1663" s="61" t="s">
        <v>1346</v>
      </c>
    </row>
    <row r="1664" customFormat="false" ht="15" hidden="false" customHeight="false" outlineLevel="0" collapsed="false">
      <c r="A1664" s="49" t="s">
        <v>139</v>
      </c>
      <c r="B1664" s="29" t="s">
        <v>325</v>
      </c>
      <c r="C1664" s="49" t="s">
        <v>303</v>
      </c>
      <c r="D1664" s="50" t="n">
        <v>4.62</v>
      </c>
      <c r="E1664" s="51" t="n">
        <f aca="false">'Analisa Harga Satuan'!$F$294</f>
        <v>1803236</v>
      </c>
      <c r="F1664" s="52" t="n">
        <f aca="false">ROUND(D1664*E1664,0)</f>
        <v>8330950</v>
      </c>
      <c r="G1664" s="49" t="s">
        <v>326</v>
      </c>
      <c r="H1664" s="53" t="s">
        <v>305</v>
      </c>
    </row>
    <row r="1665" customFormat="false" ht="15" hidden="false" customHeight="false" outlineLevel="0" collapsed="false">
      <c r="A1665" s="49" t="s">
        <v>141</v>
      </c>
      <c r="B1665" s="29" t="s">
        <v>327</v>
      </c>
      <c r="C1665" s="49" t="s">
        <v>328</v>
      </c>
      <c r="D1665" s="50" t="n">
        <v>930.31</v>
      </c>
      <c r="E1665" s="51" t="n">
        <f aca="false">'Analisa Harga Satuan'!$F$310</f>
        <v>23191</v>
      </c>
      <c r="F1665" s="52" t="n">
        <f aca="false">ROUND(D1665*E1665,0)</f>
        <v>21574819</v>
      </c>
      <c r="G1665" s="49" t="s">
        <v>329</v>
      </c>
      <c r="H1665" s="53" t="s">
        <v>305</v>
      </c>
    </row>
    <row r="1666" customFormat="false" ht="15" hidden="false" customHeight="false" outlineLevel="0" collapsed="false">
      <c r="A1666" s="49" t="s">
        <v>143</v>
      </c>
      <c r="B1666" s="29" t="s">
        <v>330</v>
      </c>
      <c r="C1666" s="49" t="s">
        <v>331</v>
      </c>
      <c r="D1666" s="50" t="n">
        <v>41.07</v>
      </c>
      <c r="E1666" s="51" t="n">
        <f aca="false">'Analisa Harga Satuan'!$F$330</f>
        <v>398959</v>
      </c>
      <c r="F1666" s="52" t="n">
        <f aca="false">ROUND(D1666*E1666,0)</f>
        <v>16385246</v>
      </c>
      <c r="G1666" s="49" t="s">
        <v>332</v>
      </c>
      <c r="H1666" s="53" t="s">
        <v>305</v>
      </c>
    </row>
    <row r="1667" customFormat="false" ht="15" hidden="false" customHeight="false" outlineLevel="0" collapsed="false">
      <c r="A1667" s="60" t="s">
        <v>102</v>
      </c>
      <c r="B1667" s="61" t="s">
        <v>1273</v>
      </c>
    </row>
    <row r="1668" customFormat="false" ht="15" hidden="false" customHeight="false" outlineLevel="0" collapsed="false">
      <c r="A1668" s="49" t="s">
        <v>139</v>
      </c>
      <c r="B1668" s="29" t="s">
        <v>310</v>
      </c>
      <c r="C1668" s="49" t="s">
        <v>303</v>
      </c>
      <c r="D1668" s="50" t="n">
        <v>2</v>
      </c>
      <c r="E1668" s="51" t="n">
        <f aca="false">'Analisa Harga Satuan'!$F$57</f>
        <v>470250</v>
      </c>
      <c r="F1668" s="52" t="n">
        <f aca="false">ROUND(D1668*E1668,0)</f>
        <v>940500</v>
      </c>
      <c r="G1668" s="49" t="s">
        <v>311</v>
      </c>
      <c r="H1668" s="53" t="s">
        <v>305</v>
      </c>
    </row>
    <row r="1669" customFormat="false" ht="15" hidden="false" customHeight="false" outlineLevel="0" collapsed="false">
      <c r="A1669" s="49" t="s">
        <v>141</v>
      </c>
      <c r="B1669" s="29" t="s">
        <v>1347</v>
      </c>
      <c r="C1669" s="49" t="s">
        <v>303</v>
      </c>
      <c r="D1669" s="50" t="n">
        <v>8</v>
      </c>
      <c r="E1669" s="51" t="n">
        <f aca="false">'Analisa Harga Satuan'!$F$172</f>
        <v>832128</v>
      </c>
      <c r="F1669" s="52" t="n">
        <f aca="false">ROUND(D1669*E1669,0)</f>
        <v>6657024</v>
      </c>
      <c r="G1669" s="49" t="s">
        <v>1348</v>
      </c>
      <c r="H1669" s="53" t="s">
        <v>305</v>
      </c>
    </row>
    <row r="1670" customFormat="false" ht="15" hidden="false" customHeight="false" outlineLevel="0" collapsed="false">
      <c r="A1670" s="49" t="s">
        <v>143</v>
      </c>
      <c r="B1670" s="29" t="s">
        <v>1274</v>
      </c>
      <c r="C1670" s="49" t="s">
        <v>303</v>
      </c>
      <c r="D1670" s="50" t="n">
        <v>22.39</v>
      </c>
      <c r="E1670" s="51" t="n">
        <f aca="false">'Analisa Harga Satuan'!$F$189</f>
        <v>1456103</v>
      </c>
      <c r="F1670" s="52" t="n">
        <f aca="false">ROUND(D1670*E1670,0)</f>
        <v>32602146</v>
      </c>
      <c r="G1670" s="49" t="s">
        <v>339</v>
      </c>
      <c r="H1670" s="53" t="s">
        <v>305</v>
      </c>
    </row>
    <row r="1671" customFormat="false" ht="15" hidden="false" customHeight="false" outlineLevel="0" collapsed="false">
      <c r="A1671" s="60" t="s">
        <v>111</v>
      </c>
      <c r="B1671" s="61" t="s">
        <v>1349</v>
      </c>
    </row>
    <row r="1672" customFormat="false" ht="15" hidden="false" customHeight="false" outlineLevel="0" collapsed="false">
      <c r="A1672" s="49" t="s">
        <v>139</v>
      </c>
      <c r="B1672" s="29" t="s">
        <v>323</v>
      </c>
      <c r="C1672" s="49" t="s">
        <v>303</v>
      </c>
      <c r="D1672" s="50" t="n">
        <v>0.13</v>
      </c>
      <c r="E1672" s="51" t="n">
        <f aca="false">'Analisa Harga Satuan'!$F$228</f>
        <v>1386820</v>
      </c>
      <c r="F1672" s="52" t="n">
        <f aca="false">ROUND(D1672*E1672,0)</f>
        <v>180287</v>
      </c>
      <c r="G1672" s="49" t="s">
        <v>324</v>
      </c>
      <c r="H1672" s="53" t="s">
        <v>305</v>
      </c>
    </row>
    <row r="1673" customFormat="false" ht="15" hidden="false" customHeight="false" outlineLevel="0" collapsed="false">
      <c r="A1673" s="49" t="s">
        <v>141</v>
      </c>
      <c r="B1673" s="29" t="s">
        <v>355</v>
      </c>
      <c r="C1673" s="49" t="s">
        <v>303</v>
      </c>
      <c r="D1673" s="50" t="n">
        <v>6.59</v>
      </c>
      <c r="E1673" s="51" t="n">
        <f aca="false">'Analisa Harga Satuan'!$F$272</f>
        <v>1747048</v>
      </c>
      <c r="F1673" s="52" t="n">
        <f aca="false">ROUND(D1673*E1673,0)</f>
        <v>11513046</v>
      </c>
      <c r="G1673" s="49" t="s">
        <v>351</v>
      </c>
      <c r="H1673" s="53" t="s">
        <v>305</v>
      </c>
    </row>
    <row r="1674" customFormat="false" ht="15" hidden="false" customHeight="false" outlineLevel="0" collapsed="false">
      <c r="A1674" s="49" t="s">
        <v>143</v>
      </c>
      <c r="B1674" s="29" t="s">
        <v>327</v>
      </c>
      <c r="C1674" s="49" t="s">
        <v>328</v>
      </c>
      <c r="D1674" s="50" t="n">
        <v>1032.26</v>
      </c>
      <c r="E1674" s="51" t="n">
        <f aca="false">'Analisa Harga Satuan'!$F$310</f>
        <v>23191</v>
      </c>
      <c r="F1674" s="52" t="n">
        <f aca="false">ROUND(D1674*E1674,0)</f>
        <v>23939142</v>
      </c>
      <c r="G1674" s="49" t="s">
        <v>329</v>
      </c>
      <c r="H1674" s="53" t="s">
        <v>305</v>
      </c>
    </row>
    <row r="1675" customFormat="false" ht="15" hidden="false" customHeight="false" outlineLevel="0" collapsed="false">
      <c r="A1675" s="49" t="s">
        <v>145</v>
      </c>
      <c r="B1675" s="29" t="s">
        <v>330</v>
      </c>
      <c r="C1675" s="49" t="s">
        <v>331</v>
      </c>
      <c r="D1675" s="50" t="n">
        <v>48.33</v>
      </c>
      <c r="E1675" s="51" t="n">
        <f aca="false">'Analisa Harga Satuan'!$F$330</f>
        <v>398959</v>
      </c>
      <c r="F1675" s="52" t="n">
        <f aca="false">ROUND(D1675*E1675,0)</f>
        <v>19281688</v>
      </c>
      <c r="G1675" s="49" t="s">
        <v>332</v>
      </c>
      <c r="H1675" s="53" t="s">
        <v>305</v>
      </c>
    </row>
    <row r="1676" customFormat="false" ht="15" hidden="false" customHeight="false" outlineLevel="0" collapsed="false">
      <c r="A1676" s="60" t="s">
        <v>1350</v>
      </c>
      <c r="B1676" s="61" t="s">
        <v>353</v>
      </c>
    </row>
    <row r="1677" customFormat="false" ht="15" hidden="false" customHeight="false" outlineLevel="0" collapsed="false">
      <c r="A1677" s="60" t="s">
        <v>78</v>
      </c>
      <c r="B1677" s="61" t="s">
        <v>1181</v>
      </c>
    </row>
    <row r="1678" customFormat="false" ht="15" hidden="false" customHeight="false" outlineLevel="0" collapsed="false">
      <c r="A1678" s="49" t="s">
        <v>139</v>
      </c>
      <c r="B1678" s="29" t="s">
        <v>310</v>
      </c>
      <c r="C1678" s="49" t="s">
        <v>303</v>
      </c>
      <c r="D1678" s="50" t="n">
        <v>3.41</v>
      </c>
      <c r="E1678" s="51" t="n">
        <f aca="false">'Analisa Harga Satuan'!$F$57</f>
        <v>470250</v>
      </c>
      <c r="F1678" s="52" t="n">
        <f aca="false">ROUND(D1678*E1678,0)</f>
        <v>1603553</v>
      </c>
      <c r="G1678" s="49" t="s">
        <v>311</v>
      </c>
      <c r="H1678" s="53" t="s">
        <v>305</v>
      </c>
    </row>
    <row r="1679" customFormat="false" ht="15" hidden="false" customHeight="false" outlineLevel="0" collapsed="false">
      <c r="A1679" s="49" t="s">
        <v>141</v>
      </c>
      <c r="B1679" s="29" t="s">
        <v>1182</v>
      </c>
      <c r="C1679" s="49" t="s">
        <v>303</v>
      </c>
      <c r="D1679" s="50" t="n">
        <v>4.77</v>
      </c>
      <c r="E1679" s="51" t="n">
        <f aca="false">'Analisa Harga Satuan'!$F$228</f>
        <v>1386820</v>
      </c>
      <c r="F1679" s="52" t="n">
        <f aca="false">ROUND(D1679*E1679,0)</f>
        <v>6615131</v>
      </c>
      <c r="G1679" s="49" t="s">
        <v>324</v>
      </c>
      <c r="H1679" s="53" t="s">
        <v>305</v>
      </c>
    </row>
    <row r="1680" customFormat="false" ht="15" hidden="false" customHeight="false" outlineLevel="0" collapsed="false">
      <c r="A1680" s="60" t="s">
        <v>93</v>
      </c>
      <c r="B1680" s="61" t="s">
        <v>1277</v>
      </c>
    </row>
    <row r="1681" customFormat="false" ht="15" hidden="false" customHeight="false" outlineLevel="0" collapsed="false">
      <c r="A1681" s="49" t="s">
        <v>139</v>
      </c>
      <c r="B1681" s="29" t="s">
        <v>323</v>
      </c>
      <c r="C1681" s="49" t="s">
        <v>303</v>
      </c>
      <c r="D1681" s="50" t="n">
        <v>4.38</v>
      </c>
      <c r="E1681" s="51" t="n">
        <f aca="false">'Analisa Harga Satuan'!$F$228</f>
        <v>1386820</v>
      </c>
      <c r="F1681" s="52" t="n">
        <f aca="false">ROUND(D1681*E1681,0)</f>
        <v>6074272</v>
      </c>
      <c r="G1681" s="49" t="s">
        <v>324</v>
      </c>
      <c r="H1681" s="53" t="s">
        <v>305</v>
      </c>
    </row>
    <row r="1682" customFormat="false" ht="15" hidden="false" customHeight="false" outlineLevel="0" collapsed="false">
      <c r="A1682" s="49" t="s">
        <v>141</v>
      </c>
      <c r="B1682" s="29" t="s">
        <v>355</v>
      </c>
      <c r="C1682" s="49" t="s">
        <v>303</v>
      </c>
      <c r="D1682" s="50" t="n">
        <v>15.13</v>
      </c>
      <c r="E1682" s="51" t="n">
        <f aca="false">'Analisa Harga Satuan'!$F$272</f>
        <v>1747048</v>
      </c>
      <c r="F1682" s="52" t="n">
        <f aca="false">ROUND(D1682*E1682,0)</f>
        <v>26432836</v>
      </c>
      <c r="G1682" s="49" t="s">
        <v>351</v>
      </c>
      <c r="H1682" s="53" t="s">
        <v>305</v>
      </c>
    </row>
    <row r="1683" customFormat="false" ht="15" hidden="false" customHeight="false" outlineLevel="0" collapsed="false">
      <c r="A1683" s="49" t="s">
        <v>143</v>
      </c>
      <c r="B1683" s="29" t="s">
        <v>327</v>
      </c>
      <c r="C1683" s="49" t="s">
        <v>328</v>
      </c>
      <c r="D1683" s="50" t="n">
        <v>1222.89</v>
      </c>
      <c r="E1683" s="51" t="n">
        <f aca="false">'Analisa Harga Satuan'!$F$310</f>
        <v>23191</v>
      </c>
      <c r="F1683" s="52" t="n">
        <f aca="false">ROUND(D1683*E1683,0)</f>
        <v>28360042</v>
      </c>
      <c r="G1683" s="49" t="s">
        <v>329</v>
      </c>
      <c r="H1683" s="53" t="s">
        <v>305</v>
      </c>
    </row>
    <row r="1684" customFormat="false" ht="15" hidden="false" customHeight="false" outlineLevel="0" collapsed="false">
      <c r="A1684" s="60" t="s">
        <v>102</v>
      </c>
      <c r="B1684" s="61" t="s">
        <v>1278</v>
      </c>
    </row>
    <row r="1685" customFormat="false" ht="15" hidden="false" customHeight="false" outlineLevel="0" collapsed="false">
      <c r="A1685" s="49" t="s">
        <v>139</v>
      </c>
      <c r="B1685" s="29" t="s">
        <v>355</v>
      </c>
      <c r="C1685" s="49" t="s">
        <v>303</v>
      </c>
      <c r="D1685" s="50" t="n">
        <v>5.92</v>
      </c>
      <c r="E1685" s="51" t="n">
        <f aca="false">'Analisa Harga Satuan'!$F$272</f>
        <v>1747048</v>
      </c>
      <c r="F1685" s="52" t="n">
        <f aca="false">ROUND(D1685*E1685,0)</f>
        <v>10342524</v>
      </c>
      <c r="G1685" s="49" t="s">
        <v>351</v>
      </c>
      <c r="H1685" s="53" t="s">
        <v>305</v>
      </c>
    </row>
    <row r="1686" customFormat="false" ht="15" hidden="false" customHeight="false" outlineLevel="0" collapsed="false">
      <c r="A1686" s="49" t="s">
        <v>141</v>
      </c>
      <c r="B1686" s="29" t="s">
        <v>327</v>
      </c>
      <c r="C1686" s="49" t="s">
        <v>328</v>
      </c>
      <c r="D1686" s="50" t="n">
        <v>1293.9</v>
      </c>
      <c r="E1686" s="51" t="n">
        <f aca="false">'Analisa Harga Satuan'!$F$310</f>
        <v>23191</v>
      </c>
      <c r="F1686" s="52" t="n">
        <f aca="false">ROUND(D1686*E1686,0)</f>
        <v>30006835</v>
      </c>
      <c r="G1686" s="49" t="s">
        <v>329</v>
      </c>
      <c r="H1686" s="53" t="s">
        <v>305</v>
      </c>
    </row>
    <row r="1687" customFormat="false" ht="15" hidden="false" customHeight="false" outlineLevel="0" collapsed="false">
      <c r="A1687" s="49" t="s">
        <v>143</v>
      </c>
      <c r="B1687" s="29" t="s">
        <v>330</v>
      </c>
      <c r="C1687" s="49" t="s">
        <v>331</v>
      </c>
      <c r="D1687" s="50" t="n">
        <v>52.62</v>
      </c>
      <c r="E1687" s="51" t="n">
        <f aca="false">'Analisa Harga Satuan'!$F$330</f>
        <v>398959</v>
      </c>
      <c r="F1687" s="52" t="n">
        <f aca="false">ROUND(D1687*E1687,0)</f>
        <v>20993223</v>
      </c>
      <c r="G1687" s="49" t="s">
        <v>332</v>
      </c>
      <c r="H1687" s="53" t="s">
        <v>305</v>
      </c>
    </row>
    <row r="1688" customFormat="false" ht="15" hidden="false" customHeight="false" outlineLevel="0" collapsed="false">
      <c r="A1688" s="60" t="s">
        <v>111</v>
      </c>
      <c r="B1688" s="61" t="s">
        <v>1351</v>
      </c>
    </row>
    <row r="1689" customFormat="false" ht="15" hidden="false" customHeight="false" outlineLevel="0" collapsed="false">
      <c r="A1689" s="49" t="s">
        <v>139</v>
      </c>
      <c r="B1689" s="29" t="s">
        <v>355</v>
      </c>
      <c r="C1689" s="49" t="s">
        <v>303</v>
      </c>
      <c r="D1689" s="50" t="n">
        <v>0.54</v>
      </c>
      <c r="E1689" s="51" t="n">
        <f aca="false">'Analisa Harga Satuan'!$F$272</f>
        <v>1747048</v>
      </c>
      <c r="F1689" s="52" t="n">
        <f aca="false">ROUND(D1689*E1689,0)</f>
        <v>943406</v>
      </c>
      <c r="G1689" s="49" t="s">
        <v>351</v>
      </c>
      <c r="H1689" s="53" t="s">
        <v>305</v>
      </c>
    </row>
    <row r="1690" customFormat="false" ht="15" hidden="false" customHeight="false" outlineLevel="0" collapsed="false">
      <c r="A1690" s="49" t="s">
        <v>141</v>
      </c>
      <c r="B1690" s="29" t="s">
        <v>327</v>
      </c>
      <c r="C1690" s="49" t="s">
        <v>328</v>
      </c>
      <c r="D1690" s="50" t="n">
        <v>186.53</v>
      </c>
      <c r="E1690" s="51" t="n">
        <f aca="false">'Analisa Harga Satuan'!$F$310</f>
        <v>23191</v>
      </c>
      <c r="F1690" s="52" t="n">
        <f aca="false">ROUND(D1690*E1690,0)</f>
        <v>4325817</v>
      </c>
      <c r="G1690" s="49" t="s">
        <v>329</v>
      </c>
      <c r="H1690" s="53" t="s">
        <v>305</v>
      </c>
    </row>
    <row r="1691" customFormat="false" ht="15" hidden="false" customHeight="false" outlineLevel="0" collapsed="false">
      <c r="A1691" s="49" t="s">
        <v>143</v>
      </c>
      <c r="B1691" s="29" t="s">
        <v>330</v>
      </c>
      <c r="C1691" s="49" t="s">
        <v>331</v>
      </c>
      <c r="D1691" s="50" t="n">
        <v>2.7</v>
      </c>
      <c r="E1691" s="51" t="n">
        <f aca="false">'Analisa Harga Satuan'!$F$330</f>
        <v>398959</v>
      </c>
      <c r="F1691" s="52" t="n">
        <f aca="false">ROUND(D1691*E1691,0)</f>
        <v>1077189</v>
      </c>
      <c r="G1691" s="49" t="s">
        <v>332</v>
      </c>
      <c r="H1691" s="53" t="s">
        <v>305</v>
      </c>
    </row>
    <row r="1692" customFormat="false" ht="15" hidden="false" customHeight="false" outlineLevel="0" collapsed="false">
      <c r="A1692" s="60" t="s">
        <v>119</v>
      </c>
      <c r="B1692" s="61" t="s">
        <v>1352</v>
      </c>
    </row>
    <row r="1693" customFormat="false" ht="15" hidden="false" customHeight="false" outlineLevel="0" collapsed="false">
      <c r="A1693" s="49" t="s">
        <v>139</v>
      </c>
      <c r="B1693" s="29" t="s">
        <v>355</v>
      </c>
      <c r="C1693" s="49" t="s">
        <v>303</v>
      </c>
      <c r="D1693" s="50" t="n">
        <v>7.08</v>
      </c>
      <c r="E1693" s="51" t="n">
        <f aca="false">'Analisa Harga Satuan'!$F$272</f>
        <v>1747048</v>
      </c>
      <c r="F1693" s="52" t="n">
        <f aca="false">ROUND(D1693*E1693,0)</f>
        <v>12369100</v>
      </c>
      <c r="G1693" s="49" t="s">
        <v>351</v>
      </c>
      <c r="H1693" s="53" t="s">
        <v>305</v>
      </c>
    </row>
    <row r="1694" customFormat="false" ht="15" hidden="false" customHeight="false" outlineLevel="0" collapsed="false">
      <c r="A1694" s="49" t="s">
        <v>141</v>
      </c>
      <c r="B1694" s="29" t="s">
        <v>327</v>
      </c>
      <c r="C1694" s="49" t="s">
        <v>328</v>
      </c>
      <c r="D1694" s="50" t="n">
        <v>2074.44</v>
      </c>
      <c r="E1694" s="51" t="n">
        <f aca="false">'Analisa Harga Satuan'!$F$310</f>
        <v>23191</v>
      </c>
      <c r="F1694" s="52" t="n">
        <f aca="false">ROUND(D1694*E1694,0)</f>
        <v>48108338</v>
      </c>
      <c r="G1694" s="49" t="s">
        <v>329</v>
      </c>
      <c r="H1694" s="53" t="s">
        <v>305</v>
      </c>
    </row>
    <row r="1695" customFormat="false" ht="15" hidden="false" customHeight="false" outlineLevel="0" collapsed="false">
      <c r="A1695" s="49" t="s">
        <v>143</v>
      </c>
      <c r="B1695" s="29" t="s">
        <v>330</v>
      </c>
      <c r="C1695" s="49" t="s">
        <v>331</v>
      </c>
      <c r="D1695" s="50" t="n">
        <v>56.64</v>
      </c>
      <c r="E1695" s="51" t="n">
        <f aca="false">'Analisa Harga Satuan'!$F$330</f>
        <v>398959</v>
      </c>
      <c r="F1695" s="52" t="n">
        <f aca="false">ROUND(D1695*E1695,0)</f>
        <v>22597038</v>
      </c>
      <c r="G1695" s="49" t="s">
        <v>332</v>
      </c>
      <c r="H1695" s="53" t="s">
        <v>305</v>
      </c>
    </row>
    <row r="1696" customFormat="false" ht="15" hidden="false" customHeight="false" outlineLevel="0" collapsed="false">
      <c r="A1696" s="60" t="s">
        <v>127</v>
      </c>
      <c r="B1696" s="61" t="s">
        <v>1353</v>
      </c>
    </row>
    <row r="1697" customFormat="false" ht="15" hidden="false" customHeight="false" outlineLevel="0" collapsed="false">
      <c r="A1697" s="49" t="s">
        <v>139</v>
      </c>
      <c r="B1697" s="29" t="s">
        <v>355</v>
      </c>
      <c r="C1697" s="49" t="s">
        <v>303</v>
      </c>
      <c r="D1697" s="50" t="n">
        <v>3.82</v>
      </c>
      <c r="E1697" s="51" t="n">
        <f aca="false">'Analisa Harga Satuan'!$F$272</f>
        <v>1747048</v>
      </c>
      <c r="F1697" s="52" t="n">
        <f aca="false">ROUND(D1697*E1697,0)</f>
        <v>6673723</v>
      </c>
      <c r="G1697" s="49" t="s">
        <v>351</v>
      </c>
      <c r="H1697" s="53" t="s">
        <v>305</v>
      </c>
    </row>
    <row r="1698" customFormat="false" ht="15" hidden="false" customHeight="false" outlineLevel="0" collapsed="false">
      <c r="A1698" s="49" t="s">
        <v>141</v>
      </c>
      <c r="B1698" s="29" t="s">
        <v>327</v>
      </c>
      <c r="C1698" s="49" t="s">
        <v>328</v>
      </c>
      <c r="D1698" s="50" t="n">
        <v>906.08</v>
      </c>
      <c r="E1698" s="51" t="n">
        <f aca="false">'Analisa Harga Satuan'!$F$310</f>
        <v>23191</v>
      </c>
      <c r="F1698" s="52" t="n">
        <f aca="false">ROUND(D1698*E1698,0)</f>
        <v>21012901</v>
      </c>
      <c r="G1698" s="49" t="s">
        <v>329</v>
      </c>
      <c r="H1698" s="53" t="s">
        <v>305</v>
      </c>
    </row>
    <row r="1699" customFormat="false" ht="15" hidden="false" customHeight="false" outlineLevel="0" collapsed="false">
      <c r="A1699" s="49" t="s">
        <v>143</v>
      </c>
      <c r="B1699" s="29" t="s">
        <v>330</v>
      </c>
      <c r="C1699" s="49" t="s">
        <v>331</v>
      </c>
      <c r="D1699" s="50" t="n">
        <v>38.2</v>
      </c>
      <c r="E1699" s="51" t="n">
        <f aca="false">'Analisa Harga Satuan'!$F$330</f>
        <v>398959</v>
      </c>
      <c r="F1699" s="52" t="n">
        <f aca="false">ROUND(D1699*E1699,0)</f>
        <v>15240234</v>
      </c>
      <c r="G1699" s="49" t="s">
        <v>332</v>
      </c>
      <c r="H1699" s="53" t="s">
        <v>305</v>
      </c>
    </row>
    <row r="1700" customFormat="false" ht="15" hidden="false" customHeight="false" outlineLevel="0" collapsed="false">
      <c r="A1700" s="60" t="s">
        <v>137</v>
      </c>
      <c r="B1700" s="61" t="s">
        <v>1281</v>
      </c>
    </row>
    <row r="1701" customFormat="false" ht="15" hidden="false" customHeight="false" outlineLevel="0" collapsed="false">
      <c r="A1701" s="49" t="s">
        <v>139</v>
      </c>
      <c r="B1701" s="29" t="s">
        <v>361</v>
      </c>
      <c r="C1701" s="49" t="s">
        <v>303</v>
      </c>
      <c r="D1701" s="50" t="n">
        <v>4.64</v>
      </c>
      <c r="E1701" s="51" t="n">
        <f aca="false">'Analisa Harga Satuan'!$F$250</f>
        <v>1605610</v>
      </c>
      <c r="F1701" s="52" t="n">
        <f aca="false">ROUND(D1701*E1701,0)</f>
        <v>7450030</v>
      </c>
      <c r="G1701" s="49" t="s">
        <v>362</v>
      </c>
      <c r="H1701" s="53" t="s">
        <v>305</v>
      </c>
    </row>
    <row r="1702" customFormat="false" ht="15" hidden="false" customHeight="false" outlineLevel="0" collapsed="false">
      <c r="A1702" s="49" t="s">
        <v>141</v>
      </c>
      <c r="B1702" s="29" t="s">
        <v>327</v>
      </c>
      <c r="C1702" s="49" t="s">
        <v>328</v>
      </c>
      <c r="D1702" s="50" t="n">
        <v>217.18</v>
      </c>
      <c r="E1702" s="51" t="n">
        <f aca="false">'Analisa Harga Satuan'!$F$310</f>
        <v>23191</v>
      </c>
      <c r="F1702" s="52" t="n">
        <f aca="false">ROUND(D1702*E1702,0)</f>
        <v>5036621</v>
      </c>
      <c r="G1702" s="49" t="s">
        <v>329</v>
      </c>
      <c r="H1702" s="53" t="s">
        <v>305</v>
      </c>
    </row>
    <row r="1703" customFormat="false" ht="15" hidden="false" customHeight="false" outlineLevel="0" collapsed="false">
      <c r="A1703" s="49" t="s">
        <v>143</v>
      </c>
      <c r="B1703" s="29" t="s">
        <v>330</v>
      </c>
      <c r="C1703" s="49" t="s">
        <v>331</v>
      </c>
      <c r="D1703" s="50" t="n">
        <v>85.07</v>
      </c>
      <c r="E1703" s="51" t="n">
        <f aca="false">'Analisa Harga Satuan'!$F$330</f>
        <v>398959</v>
      </c>
      <c r="F1703" s="52" t="n">
        <f aca="false">ROUND(D1703*E1703,0)</f>
        <v>33939442</v>
      </c>
      <c r="G1703" s="49" t="s">
        <v>332</v>
      </c>
      <c r="H1703" s="53" t="s">
        <v>305</v>
      </c>
    </row>
    <row r="1704" customFormat="false" ht="15" hidden="false" customHeight="false" outlineLevel="0" collapsed="false">
      <c r="A1704" s="60" t="s">
        <v>364</v>
      </c>
      <c r="B1704" s="61" t="s">
        <v>1282</v>
      </c>
    </row>
    <row r="1705" customFormat="false" ht="15" hidden="false" customHeight="false" outlineLevel="0" collapsed="false">
      <c r="A1705" s="49" t="s">
        <v>139</v>
      </c>
      <c r="B1705" s="29" t="s">
        <v>355</v>
      </c>
      <c r="C1705" s="49" t="s">
        <v>303</v>
      </c>
      <c r="D1705" s="50" t="n">
        <v>16.13</v>
      </c>
      <c r="E1705" s="51" t="n">
        <f aca="false">'Analisa Harga Satuan'!$F$272</f>
        <v>1747048</v>
      </c>
      <c r="F1705" s="52" t="n">
        <f aca="false">ROUND(D1705*E1705,0)</f>
        <v>28179884</v>
      </c>
      <c r="G1705" s="49" t="s">
        <v>351</v>
      </c>
      <c r="H1705" s="53" t="s">
        <v>305</v>
      </c>
    </row>
    <row r="1706" customFormat="false" ht="15" hidden="false" customHeight="false" outlineLevel="0" collapsed="false">
      <c r="A1706" s="49" t="s">
        <v>141</v>
      </c>
      <c r="B1706" s="29" t="s">
        <v>327</v>
      </c>
      <c r="C1706" s="49" t="s">
        <v>328</v>
      </c>
      <c r="D1706" s="50" t="n">
        <v>1721.18</v>
      </c>
      <c r="E1706" s="51" t="n">
        <f aca="false">'Analisa Harga Satuan'!$F$310</f>
        <v>23191</v>
      </c>
      <c r="F1706" s="52" t="n">
        <f aca="false">ROUND(D1706*E1706,0)</f>
        <v>39915885</v>
      </c>
      <c r="G1706" s="49" t="s">
        <v>329</v>
      </c>
      <c r="H1706" s="53" t="s">
        <v>305</v>
      </c>
    </row>
    <row r="1707" customFormat="false" ht="15" hidden="false" customHeight="false" outlineLevel="0" collapsed="false">
      <c r="A1707" s="49" t="s">
        <v>143</v>
      </c>
      <c r="B1707" s="29" t="s">
        <v>330</v>
      </c>
      <c r="C1707" s="49" t="s">
        <v>331</v>
      </c>
      <c r="D1707" s="50" t="n">
        <v>134.56</v>
      </c>
      <c r="E1707" s="51" t="n">
        <f aca="false">'Analisa Harga Satuan'!$F$330</f>
        <v>398959</v>
      </c>
      <c r="F1707" s="52" t="n">
        <f aca="false">ROUND(D1707*E1707,0)</f>
        <v>53683923</v>
      </c>
      <c r="G1707" s="49" t="s">
        <v>332</v>
      </c>
      <c r="H1707" s="53" t="s">
        <v>305</v>
      </c>
    </row>
    <row r="1708" customFormat="false" ht="15" hidden="false" customHeight="false" outlineLevel="0" collapsed="false">
      <c r="A1708" s="60" t="s">
        <v>75</v>
      </c>
      <c r="B1708" s="61" t="s">
        <v>365</v>
      </c>
    </row>
    <row r="1709" customFormat="false" ht="25.5" hidden="false" customHeight="true" outlineLevel="0" collapsed="false">
      <c r="A1709" s="49" t="s">
        <v>141</v>
      </c>
      <c r="B1709" s="29" t="s">
        <v>369</v>
      </c>
      <c r="C1709" s="49" t="s">
        <v>367</v>
      </c>
      <c r="D1709" s="50" t="n">
        <v>18.22</v>
      </c>
      <c r="E1709" s="51" t="n">
        <f aca="false">'Analisa Harga Satuan'!$F$366</f>
        <v>238292</v>
      </c>
      <c r="F1709" s="52" t="n">
        <f aca="false">ROUND(D1709*E1709,0)</f>
        <v>4341680</v>
      </c>
      <c r="G1709" s="49" t="s">
        <v>370</v>
      </c>
      <c r="H1709" s="53" t="s">
        <v>305</v>
      </c>
    </row>
    <row r="1710" customFormat="false" ht="15" hidden="false" customHeight="false" outlineLevel="0" collapsed="false">
      <c r="A1710" s="55"/>
      <c r="B1710" s="56" t="s">
        <v>1354</v>
      </c>
      <c r="C1710" s="55"/>
      <c r="D1710" s="55"/>
      <c r="E1710" s="55"/>
      <c r="F1710" s="27" t="n">
        <f aca="false">SUM(F1657:F1709)</f>
        <v>724976032</v>
      </c>
      <c r="G1710" s="55"/>
      <c r="H1710" s="55"/>
    </row>
    <row r="1711" customFormat="false" ht="15" hidden="false" customHeight="false" outlineLevel="0" collapsed="false">
      <c r="A1711" s="46" t="s">
        <v>84</v>
      </c>
      <c r="B1711" s="47" t="s">
        <v>131</v>
      </c>
      <c r="C1711" s="48"/>
      <c r="D1711" s="48"/>
      <c r="E1711" s="48"/>
      <c r="F1711" s="48"/>
      <c r="G1711" s="48"/>
      <c r="H1711" s="48"/>
    </row>
    <row r="1712" customFormat="false" ht="15" hidden="false" customHeight="false" outlineLevel="0" collapsed="false">
      <c r="A1712" s="60" t="s">
        <v>1193</v>
      </c>
      <c r="B1712" s="61" t="s">
        <v>393</v>
      </c>
    </row>
    <row r="1713" customFormat="false" ht="15" hidden="false" customHeight="false" outlineLevel="0" collapsed="false">
      <c r="A1713" s="60" t="s">
        <v>78</v>
      </c>
      <c r="B1713" s="61" t="s">
        <v>394</v>
      </c>
    </row>
    <row r="1714" customFormat="false" ht="15" hidden="false" customHeight="false" outlineLevel="0" collapsed="false">
      <c r="A1714" s="49" t="s">
        <v>139</v>
      </c>
      <c r="B1714" s="29" t="s">
        <v>395</v>
      </c>
      <c r="C1714" s="49" t="s">
        <v>331</v>
      </c>
      <c r="D1714" s="50" t="n">
        <v>83.9</v>
      </c>
      <c r="E1714" s="51" t="n">
        <f aca="false">'Analisa Harga Satuan'!$F$416</f>
        <v>265023</v>
      </c>
      <c r="F1714" s="52" t="n">
        <f aca="false">ROUND(D1714*E1714,0)</f>
        <v>22235430</v>
      </c>
      <c r="G1714" s="49" t="s">
        <v>396</v>
      </c>
      <c r="H1714" s="53" t="s">
        <v>305</v>
      </c>
    </row>
    <row r="1715" customFormat="false" ht="15" hidden="false" customHeight="false" outlineLevel="0" collapsed="false">
      <c r="A1715" s="49" t="s">
        <v>141</v>
      </c>
      <c r="B1715" s="29" t="s">
        <v>397</v>
      </c>
      <c r="C1715" s="49" t="s">
        <v>328</v>
      </c>
      <c r="D1715" s="50" t="n">
        <v>57.8</v>
      </c>
      <c r="E1715" s="51" t="n">
        <f aca="false">'Analisa Harga Satuan'!$F$310</f>
        <v>23191</v>
      </c>
      <c r="F1715" s="52" t="n">
        <f aca="false">ROUND(D1715*E1715,0)</f>
        <v>1340440</v>
      </c>
      <c r="G1715" s="49" t="s">
        <v>329</v>
      </c>
      <c r="H1715" s="53" t="s">
        <v>305</v>
      </c>
    </row>
    <row r="1716" customFormat="false" ht="15" hidden="false" customHeight="false" outlineLevel="0" collapsed="false">
      <c r="A1716" s="49" t="s">
        <v>143</v>
      </c>
      <c r="B1716" s="29" t="s">
        <v>398</v>
      </c>
      <c r="C1716" s="49" t="s">
        <v>331</v>
      </c>
      <c r="D1716" s="50" t="n">
        <v>167.8</v>
      </c>
      <c r="E1716" s="51" t="n">
        <f aca="false">'Analisa Harga Satuan'!$F$432</f>
        <v>103703</v>
      </c>
      <c r="F1716" s="52" t="n">
        <f aca="false">ROUND(D1716*E1716,0)</f>
        <v>17401363</v>
      </c>
      <c r="G1716" s="49" t="s">
        <v>399</v>
      </c>
      <c r="H1716" s="53" t="s">
        <v>305</v>
      </c>
    </row>
    <row r="1717" customFormat="false" ht="15" hidden="false" customHeight="false" outlineLevel="0" collapsed="false">
      <c r="A1717" s="49" t="s">
        <v>145</v>
      </c>
      <c r="B1717" s="29" t="s">
        <v>1020</v>
      </c>
      <c r="C1717" s="49" t="s">
        <v>331</v>
      </c>
      <c r="D1717" s="50" t="n">
        <v>171.84</v>
      </c>
      <c r="E1717" s="51" t="n">
        <f aca="false">'Analisa Harga Satuan'!$F$432</f>
        <v>103703</v>
      </c>
      <c r="F1717" s="52" t="n">
        <f aca="false">ROUND(D1717*E1717,0)</f>
        <v>17820324</v>
      </c>
      <c r="G1717" s="49" t="s">
        <v>399</v>
      </c>
      <c r="H1717" s="53" t="s">
        <v>305</v>
      </c>
    </row>
    <row r="1718" customFormat="false" ht="15" hidden="false" customHeight="false" outlineLevel="0" collapsed="false">
      <c r="A1718" s="49" t="s">
        <v>147</v>
      </c>
      <c r="B1718" s="29" t="s">
        <v>1284</v>
      </c>
      <c r="C1718" s="49" t="s">
        <v>331</v>
      </c>
      <c r="D1718" s="50" t="n">
        <v>8.7</v>
      </c>
      <c r="E1718" s="51" t="n">
        <f aca="false">'Analisa Harga Satuan'!$F$464</f>
        <v>67650</v>
      </c>
      <c r="F1718" s="52" t="n">
        <f aca="false">ROUND(D1718*E1718,0)</f>
        <v>588555</v>
      </c>
      <c r="G1718" s="49" t="s">
        <v>1195</v>
      </c>
      <c r="H1718" s="53" t="s">
        <v>305</v>
      </c>
    </row>
    <row r="1719" customFormat="false" ht="15" hidden="false" customHeight="false" outlineLevel="0" collapsed="false">
      <c r="A1719" s="49" t="s">
        <v>149</v>
      </c>
      <c r="B1719" s="29" t="s">
        <v>402</v>
      </c>
      <c r="C1719" s="49" t="s">
        <v>331</v>
      </c>
      <c r="D1719" s="50" t="n">
        <v>167.8</v>
      </c>
      <c r="E1719" s="51" t="n">
        <f aca="false">'Analisa Harga Satuan'!$F$479</f>
        <v>58982</v>
      </c>
      <c r="F1719" s="52" t="n">
        <f aca="false">ROUND(D1719*E1719,0)</f>
        <v>9897180</v>
      </c>
      <c r="G1719" s="49" t="s">
        <v>403</v>
      </c>
      <c r="H1719" s="53" t="s">
        <v>305</v>
      </c>
    </row>
    <row r="1720" customFormat="false" ht="15" hidden="false" customHeight="false" outlineLevel="0" collapsed="false">
      <c r="A1720" s="49" t="s">
        <v>151</v>
      </c>
      <c r="B1720" s="29" t="s">
        <v>1196</v>
      </c>
      <c r="C1720" s="49" t="s">
        <v>331</v>
      </c>
      <c r="D1720" s="50" t="n">
        <v>171.84</v>
      </c>
      <c r="E1720" s="51" t="n">
        <f aca="false">'Analisa Harga Satuan'!$F$479</f>
        <v>58982</v>
      </c>
      <c r="F1720" s="52" t="n">
        <f aca="false">ROUND(D1720*E1720,0)</f>
        <v>10135467</v>
      </c>
      <c r="G1720" s="49" t="s">
        <v>403</v>
      </c>
      <c r="H1720" s="53" t="s">
        <v>305</v>
      </c>
    </row>
    <row r="1721" customFormat="false" ht="15" hidden="false" customHeight="false" outlineLevel="0" collapsed="false">
      <c r="A1721" s="60" t="s">
        <v>1197</v>
      </c>
      <c r="B1721" s="61" t="s">
        <v>453</v>
      </c>
    </row>
    <row r="1722" customFormat="false" ht="15" hidden="false" customHeight="false" outlineLevel="0" collapsed="false">
      <c r="A1722" s="60" t="s">
        <v>78</v>
      </c>
      <c r="B1722" s="61" t="s">
        <v>394</v>
      </c>
    </row>
    <row r="1723" customFormat="false" ht="15" hidden="false" customHeight="false" outlineLevel="0" collapsed="false">
      <c r="A1723" s="49" t="s">
        <v>139</v>
      </c>
      <c r="B1723" s="29" t="s">
        <v>1285</v>
      </c>
      <c r="C1723" s="49" t="s">
        <v>183</v>
      </c>
      <c r="D1723" s="50" t="n">
        <v>2</v>
      </c>
      <c r="E1723" s="51" t="n">
        <f aca="false">'Analisa Harga Satuan'!$H$1092</f>
        <v>10098000</v>
      </c>
      <c r="F1723" s="52" t="n">
        <f aca="false">ROUND(D1723*E1723,0)</f>
        <v>20196000</v>
      </c>
      <c r="G1723" s="49" t="s">
        <v>1286</v>
      </c>
      <c r="H1723" s="53" t="s">
        <v>189</v>
      </c>
    </row>
    <row r="1724" customFormat="false" ht="15" hidden="false" customHeight="false" outlineLevel="0" collapsed="false">
      <c r="A1724" s="49" t="s">
        <v>141</v>
      </c>
      <c r="B1724" s="29" t="s">
        <v>1355</v>
      </c>
      <c r="C1724" s="49" t="s">
        <v>183</v>
      </c>
      <c r="D1724" s="50" t="n">
        <v>8</v>
      </c>
      <c r="E1724" s="51" t="n">
        <f aca="false">'Analisa Harga Satuan'!$H$1093</f>
        <v>1722600</v>
      </c>
      <c r="F1724" s="52" t="n">
        <f aca="false">ROUND(D1724*E1724,0)</f>
        <v>13780800</v>
      </c>
      <c r="G1724" s="49" t="s">
        <v>1288</v>
      </c>
      <c r="H1724" s="53" t="s">
        <v>189</v>
      </c>
    </row>
    <row r="1725" customFormat="false" ht="15" hidden="false" customHeight="false" outlineLevel="0" collapsed="false">
      <c r="A1725" s="49" t="s">
        <v>143</v>
      </c>
      <c r="B1725" s="29" t="s">
        <v>1356</v>
      </c>
      <c r="C1725" s="49" t="s">
        <v>183</v>
      </c>
      <c r="D1725" s="50" t="n">
        <v>2</v>
      </c>
      <c r="E1725" s="51" t="n">
        <f aca="false">'Analisa Harga Satuan'!$H$1093</f>
        <v>1722600</v>
      </c>
      <c r="F1725" s="52" t="n">
        <f aca="false">ROUND(D1725*E1725,0)</f>
        <v>3445200</v>
      </c>
      <c r="G1725" s="49" t="s">
        <v>1288</v>
      </c>
      <c r="H1725" s="53" t="s">
        <v>189</v>
      </c>
    </row>
    <row r="1726" customFormat="false" ht="15" hidden="false" customHeight="false" outlineLevel="0" collapsed="false">
      <c r="A1726" s="60" t="s">
        <v>1221</v>
      </c>
      <c r="B1726" s="61" t="s">
        <v>500</v>
      </c>
    </row>
    <row r="1727" customFormat="false" ht="15" hidden="false" customHeight="false" outlineLevel="0" collapsed="false">
      <c r="A1727" s="49" t="s">
        <v>139</v>
      </c>
      <c r="B1727" s="29" t="s">
        <v>501</v>
      </c>
      <c r="C1727" s="49" t="s">
        <v>331</v>
      </c>
      <c r="D1727" s="50" t="n">
        <v>255.74</v>
      </c>
      <c r="E1727" s="51" t="n">
        <f aca="false">'Analisa Harga Satuan'!$F$711</f>
        <v>38744</v>
      </c>
      <c r="F1727" s="52" t="n">
        <f aca="false">ROUND(D1727*E1727,0)</f>
        <v>9908391</v>
      </c>
      <c r="G1727" s="49" t="s">
        <v>502</v>
      </c>
      <c r="H1727" s="53" t="s">
        <v>305</v>
      </c>
    </row>
    <row r="1728" customFormat="false" ht="15" hidden="false" customHeight="false" outlineLevel="0" collapsed="false">
      <c r="A1728" s="49" t="s">
        <v>141</v>
      </c>
      <c r="B1728" s="29" t="s">
        <v>503</v>
      </c>
      <c r="C1728" s="49" t="s">
        <v>331</v>
      </c>
      <c r="D1728" s="50" t="n">
        <v>83.9</v>
      </c>
      <c r="E1728" s="51" t="n">
        <f aca="false">'Analisa Harga Satuan'!$F$729</f>
        <v>47896</v>
      </c>
      <c r="F1728" s="52" t="n">
        <f aca="false">ROUND(D1728*E1728,0)</f>
        <v>4018474</v>
      </c>
      <c r="G1728" s="49" t="s">
        <v>504</v>
      </c>
      <c r="H1728" s="53" t="s">
        <v>305</v>
      </c>
    </row>
    <row r="1729" customFormat="false" ht="15" hidden="false" customHeight="false" outlineLevel="0" collapsed="false">
      <c r="A1729" s="49" t="s">
        <v>143</v>
      </c>
      <c r="B1729" s="29" t="s">
        <v>489</v>
      </c>
      <c r="C1729" s="49" t="s">
        <v>331</v>
      </c>
      <c r="D1729" s="50" t="n">
        <v>165</v>
      </c>
      <c r="E1729" s="51" t="n">
        <f aca="false">'Analisa Harga Satuan'!$F$678</f>
        <v>78914</v>
      </c>
      <c r="F1729" s="52" t="n">
        <f aca="false">ROUND(D1729*E1729,0)</f>
        <v>13020810</v>
      </c>
      <c r="G1729" s="49" t="s">
        <v>490</v>
      </c>
      <c r="H1729" s="53" t="s">
        <v>305</v>
      </c>
    </row>
    <row r="1730" customFormat="false" ht="15" hidden="false" customHeight="false" outlineLevel="0" collapsed="false">
      <c r="A1730" s="49" t="s">
        <v>145</v>
      </c>
      <c r="B1730" s="29" t="s">
        <v>491</v>
      </c>
      <c r="C1730" s="49" t="s">
        <v>331</v>
      </c>
      <c r="D1730" s="50" t="n">
        <v>165</v>
      </c>
      <c r="E1730" s="51" t="n">
        <f aca="false">'Analisa Harga Satuan'!$F$693</f>
        <v>187220</v>
      </c>
      <c r="F1730" s="52" t="n">
        <f aca="false">ROUND(D1730*E1730,0)</f>
        <v>30891300</v>
      </c>
      <c r="G1730" s="49" t="s">
        <v>492</v>
      </c>
      <c r="H1730" s="53" t="s">
        <v>305</v>
      </c>
    </row>
    <row r="1731" customFormat="false" ht="15" hidden="false" customHeight="false" outlineLevel="0" collapsed="false">
      <c r="A1731" s="60" t="s">
        <v>1222</v>
      </c>
      <c r="B1731" s="61" t="s">
        <v>1357</v>
      </c>
    </row>
    <row r="1732" customFormat="false" ht="15" hidden="false" customHeight="false" outlineLevel="0" collapsed="false">
      <c r="A1732" s="49" t="s">
        <v>139</v>
      </c>
      <c r="B1732" s="29" t="s">
        <v>1078</v>
      </c>
      <c r="C1732" s="49" t="s">
        <v>331</v>
      </c>
      <c r="D1732" s="50" t="n">
        <v>26.44</v>
      </c>
      <c r="E1732" s="51" t="n">
        <f aca="false">'Analisa Harga Satuan'!$F$383</f>
        <v>247478</v>
      </c>
      <c r="F1732" s="52" t="n">
        <f aca="false">ROUND(D1732*E1732,0)</f>
        <v>6543318</v>
      </c>
      <c r="G1732" s="49" t="s">
        <v>510</v>
      </c>
      <c r="H1732" s="53" t="s">
        <v>305</v>
      </c>
    </row>
    <row r="1733" customFormat="false" ht="25.5" hidden="false" customHeight="true" outlineLevel="0" collapsed="false">
      <c r="A1733" s="49" t="s">
        <v>141</v>
      </c>
      <c r="B1733" s="29" t="s">
        <v>1358</v>
      </c>
      <c r="C1733" s="49" t="s">
        <v>331</v>
      </c>
      <c r="D1733" s="50" t="n">
        <v>50.95</v>
      </c>
      <c r="E1733" s="51" t="n">
        <f aca="false">'Analisa Harga Satuan'!$F$400</f>
        <v>497596</v>
      </c>
      <c r="F1733" s="52" t="n">
        <f aca="false">ROUND(D1733*E1733,0)</f>
        <v>25352516</v>
      </c>
      <c r="G1733" s="49" t="s">
        <v>1359</v>
      </c>
      <c r="H1733" s="53" t="s">
        <v>305</v>
      </c>
    </row>
    <row r="1734" customFormat="false" ht="15" hidden="false" customHeight="false" outlineLevel="0" collapsed="false">
      <c r="A1734" s="49" t="s">
        <v>143</v>
      </c>
      <c r="B1734" s="29" t="s">
        <v>397</v>
      </c>
      <c r="C1734" s="49" t="s">
        <v>328</v>
      </c>
      <c r="D1734" s="50" t="n">
        <v>32.45</v>
      </c>
      <c r="E1734" s="51" t="n">
        <f aca="false">'Analisa Harga Satuan'!$F$310</f>
        <v>23191</v>
      </c>
      <c r="F1734" s="52" t="n">
        <f aca="false">ROUND(D1734*E1734,0)</f>
        <v>752548</v>
      </c>
      <c r="G1734" s="49" t="s">
        <v>329</v>
      </c>
      <c r="H1734" s="53" t="s">
        <v>305</v>
      </c>
    </row>
    <row r="1735" customFormat="false" ht="15" hidden="false" customHeight="false" outlineLevel="0" collapsed="false">
      <c r="A1735" s="49" t="s">
        <v>145</v>
      </c>
      <c r="B1735" s="29" t="s">
        <v>511</v>
      </c>
      <c r="C1735" s="49" t="s">
        <v>331</v>
      </c>
      <c r="D1735" s="50" t="n">
        <v>103.83</v>
      </c>
      <c r="E1735" s="51" t="n">
        <f aca="false">'Analisa Harga Satuan'!$F$432</f>
        <v>103703</v>
      </c>
      <c r="F1735" s="52" t="n">
        <f aca="false">ROUND(D1735*E1735,0)</f>
        <v>10767482</v>
      </c>
      <c r="G1735" s="49" t="s">
        <v>399</v>
      </c>
      <c r="H1735" s="53" t="s">
        <v>305</v>
      </c>
    </row>
    <row r="1736" customFormat="false" ht="15" hidden="false" customHeight="false" outlineLevel="0" collapsed="false">
      <c r="A1736" s="49" t="s">
        <v>147</v>
      </c>
      <c r="B1736" s="29" t="s">
        <v>512</v>
      </c>
      <c r="C1736" s="49" t="s">
        <v>331</v>
      </c>
      <c r="D1736" s="50" t="n">
        <v>103.83</v>
      </c>
      <c r="E1736" s="51" t="n">
        <f aca="false">'Analisa Harga Satuan'!$F$479</f>
        <v>58982</v>
      </c>
      <c r="F1736" s="52" t="n">
        <f aca="false">ROUND(D1736*E1736,0)</f>
        <v>6124101</v>
      </c>
      <c r="G1736" s="49" t="s">
        <v>403</v>
      </c>
      <c r="H1736" s="53" t="s">
        <v>305</v>
      </c>
    </row>
    <row r="1737" customFormat="false" ht="15" hidden="false" customHeight="false" outlineLevel="0" collapsed="false">
      <c r="A1737" s="49" t="s">
        <v>149</v>
      </c>
      <c r="B1737" s="29" t="s">
        <v>513</v>
      </c>
      <c r="C1737" s="49" t="s">
        <v>206</v>
      </c>
      <c r="D1737" s="50" t="n">
        <v>4</v>
      </c>
      <c r="E1737" s="51" t="n">
        <f aca="false">'Analisa Harga Satuan'!$H$867</f>
        <v>1518000</v>
      </c>
      <c r="F1737" s="52" t="n">
        <f aca="false">ROUND(D1737*E1737,0)</f>
        <v>6072000</v>
      </c>
      <c r="G1737" s="49" t="s">
        <v>514</v>
      </c>
      <c r="H1737" s="53" t="s">
        <v>181</v>
      </c>
    </row>
    <row r="1738" customFormat="false" ht="15" hidden="false" customHeight="false" outlineLevel="0" collapsed="false">
      <c r="A1738" s="49" t="s">
        <v>151</v>
      </c>
      <c r="B1738" s="29" t="s">
        <v>310</v>
      </c>
      <c r="C1738" s="49" t="s">
        <v>331</v>
      </c>
      <c r="D1738" s="50" t="n">
        <v>0.96</v>
      </c>
      <c r="E1738" s="51" t="n">
        <f aca="false">'Analisa Harga Satuan'!$F$798</f>
        <v>23568</v>
      </c>
      <c r="F1738" s="52" t="n">
        <f aca="false">ROUND(D1738*E1738,0)</f>
        <v>22625</v>
      </c>
      <c r="G1738" s="49" t="s">
        <v>515</v>
      </c>
      <c r="H1738" s="53" t="s">
        <v>305</v>
      </c>
    </row>
    <row r="1739" customFormat="false" ht="15" hidden="false" customHeight="false" outlineLevel="0" collapsed="false">
      <c r="A1739" s="49" t="s">
        <v>423</v>
      </c>
      <c r="B1739" s="29" t="s">
        <v>1293</v>
      </c>
      <c r="C1739" s="49" t="s">
        <v>331</v>
      </c>
      <c r="D1739" s="50" t="n">
        <v>103.83</v>
      </c>
      <c r="E1739" s="51" t="n">
        <f aca="false">'Analisa Harga Satuan'!$F$729</f>
        <v>47896</v>
      </c>
      <c r="F1739" s="52" t="n">
        <f aca="false">ROUND(D1739*E1739,0)</f>
        <v>4973042</v>
      </c>
      <c r="G1739" s="49" t="s">
        <v>504</v>
      </c>
      <c r="H1739" s="53" t="s">
        <v>305</v>
      </c>
    </row>
    <row r="1740" customFormat="false" ht="15" hidden="false" customHeight="false" outlineLevel="0" collapsed="false">
      <c r="A1740" s="49" t="s">
        <v>208</v>
      </c>
      <c r="B1740" s="29" t="s">
        <v>1226</v>
      </c>
      <c r="C1740" s="49" t="s">
        <v>303</v>
      </c>
      <c r="D1740" s="50" t="n">
        <v>0.96</v>
      </c>
      <c r="E1740" s="51" t="n">
        <f aca="false">'Analisa Harga Satuan'!$F$228</f>
        <v>1386820</v>
      </c>
      <c r="F1740" s="52" t="n">
        <f aca="false">ROUND(D1740*E1740,0)</f>
        <v>1331347</v>
      </c>
      <c r="G1740" s="49" t="s">
        <v>324</v>
      </c>
      <c r="H1740" s="53" t="s">
        <v>305</v>
      </c>
    </row>
    <row r="1741" customFormat="false" ht="15" hidden="false" customHeight="false" outlineLevel="0" collapsed="false">
      <c r="A1741" s="49" t="s">
        <v>217</v>
      </c>
      <c r="B1741" s="29" t="s">
        <v>366</v>
      </c>
      <c r="C1741" s="49" t="s">
        <v>367</v>
      </c>
      <c r="D1741" s="50" t="n">
        <v>20</v>
      </c>
      <c r="E1741" s="51" t="n">
        <f aca="false">'Analisa Harga Satuan'!$F$355</f>
        <v>246954</v>
      </c>
      <c r="F1741" s="52" t="n">
        <f aca="false">ROUND(D1741*E1741,0)</f>
        <v>4939080</v>
      </c>
      <c r="G1741" s="49" t="s">
        <v>368</v>
      </c>
      <c r="H1741" s="53" t="s">
        <v>305</v>
      </c>
    </row>
    <row r="1742" customFormat="false" ht="25.5" hidden="false" customHeight="true" outlineLevel="0" collapsed="false">
      <c r="A1742" s="49" t="s">
        <v>221</v>
      </c>
      <c r="B1742" s="29" t="s">
        <v>369</v>
      </c>
      <c r="C1742" s="49" t="s">
        <v>367</v>
      </c>
      <c r="D1742" s="50" t="n">
        <v>46.22</v>
      </c>
      <c r="E1742" s="51" t="n">
        <f aca="false">'Analisa Harga Satuan'!$F$366</f>
        <v>238292</v>
      </c>
      <c r="F1742" s="52" t="n">
        <f aca="false">ROUND(D1742*E1742,0)</f>
        <v>11013856</v>
      </c>
      <c r="G1742" s="49" t="s">
        <v>370</v>
      </c>
      <c r="H1742" s="53" t="s">
        <v>305</v>
      </c>
    </row>
    <row r="1743" customFormat="false" ht="15" hidden="false" customHeight="false" outlineLevel="0" collapsed="false">
      <c r="A1743" s="60" t="s">
        <v>1229</v>
      </c>
      <c r="B1743" s="61" t="s">
        <v>449</v>
      </c>
    </row>
    <row r="1744" customFormat="false" ht="15" hidden="false" customHeight="false" outlineLevel="0" collapsed="false">
      <c r="A1744" s="49" t="s">
        <v>139</v>
      </c>
      <c r="B1744" s="29" t="s">
        <v>450</v>
      </c>
      <c r="C1744" s="49" t="s">
        <v>331</v>
      </c>
      <c r="D1744" s="50" t="n">
        <v>264.23</v>
      </c>
      <c r="E1744" s="51" t="n">
        <f aca="false">'Analisa Harga Satuan'!$F$616</f>
        <v>226710</v>
      </c>
      <c r="F1744" s="52" t="n">
        <f aca="false">ROUND(D1744*E1744,0)</f>
        <v>59903583</v>
      </c>
      <c r="G1744" s="49" t="s">
        <v>451</v>
      </c>
      <c r="H1744" s="53" t="s">
        <v>305</v>
      </c>
    </row>
    <row r="1745" customFormat="false" ht="15" hidden="false" customHeight="false" outlineLevel="0" collapsed="false">
      <c r="A1745" s="49" t="s">
        <v>141</v>
      </c>
      <c r="B1745" s="29" t="s">
        <v>1043</v>
      </c>
      <c r="C1745" s="49" t="s">
        <v>303</v>
      </c>
      <c r="D1745" s="50" t="n">
        <v>2.43</v>
      </c>
      <c r="E1745" s="51" t="n">
        <f aca="false">'Analisa Harga Satuan'!$F$250</f>
        <v>1605610</v>
      </c>
      <c r="F1745" s="52" t="n">
        <f aca="false">ROUND(D1745*E1745,0)</f>
        <v>3901632</v>
      </c>
      <c r="G1745" s="49" t="s">
        <v>362</v>
      </c>
      <c r="H1745" s="53" t="s">
        <v>305</v>
      </c>
    </row>
    <row r="1746" customFormat="false" ht="15" hidden="false" customHeight="false" outlineLevel="0" collapsed="false">
      <c r="A1746" s="55"/>
      <c r="B1746" s="56" t="s">
        <v>1360</v>
      </c>
      <c r="C1746" s="55"/>
      <c r="D1746" s="55"/>
      <c r="E1746" s="55"/>
      <c r="F1746" s="27" t="n">
        <f aca="false">SUM(F1712:F1745)</f>
        <v>316376864</v>
      </c>
      <c r="G1746" s="55"/>
      <c r="H1746" s="55"/>
    </row>
    <row r="1747" customFormat="false" ht="15" hidden="false" customHeight="false" outlineLevel="0" collapsed="false">
      <c r="A1747" s="46" t="s">
        <v>86</v>
      </c>
      <c r="B1747" s="47" t="s">
        <v>132</v>
      </c>
      <c r="C1747" s="48"/>
      <c r="D1747" s="48"/>
      <c r="E1747" s="48"/>
      <c r="F1747" s="48"/>
      <c r="G1747" s="48"/>
      <c r="H1747" s="48"/>
    </row>
    <row r="1748" customFormat="false" ht="15" hidden="false" customHeight="false" outlineLevel="0" collapsed="false">
      <c r="A1748" s="60" t="s">
        <v>78</v>
      </c>
      <c r="B1748" s="61" t="s">
        <v>518</v>
      </c>
    </row>
    <row r="1749" customFormat="false" ht="15" hidden="false" customHeight="false" outlineLevel="0" collapsed="false">
      <c r="A1749" s="49" t="s">
        <v>139</v>
      </c>
      <c r="B1749" s="29" t="s">
        <v>519</v>
      </c>
      <c r="C1749" s="49" t="s">
        <v>520</v>
      </c>
      <c r="D1749" s="50" t="n">
        <v>2</v>
      </c>
      <c r="E1749" s="51" t="n">
        <f aca="false">'Analisa Harga Satuan'!$H$868</f>
        <v>715000</v>
      </c>
      <c r="F1749" s="52" t="n">
        <f aca="false">ROUND(D1749*E1749,0)</f>
        <v>1430000</v>
      </c>
      <c r="G1749" s="49" t="s">
        <v>521</v>
      </c>
      <c r="H1749" s="53" t="s">
        <v>181</v>
      </c>
    </row>
    <row r="1750" customFormat="false" ht="15" hidden="false" customHeight="false" outlineLevel="0" collapsed="false">
      <c r="A1750" s="60" t="s">
        <v>78</v>
      </c>
      <c r="B1750" s="61" t="s">
        <v>1361</v>
      </c>
    </row>
    <row r="1751" customFormat="false" ht="15" hidden="false" customHeight="false" outlineLevel="0" collapsed="false">
      <c r="B1751" s="54" t="s">
        <v>1362</v>
      </c>
    </row>
    <row r="1752" customFormat="false" ht="15" hidden="false" customHeight="false" outlineLevel="0" collapsed="false">
      <c r="A1752" s="49" t="s">
        <v>139</v>
      </c>
      <c r="B1752" s="29" t="s">
        <v>1363</v>
      </c>
      <c r="C1752" s="49" t="s">
        <v>183</v>
      </c>
      <c r="D1752" s="50" t="n">
        <v>1</v>
      </c>
      <c r="E1752" s="51" t="n">
        <f aca="false">'Analisa Harga Satuan'!$H$1109</f>
        <v>203500000</v>
      </c>
      <c r="F1752" s="52" t="n">
        <f aca="false">ROUND(D1752*E1752,0)</f>
        <v>203500000</v>
      </c>
      <c r="G1752" s="49" t="s">
        <v>1364</v>
      </c>
      <c r="H1752" s="53" t="s">
        <v>189</v>
      </c>
    </row>
    <row r="1753" customFormat="false" ht="25.5" hidden="false" customHeight="true" outlineLevel="0" collapsed="false">
      <c r="B1753" s="54" t="s">
        <v>1365</v>
      </c>
    </row>
    <row r="1754" customFormat="false" ht="25.5" hidden="false" customHeight="true" outlineLevel="0" collapsed="false">
      <c r="B1754" s="54" t="s">
        <v>1366</v>
      </c>
    </row>
    <row r="1755" customFormat="false" ht="15" hidden="false" customHeight="false" outlineLevel="0" collapsed="false">
      <c r="A1755" s="49" t="s">
        <v>141</v>
      </c>
      <c r="B1755" s="29" t="s">
        <v>1367</v>
      </c>
      <c r="C1755" s="49" t="s">
        <v>183</v>
      </c>
      <c r="D1755" s="50" t="n">
        <v>1</v>
      </c>
      <c r="E1755" s="51" t="n">
        <f aca="false">'Analisa Harga Satuan'!$H$1110</f>
        <v>434500000</v>
      </c>
      <c r="F1755" s="52" t="n">
        <f aca="false">ROUND(D1755*E1755,0)</f>
        <v>434500000</v>
      </c>
      <c r="G1755" s="49" t="s">
        <v>1368</v>
      </c>
      <c r="H1755" s="53" t="s">
        <v>189</v>
      </c>
    </row>
    <row r="1756" customFormat="false" ht="15" hidden="false" customHeight="false" outlineLevel="0" collapsed="false">
      <c r="B1756" s="54" t="s">
        <v>1369</v>
      </c>
    </row>
    <row r="1757" customFormat="false" ht="15" hidden="false" customHeight="false" outlineLevel="0" collapsed="false">
      <c r="B1757" s="54" t="s">
        <v>1370</v>
      </c>
    </row>
    <row r="1758" customFormat="false" ht="15" hidden="false" customHeight="false" outlineLevel="0" collapsed="false">
      <c r="B1758" s="54" t="s">
        <v>1371</v>
      </c>
    </row>
    <row r="1759" customFormat="false" ht="15" hidden="false" customHeight="false" outlineLevel="0" collapsed="false">
      <c r="B1759" s="54" t="s">
        <v>1372</v>
      </c>
    </row>
    <row r="1760" customFormat="false" ht="15" hidden="false" customHeight="false" outlineLevel="0" collapsed="false">
      <c r="B1760" s="54" t="s">
        <v>1373</v>
      </c>
    </row>
    <row r="1761" customFormat="false" ht="15" hidden="false" customHeight="false" outlineLevel="0" collapsed="false">
      <c r="B1761" s="54" t="s">
        <v>1374</v>
      </c>
    </row>
    <row r="1762" customFormat="false" ht="15" hidden="false" customHeight="false" outlineLevel="0" collapsed="false">
      <c r="B1762" s="54" t="s">
        <v>1375</v>
      </c>
    </row>
    <row r="1763" customFormat="false" ht="25.5" hidden="false" customHeight="true" outlineLevel="0" collapsed="false">
      <c r="B1763" s="54" t="s">
        <v>1376</v>
      </c>
    </row>
    <row r="1764" customFormat="false" ht="15" hidden="false" customHeight="false" outlineLevel="0" collapsed="false">
      <c r="B1764" s="54" t="s">
        <v>1377</v>
      </c>
    </row>
    <row r="1765" customFormat="false" ht="15" hidden="false" customHeight="false" outlineLevel="0" collapsed="false">
      <c r="B1765" s="54" t="s">
        <v>1378</v>
      </c>
    </row>
    <row r="1766" customFormat="false" ht="25.5" hidden="false" customHeight="true" outlineLevel="0" collapsed="false">
      <c r="B1766" s="54" t="s">
        <v>1379</v>
      </c>
    </row>
    <row r="1767" customFormat="false" ht="39" hidden="false" customHeight="true" outlineLevel="0" collapsed="false">
      <c r="B1767" s="54" t="s">
        <v>1380</v>
      </c>
    </row>
    <row r="1768" customFormat="false" ht="15" hidden="false" customHeight="false" outlineLevel="0" collapsed="false">
      <c r="A1768" s="49" t="s">
        <v>143</v>
      </c>
      <c r="B1768" s="29" t="s">
        <v>1381</v>
      </c>
      <c r="C1768" s="49" t="s">
        <v>183</v>
      </c>
      <c r="D1768" s="50" t="n">
        <v>1</v>
      </c>
      <c r="E1768" s="51" t="n">
        <f aca="false">'Analisa Harga Satuan'!$H$1111</f>
        <v>60500000</v>
      </c>
      <c r="F1768" s="52" t="n">
        <f aca="false">ROUND(D1768*E1768,0)</f>
        <v>60500000</v>
      </c>
      <c r="G1768" s="49" t="s">
        <v>1382</v>
      </c>
      <c r="H1768" s="53" t="s">
        <v>189</v>
      </c>
    </row>
    <row r="1769" customFormat="false" ht="15" hidden="false" customHeight="false" outlineLevel="0" collapsed="false">
      <c r="B1769" s="54" t="s">
        <v>1383</v>
      </c>
    </row>
    <row r="1770" customFormat="false" ht="15" hidden="false" customHeight="false" outlineLevel="0" collapsed="false">
      <c r="B1770" s="54" t="s">
        <v>1384</v>
      </c>
    </row>
    <row r="1771" customFormat="false" ht="15" hidden="false" customHeight="false" outlineLevel="0" collapsed="false">
      <c r="B1771" s="54" t="s">
        <v>1385</v>
      </c>
    </row>
    <row r="1772" customFormat="false" ht="15" hidden="false" customHeight="false" outlineLevel="0" collapsed="false">
      <c r="B1772" s="54" t="s">
        <v>1386</v>
      </c>
    </row>
    <row r="1773" customFormat="false" ht="15" hidden="false" customHeight="false" outlineLevel="0" collapsed="false">
      <c r="B1773" s="54" t="s">
        <v>1387</v>
      </c>
    </row>
    <row r="1774" customFormat="false" ht="15" hidden="false" customHeight="false" outlineLevel="0" collapsed="false">
      <c r="B1774" s="54" t="s">
        <v>1388</v>
      </c>
    </row>
    <row r="1775" customFormat="false" ht="15" hidden="false" customHeight="false" outlineLevel="0" collapsed="false">
      <c r="B1775" s="54" t="s">
        <v>1378</v>
      </c>
    </row>
    <row r="1776" customFormat="false" ht="15" hidden="false" customHeight="false" outlineLevel="0" collapsed="false">
      <c r="B1776" s="54" t="s">
        <v>1389</v>
      </c>
    </row>
    <row r="1777" customFormat="false" ht="15" hidden="false" customHeight="false" outlineLevel="0" collapsed="false">
      <c r="A1777" s="49" t="s">
        <v>145</v>
      </c>
      <c r="B1777" s="29" t="s">
        <v>1390</v>
      </c>
      <c r="C1777" s="49" t="s">
        <v>367</v>
      </c>
      <c r="D1777" s="50" t="n">
        <v>25</v>
      </c>
      <c r="E1777" s="51" t="n">
        <f aca="false">'Analisa Harga Satuan'!$H$1112</f>
        <v>3135000</v>
      </c>
      <c r="F1777" s="52" t="n">
        <f aca="false">ROUND(D1777*E1777,0)</f>
        <v>78375000</v>
      </c>
      <c r="G1777" s="49" t="s">
        <v>1391</v>
      </c>
      <c r="H1777" s="53" t="s">
        <v>181</v>
      </c>
    </row>
    <row r="1778" customFormat="false" ht="15" hidden="false" customHeight="false" outlineLevel="0" collapsed="false">
      <c r="A1778" s="49" t="s">
        <v>147</v>
      </c>
      <c r="B1778" s="29" t="s">
        <v>1392</v>
      </c>
      <c r="C1778" s="49" t="s">
        <v>367</v>
      </c>
      <c r="D1778" s="50" t="n">
        <v>30</v>
      </c>
      <c r="E1778" s="51" t="n">
        <f aca="false">'Analisa Harga Satuan'!$H$1113</f>
        <v>2145000</v>
      </c>
      <c r="F1778" s="52" t="n">
        <f aca="false">ROUND(D1778*E1778,0)</f>
        <v>64350000</v>
      </c>
      <c r="G1778" s="49" t="s">
        <v>1393</v>
      </c>
      <c r="H1778" s="53" t="s">
        <v>181</v>
      </c>
    </row>
    <row r="1779" customFormat="false" ht="15" hidden="false" customHeight="false" outlineLevel="0" collapsed="false">
      <c r="A1779" s="49" t="s">
        <v>149</v>
      </c>
      <c r="B1779" s="29" t="s">
        <v>1394</v>
      </c>
      <c r="C1779" s="49" t="s">
        <v>367</v>
      </c>
      <c r="D1779" s="50" t="n">
        <v>10</v>
      </c>
      <c r="E1779" s="51" t="n">
        <f aca="false">'Analisa Harga Satuan'!$H$1114</f>
        <v>1815000</v>
      </c>
      <c r="F1779" s="52" t="n">
        <f aca="false">ROUND(D1779*E1779,0)</f>
        <v>18150000</v>
      </c>
      <c r="G1779" s="49" t="s">
        <v>1395</v>
      </c>
      <c r="H1779" s="53" t="s">
        <v>181</v>
      </c>
    </row>
    <row r="1780" customFormat="false" ht="15" hidden="false" customHeight="false" outlineLevel="0" collapsed="false">
      <c r="A1780" s="55"/>
      <c r="B1780" s="56" t="s">
        <v>1396</v>
      </c>
      <c r="C1780" s="55"/>
      <c r="D1780" s="55"/>
      <c r="E1780" s="55"/>
      <c r="F1780" s="27" t="n">
        <f aca="false">SUM(F1748:F1779)</f>
        <v>860805000</v>
      </c>
      <c r="G1780" s="55"/>
      <c r="H1780" s="55"/>
    </row>
    <row r="1781" customFormat="false" ht="15" hidden="false" customHeight="false" outlineLevel="0" collapsed="false">
      <c r="A1781" s="46" t="s">
        <v>88</v>
      </c>
      <c r="B1781" s="47" t="s">
        <v>133</v>
      </c>
      <c r="C1781" s="48"/>
      <c r="D1781" s="48"/>
      <c r="E1781" s="48"/>
      <c r="F1781" s="48"/>
      <c r="G1781" s="48"/>
      <c r="H1781" s="48"/>
    </row>
    <row r="1782" customFormat="false" ht="15" hidden="false" customHeight="false" outlineLevel="0" collapsed="false">
      <c r="A1782" s="60" t="s">
        <v>78</v>
      </c>
      <c r="B1782" s="61" t="s">
        <v>1397</v>
      </c>
    </row>
    <row r="1783" customFormat="false" ht="15" hidden="false" customHeight="false" outlineLevel="0" collapsed="false">
      <c r="B1783" s="54" t="s">
        <v>1398</v>
      </c>
    </row>
    <row r="1784" customFormat="false" ht="15" hidden="false" customHeight="false" outlineLevel="0" collapsed="false">
      <c r="A1784" s="49" t="s">
        <v>139</v>
      </c>
      <c r="B1784" s="29" t="s">
        <v>1399</v>
      </c>
      <c r="C1784" s="49" t="s">
        <v>183</v>
      </c>
      <c r="D1784" s="50" t="n">
        <v>1</v>
      </c>
      <c r="E1784" s="51" t="n">
        <f aca="false">'Analisa Harga Satuan'!$H$1115</f>
        <v>137500000</v>
      </c>
      <c r="F1784" s="52" t="n">
        <f aca="false">ROUND(D1784*E1784,0)</f>
        <v>137500000</v>
      </c>
      <c r="G1784" s="49" t="s">
        <v>1400</v>
      </c>
      <c r="H1784" s="53" t="s">
        <v>189</v>
      </c>
    </row>
    <row r="1785" customFormat="false" ht="15" hidden="false" customHeight="false" outlineLevel="0" collapsed="false">
      <c r="B1785" s="54" t="s">
        <v>1401</v>
      </c>
    </row>
    <row r="1786" customFormat="false" ht="15" hidden="false" customHeight="false" outlineLevel="0" collapsed="false">
      <c r="B1786" s="54" t="s">
        <v>1402</v>
      </c>
    </row>
    <row r="1787" customFormat="false" ht="15" hidden="false" customHeight="false" outlineLevel="0" collapsed="false">
      <c r="B1787" s="54" t="s">
        <v>1403</v>
      </c>
    </row>
    <row r="1788" customFormat="false" ht="15" hidden="false" customHeight="false" outlineLevel="0" collapsed="false">
      <c r="B1788" s="54" t="s">
        <v>1404</v>
      </c>
    </row>
    <row r="1789" customFormat="false" ht="15" hidden="false" customHeight="false" outlineLevel="0" collapsed="false">
      <c r="B1789" s="54" t="s">
        <v>1405</v>
      </c>
    </row>
    <row r="1790" customFormat="false" ht="15" hidden="false" customHeight="false" outlineLevel="0" collapsed="false">
      <c r="B1790" s="54" t="s">
        <v>1406</v>
      </c>
    </row>
    <row r="1791" customFormat="false" ht="15" hidden="false" customHeight="false" outlineLevel="0" collapsed="false">
      <c r="B1791" s="54" t="s">
        <v>1407</v>
      </c>
    </row>
    <row r="1792" customFormat="false" ht="15" hidden="false" customHeight="false" outlineLevel="0" collapsed="false">
      <c r="B1792" s="54" t="s">
        <v>1408</v>
      </c>
    </row>
    <row r="1793" customFormat="false" ht="15" hidden="false" customHeight="false" outlineLevel="0" collapsed="false">
      <c r="B1793" s="54" t="s">
        <v>1409</v>
      </c>
    </row>
    <row r="1794" customFormat="false" ht="15" hidden="false" customHeight="false" outlineLevel="0" collapsed="false">
      <c r="B1794" s="54" t="s">
        <v>1410</v>
      </c>
    </row>
    <row r="1795" customFormat="false" ht="15" hidden="false" customHeight="false" outlineLevel="0" collapsed="false">
      <c r="B1795" s="54" t="s">
        <v>1411</v>
      </c>
    </row>
    <row r="1796" customFormat="false" ht="15" hidden="false" customHeight="false" outlineLevel="0" collapsed="false">
      <c r="B1796" s="54" t="s">
        <v>1412</v>
      </c>
    </row>
    <row r="1797" customFormat="false" ht="15" hidden="false" customHeight="false" outlineLevel="0" collapsed="false">
      <c r="B1797" s="54" t="s">
        <v>1413</v>
      </c>
    </row>
    <row r="1798" customFormat="false" ht="15" hidden="false" customHeight="false" outlineLevel="0" collapsed="false">
      <c r="B1798" s="54" t="s">
        <v>1414</v>
      </c>
    </row>
    <row r="1799" customFormat="false" ht="15" hidden="false" customHeight="false" outlineLevel="0" collapsed="false">
      <c r="B1799" s="54" t="s">
        <v>1415</v>
      </c>
    </row>
    <row r="1800" customFormat="false" ht="15" hidden="false" customHeight="false" outlineLevel="0" collapsed="false">
      <c r="B1800" s="54" t="s">
        <v>1416</v>
      </c>
    </row>
    <row r="1801" customFormat="false" ht="15" hidden="false" customHeight="false" outlineLevel="0" collapsed="false">
      <c r="B1801" s="54" t="s">
        <v>1417</v>
      </c>
    </row>
    <row r="1802" customFormat="false" ht="15" hidden="false" customHeight="false" outlineLevel="0" collapsed="false">
      <c r="B1802" s="54" t="s">
        <v>1418</v>
      </c>
    </row>
    <row r="1803" customFormat="false" ht="15" hidden="false" customHeight="false" outlineLevel="0" collapsed="false">
      <c r="B1803" s="54" t="s">
        <v>1419</v>
      </c>
    </row>
    <row r="1804" customFormat="false" ht="15" hidden="false" customHeight="false" outlineLevel="0" collapsed="false">
      <c r="A1804" s="49" t="s">
        <v>141</v>
      </c>
      <c r="B1804" s="29" t="s">
        <v>1392</v>
      </c>
      <c r="C1804" s="49" t="s">
        <v>367</v>
      </c>
      <c r="D1804" s="50" t="n">
        <v>30</v>
      </c>
      <c r="E1804" s="51" t="n">
        <f aca="false">'Analisa Harga Satuan'!$H$1113</f>
        <v>2145000</v>
      </c>
      <c r="F1804" s="52" t="n">
        <f aca="false">ROUND(D1804*E1804,0)</f>
        <v>64350000</v>
      </c>
      <c r="G1804" s="49" t="s">
        <v>1393</v>
      </c>
      <c r="H1804" s="53" t="s">
        <v>181</v>
      </c>
    </row>
    <row r="1805" customFormat="false" ht="15" hidden="false" customHeight="false" outlineLevel="0" collapsed="false">
      <c r="A1805" s="49" t="s">
        <v>143</v>
      </c>
      <c r="B1805" s="29" t="s">
        <v>1420</v>
      </c>
      <c r="C1805" s="49" t="s">
        <v>367</v>
      </c>
      <c r="D1805" s="50" t="n">
        <v>10</v>
      </c>
      <c r="E1805" s="51" t="n">
        <f aca="false">'Analisa Harga Satuan'!$H$1116</f>
        <v>1045000</v>
      </c>
      <c r="F1805" s="52" t="n">
        <f aca="false">ROUND(D1805*E1805,0)</f>
        <v>10450000</v>
      </c>
      <c r="G1805" s="49" t="s">
        <v>1421</v>
      </c>
      <c r="H1805" s="53" t="s">
        <v>181</v>
      </c>
    </row>
    <row r="1806" customFormat="false" ht="15" hidden="false" customHeight="false" outlineLevel="0" collapsed="false">
      <c r="A1806" s="49" t="s">
        <v>145</v>
      </c>
      <c r="B1806" s="29" t="s">
        <v>1422</v>
      </c>
      <c r="C1806" s="49" t="s">
        <v>206</v>
      </c>
      <c r="D1806" s="50" t="n">
        <v>4</v>
      </c>
      <c r="E1806" s="51" t="n">
        <f aca="false">'Analisa Harga Satuan'!$H$1117</f>
        <v>9350000</v>
      </c>
      <c r="F1806" s="52" t="n">
        <f aca="false">ROUND(D1806*E1806,0)</f>
        <v>37400000</v>
      </c>
      <c r="G1806" s="49" t="s">
        <v>1423</v>
      </c>
      <c r="H1806" s="53" t="s">
        <v>181</v>
      </c>
    </row>
    <row r="1807" customFormat="false" ht="15" hidden="false" customHeight="false" outlineLevel="0" collapsed="false">
      <c r="A1807" s="60" t="s">
        <v>93</v>
      </c>
      <c r="B1807" s="61" t="s">
        <v>1424</v>
      </c>
    </row>
    <row r="1808" customFormat="false" ht="15" hidden="false" customHeight="false" outlineLevel="0" collapsed="false">
      <c r="A1808" s="49" t="s">
        <v>139</v>
      </c>
      <c r="B1808" s="29" t="s">
        <v>748</v>
      </c>
      <c r="C1808" s="49" t="s">
        <v>367</v>
      </c>
      <c r="D1808" s="50" t="n">
        <v>26.32</v>
      </c>
      <c r="E1808" s="51" t="n">
        <f aca="false">'Analisa Harga Satuan'!$H$954</f>
        <v>181500</v>
      </c>
      <c r="F1808" s="52" t="n">
        <f aca="false">ROUND(D1808*E1808,0)</f>
        <v>4777080</v>
      </c>
      <c r="G1808" s="49" t="s">
        <v>749</v>
      </c>
      <c r="H1808" s="53" t="s">
        <v>181</v>
      </c>
    </row>
    <row r="1809" customFormat="false" ht="15" hidden="false" customHeight="false" outlineLevel="0" collapsed="false">
      <c r="A1809" s="49" t="s">
        <v>141</v>
      </c>
      <c r="B1809" s="29" t="s">
        <v>781</v>
      </c>
      <c r="C1809" s="49" t="s">
        <v>206</v>
      </c>
      <c r="D1809" s="50" t="n">
        <v>4</v>
      </c>
      <c r="E1809" s="51" t="n">
        <f aca="false">'Analisa Harga Satuan'!$H$965</f>
        <v>533500</v>
      </c>
      <c r="F1809" s="52" t="n">
        <f aca="false">ROUND(D1809*E1809,0)</f>
        <v>2134000</v>
      </c>
      <c r="G1809" s="49" t="s">
        <v>782</v>
      </c>
      <c r="H1809" s="53" t="s">
        <v>181</v>
      </c>
    </row>
    <row r="1810" customFormat="false" ht="15" hidden="false" customHeight="false" outlineLevel="0" collapsed="false">
      <c r="A1810" s="49" t="s">
        <v>143</v>
      </c>
      <c r="B1810" s="29" t="s">
        <v>783</v>
      </c>
      <c r="C1810" s="49" t="s">
        <v>784</v>
      </c>
      <c r="D1810" s="50" t="n">
        <v>4</v>
      </c>
      <c r="E1810" s="51" t="n">
        <f aca="false">'Analisa Harga Satuan'!$H$966</f>
        <v>137500</v>
      </c>
      <c r="F1810" s="52" t="n">
        <f aca="false">ROUND(D1810*E1810,0)</f>
        <v>550000</v>
      </c>
      <c r="G1810" s="49" t="s">
        <v>785</v>
      </c>
      <c r="H1810" s="53" t="s">
        <v>181</v>
      </c>
    </row>
    <row r="1811" customFormat="false" ht="15" hidden="false" customHeight="false" outlineLevel="0" collapsed="false">
      <c r="A1811" s="55"/>
      <c r="B1811" s="56" t="s">
        <v>1425</v>
      </c>
      <c r="C1811" s="55"/>
      <c r="D1811" s="55"/>
      <c r="E1811" s="55"/>
      <c r="F1811" s="27" t="n">
        <f aca="false">SUM(F1782:F1810)</f>
        <v>257161080</v>
      </c>
      <c r="G1811" s="55"/>
      <c r="H1811" s="55"/>
    </row>
    <row r="1812" customFormat="false" ht="15" hidden="false" customHeight="false" outlineLevel="0" collapsed="false">
      <c r="A1812" s="46" t="s">
        <v>90</v>
      </c>
      <c r="B1812" s="47" t="s">
        <v>134</v>
      </c>
      <c r="C1812" s="48"/>
      <c r="D1812" s="48"/>
      <c r="E1812" s="48"/>
      <c r="F1812" s="48"/>
      <c r="G1812" s="48"/>
      <c r="H1812" s="48"/>
    </row>
    <row r="1813" customFormat="false" ht="15" hidden="false" customHeight="false" outlineLevel="0" collapsed="false">
      <c r="A1813" s="60" t="s">
        <v>845</v>
      </c>
      <c r="B1813" s="61" t="s">
        <v>1426</v>
      </c>
    </row>
    <row r="1814" customFormat="false" ht="15" hidden="false" customHeight="false" outlineLevel="0" collapsed="false">
      <c r="A1814" s="60" t="s">
        <v>93</v>
      </c>
      <c r="B1814" s="61" t="s">
        <v>789</v>
      </c>
    </row>
    <row r="1815" customFormat="false" ht="15" hidden="false" customHeight="false" outlineLevel="0" collapsed="false">
      <c r="A1815" s="49" t="s">
        <v>139</v>
      </c>
      <c r="B1815" s="29" t="s">
        <v>1427</v>
      </c>
      <c r="C1815" s="49" t="s">
        <v>183</v>
      </c>
      <c r="D1815" s="50" t="n">
        <v>1</v>
      </c>
      <c r="E1815" s="51" t="n">
        <f aca="false">'Analisa Harga Satuan'!$H$1118</f>
        <v>11550000</v>
      </c>
      <c r="F1815" s="52" t="n">
        <f aca="false">ROUND(D1815*E1815,0)</f>
        <v>11550000</v>
      </c>
      <c r="G1815" s="49" t="s">
        <v>1428</v>
      </c>
      <c r="H1815" s="53" t="s">
        <v>189</v>
      </c>
    </row>
    <row r="1816" customFormat="false" ht="15" hidden="false" customHeight="false" outlineLevel="0" collapsed="false">
      <c r="A1816" s="60" t="s">
        <v>819</v>
      </c>
      <c r="B1816" s="61" t="s">
        <v>820</v>
      </c>
    </row>
    <row r="1817" customFormat="false" ht="15" hidden="false" customHeight="false" outlineLevel="0" collapsed="false">
      <c r="A1817" s="60" t="s">
        <v>78</v>
      </c>
      <c r="B1817" s="61" t="s">
        <v>821</v>
      </c>
    </row>
    <row r="1818" customFormat="false" ht="15" hidden="false" customHeight="false" outlineLevel="0" collapsed="false">
      <c r="A1818" s="49" t="s">
        <v>139</v>
      </c>
      <c r="B1818" s="29" t="s">
        <v>1337</v>
      </c>
      <c r="C1818" s="49" t="s">
        <v>206</v>
      </c>
      <c r="D1818" s="50" t="n">
        <v>5</v>
      </c>
      <c r="E1818" s="51" t="n">
        <f aca="false">'Analisa Harga Satuan'!$H$1106</f>
        <v>360525</v>
      </c>
      <c r="F1818" s="52" t="n">
        <f aca="false">ROUND(D1818*E1818,0)</f>
        <v>1802625</v>
      </c>
      <c r="G1818" s="49" t="s">
        <v>1338</v>
      </c>
      <c r="H1818" s="53" t="s">
        <v>181</v>
      </c>
    </row>
    <row r="1819" customFormat="false" ht="15" hidden="false" customHeight="false" outlineLevel="0" collapsed="false">
      <c r="A1819" s="49" t="s">
        <v>141</v>
      </c>
      <c r="B1819" s="29" t="s">
        <v>1339</v>
      </c>
      <c r="C1819" s="49" t="s">
        <v>206</v>
      </c>
      <c r="D1819" s="50" t="n">
        <v>10</v>
      </c>
      <c r="E1819" s="51" t="n">
        <f aca="false">'Analisa Harga Satuan'!$H$1107</f>
        <v>221375</v>
      </c>
      <c r="F1819" s="52" t="n">
        <f aca="false">ROUND(D1819*E1819,0)</f>
        <v>2213750</v>
      </c>
      <c r="G1819" s="49" t="s">
        <v>1340</v>
      </c>
      <c r="H1819" s="53" t="s">
        <v>181</v>
      </c>
    </row>
    <row r="1820" customFormat="false" ht="15" hidden="false" customHeight="false" outlineLevel="0" collapsed="false">
      <c r="A1820" s="49" t="s">
        <v>143</v>
      </c>
      <c r="B1820" s="29" t="s">
        <v>832</v>
      </c>
      <c r="C1820" s="49" t="s">
        <v>206</v>
      </c>
      <c r="D1820" s="50" t="n">
        <v>1</v>
      </c>
      <c r="E1820" s="51" t="n">
        <f aca="false">'Analisa Harga Satuan'!$H$982</f>
        <v>99000</v>
      </c>
      <c r="F1820" s="52" t="n">
        <f aca="false">ROUND(D1820*E1820,0)</f>
        <v>99000</v>
      </c>
      <c r="G1820" s="49" t="s">
        <v>833</v>
      </c>
      <c r="H1820" s="53" t="s">
        <v>181</v>
      </c>
    </row>
    <row r="1821" customFormat="false" ht="15" hidden="false" customHeight="false" outlineLevel="0" collapsed="false">
      <c r="A1821" s="49" t="s">
        <v>145</v>
      </c>
      <c r="B1821" s="29" t="s">
        <v>834</v>
      </c>
      <c r="C1821" s="49" t="s">
        <v>206</v>
      </c>
      <c r="D1821" s="50" t="n">
        <v>2</v>
      </c>
      <c r="E1821" s="51" t="n">
        <f aca="false">'Analisa Harga Satuan'!$H$983</f>
        <v>81840</v>
      </c>
      <c r="F1821" s="52" t="n">
        <f aca="false">ROUND(D1821*E1821,0)</f>
        <v>163680</v>
      </c>
      <c r="G1821" s="49" t="s">
        <v>835</v>
      </c>
      <c r="H1821" s="53" t="s">
        <v>181</v>
      </c>
    </row>
    <row r="1822" customFormat="false" ht="15" hidden="false" customHeight="false" outlineLevel="0" collapsed="false">
      <c r="A1822" s="49" t="s">
        <v>147</v>
      </c>
      <c r="B1822" s="29" t="s">
        <v>838</v>
      </c>
      <c r="C1822" s="49" t="s">
        <v>784</v>
      </c>
      <c r="D1822" s="50" t="n">
        <v>15</v>
      </c>
      <c r="E1822" s="51" t="n">
        <f aca="false">'Analisa Harga Satuan'!$H$985</f>
        <v>236500</v>
      </c>
      <c r="F1822" s="52" t="n">
        <f aca="false">ROUND(D1822*E1822,0)</f>
        <v>3547500</v>
      </c>
      <c r="G1822" s="49" t="s">
        <v>839</v>
      </c>
      <c r="H1822" s="53" t="s">
        <v>181</v>
      </c>
    </row>
    <row r="1823" customFormat="false" ht="15" hidden="false" customHeight="false" outlineLevel="0" collapsed="false">
      <c r="A1823" s="49" t="s">
        <v>149</v>
      </c>
      <c r="B1823" s="29" t="s">
        <v>840</v>
      </c>
      <c r="C1823" s="49" t="s">
        <v>784</v>
      </c>
      <c r="D1823" s="50" t="n">
        <v>2</v>
      </c>
      <c r="E1823" s="51" t="n">
        <f aca="false">'Analisa Harga Satuan'!$H$986</f>
        <v>258500</v>
      </c>
      <c r="F1823" s="52" t="n">
        <f aca="false">ROUND(D1823*E1823,0)</f>
        <v>517000</v>
      </c>
      <c r="G1823" s="49" t="s">
        <v>841</v>
      </c>
      <c r="H1823" s="53" t="s">
        <v>181</v>
      </c>
    </row>
    <row r="1824" customFormat="false" ht="15" hidden="false" customHeight="false" outlineLevel="0" collapsed="false">
      <c r="A1824" s="49" t="s">
        <v>151</v>
      </c>
      <c r="B1824" s="29" t="s">
        <v>1341</v>
      </c>
      <c r="C1824" s="49" t="s">
        <v>784</v>
      </c>
      <c r="D1824" s="50" t="n">
        <v>4</v>
      </c>
      <c r="E1824" s="51" t="n">
        <f aca="false">'Analisa Harga Satuan'!$H$1108</f>
        <v>613525</v>
      </c>
      <c r="F1824" s="52" t="n">
        <f aca="false">ROUND(D1824*E1824,0)</f>
        <v>2454100</v>
      </c>
      <c r="G1824" s="49" t="s">
        <v>1342</v>
      </c>
      <c r="H1824" s="53" t="s">
        <v>181</v>
      </c>
    </row>
    <row r="1825" customFormat="false" ht="15" hidden="false" customHeight="false" outlineLevel="0" collapsed="false">
      <c r="A1825" s="49" t="s">
        <v>423</v>
      </c>
      <c r="B1825" s="29" t="s">
        <v>729</v>
      </c>
      <c r="C1825" s="49" t="s">
        <v>179</v>
      </c>
      <c r="D1825" s="50" t="n">
        <v>1</v>
      </c>
      <c r="E1825" s="51" t="n">
        <f aca="false">'Analisa Harga Satuan'!$H$948</f>
        <v>1650000</v>
      </c>
      <c r="F1825" s="52" t="n">
        <f aca="false">ROUND(D1825*E1825,0)</f>
        <v>1650000</v>
      </c>
      <c r="G1825" s="49" t="s">
        <v>730</v>
      </c>
      <c r="H1825" s="53" t="s">
        <v>181</v>
      </c>
    </row>
    <row r="1826" customFormat="false" ht="15" hidden="false" customHeight="false" outlineLevel="0" collapsed="false">
      <c r="A1826" s="55"/>
      <c r="B1826" s="56" t="s">
        <v>1429</v>
      </c>
      <c r="C1826" s="55"/>
      <c r="D1826" s="55"/>
      <c r="E1826" s="55"/>
      <c r="F1826" s="27" t="n">
        <f aca="false">SUM(F1813:F1825)</f>
        <v>23997655</v>
      </c>
      <c r="G1826" s="55"/>
      <c r="H1826" s="55"/>
    </row>
    <row r="1827" customFormat="false" ht="15" hidden="false" customHeight="false" outlineLevel="0" collapsed="false">
      <c r="A1827" s="57"/>
      <c r="B1827" s="58" t="s">
        <v>135</v>
      </c>
      <c r="C1827" s="57"/>
      <c r="D1827" s="57"/>
      <c r="E1827" s="57"/>
      <c r="F1827" s="34" t="n">
        <f aca="false">F1655+F1710+F1746+F1780+F1811+F1826</f>
        <v>2295993731</v>
      </c>
      <c r="G1827" s="57"/>
      <c r="H1827" s="57"/>
    </row>
    <row r="1829" customFormat="false" ht="15" hidden="false" customHeight="false" outlineLevel="0" collapsed="false">
      <c r="A1829" s="59" t="s">
        <v>137</v>
      </c>
      <c r="B1829" s="24" t="s">
        <v>1430</v>
      </c>
      <c r="C1829" s="23"/>
      <c r="D1829" s="23"/>
      <c r="E1829" s="23"/>
      <c r="F1829" s="23"/>
      <c r="G1829" s="23"/>
      <c r="H1829" s="23"/>
    </row>
    <row r="1830" customFormat="false" ht="15" hidden="false" customHeight="false" outlineLevel="0" collapsed="false">
      <c r="A1830" s="46" t="s">
        <v>75</v>
      </c>
      <c r="B1830" s="47" t="s">
        <v>140</v>
      </c>
      <c r="C1830" s="48"/>
      <c r="D1830" s="48"/>
      <c r="E1830" s="48"/>
      <c r="F1830" s="48"/>
      <c r="G1830" s="48"/>
      <c r="H1830" s="48"/>
    </row>
    <row r="1831" customFormat="false" ht="15" hidden="false" customHeight="false" outlineLevel="0" collapsed="false">
      <c r="A1831" s="60" t="s">
        <v>78</v>
      </c>
      <c r="B1831" s="61" t="s">
        <v>1431</v>
      </c>
    </row>
    <row r="1832" customFormat="false" ht="15" hidden="false" customHeight="false" outlineLevel="0" collapsed="false">
      <c r="A1832" s="49" t="s">
        <v>139</v>
      </c>
      <c r="B1832" s="29" t="s">
        <v>1432</v>
      </c>
      <c r="C1832" s="49" t="s">
        <v>303</v>
      </c>
      <c r="D1832" s="50" t="n">
        <v>71714.38</v>
      </c>
      <c r="E1832" s="51" t="n">
        <f aca="false">'Analisa Harga Satuan'!$F$117</f>
        <v>66715</v>
      </c>
      <c r="F1832" s="52" t="n">
        <f aca="false">ROUND(D1832*E1832,0)</f>
        <v>4784424862</v>
      </c>
      <c r="G1832" s="49" t="s">
        <v>1433</v>
      </c>
      <c r="H1832" s="53" t="s">
        <v>305</v>
      </c>
    </row>
    <row r="1833" customFormat="false" ht="15" hidden="false" customHeight="false" outlineLevel="0" collapsed="false">
      <c r="A1833" s="55"/>
      <c r="B1833" s="56" t="s">
        <v>1434</v>
      </c>
      <c r="C1833" s="55"/>
      <c r="D1833" s="55"/>
      <c r="E1833" s="55"/>
      <c r="F1833" s="27" t="n">
        <f aca="false">SUM(F1831:F1832)</f>
        <v>4784424862</v>
      </c>
      <c r="G1833" s="55"/>
      <c r="H1833" s="55"/>
    </row>
    <row r="1834" customFormat="false" ht="15" hidden="false" customHeight="false" outlineLevel="0" collapsed="false">
      <c r="A1834" s="46" t="s">
        <v>75</v>
      </c>
      <c r="B1834" s="47" t="s">
        <v>142</v>
      </c>
      <c r="C1834" s="48"/>
      <c r="D1834" s="48"/>
      <c r="E1834" s="48"/>
      <c r="F1834" s="48"/>
      <c r="G1834" s="48"/>
      <c r="H1834" s="48"/>
    </row>
    <row r="1835" customFormat="false" ht="15" hidden="false" customHeight="false" outlineLevel="0" collapsed="false">
      <c r="A1835" s="60" t="s">
        <v>78</v>
      </c>
      <c r="B1835" s="61" t="s">
        <v>1435</v>
      </c>
    </row>
    <row r="1836" customFormat="false" ht="15" hidden="false" customHeight="false" outlineLevel="0" collapsed="false">
      <c r="A1836" s="49" t="s">
        <v>139</v>
      </c>
      <c r="B1836" s="29" t="s">
        <v>1436</v>
      </c>
      <c r="C1836" s="49" t="s">
        <v>303</v>
      </c>
      <c r="D1836" s="50" t="n">
        <v>4408.35</v>
      </c>
      <c r="E1836" s="51" t="n">
        <f aca="false">'Analisa Harga Satuan'!$F$206</f>
        <v>1516977</v>
      </c>
      <c r="F1836" s="52" t="n">
        <f aca="false">ROUND(D1836*E1836,0)</f>
        <v>6687365558</v>
      </c>
      <c r="G1836" s="49" t="s">
        <v>1437</v>
      </c>
      <c r="H1836" s="53" t="s">
        <v>305</v>
      </c>
    </row>
    <row r="1837" customFormat="false" ht="15" hidden="false" customHeight="false" outlineLevel="0" collapsed="false">
      <c r="A1837" s="49" t="s">
        <v>141</v>
      </c>
      <c r="B1837" s="29" t="s">
        <v>1438</v>
      </c>
      <c r="C1837" s="49" t="s">
        <v>1439</v>
      </c>
      <c r="D1837" s="50" t="n">
        <v>220.42</v>
      </c>
      <c r="E1837" s="51" t="n">
        <f aca="false">'Analisa Harga Satuan'!$H$1119</f>
        <v>79200</v>
      </c>
      <c r="F1837" s="52" t="n">
        <f aca="false">ROUND(D1837*E1837,0)</f>
        <v>17457264</v>
      </c>
      <c r="G1837" s="49" t="s">
        <v>1440</v>
      </c>
      <c r="H1837" s="53" t="s">
        <v>181</v>
      </c>
    </row>
    <row r="1838" customFormat="false" ht="15" hidden="false" customHeight="false" outlineLevel="0" collapsed="false">
      <c r="A1838" s="55"/>
      <c r="B1838" s="56" t="s">
        <v>1441</v>
      </c>
      <c r="C1838" s="55"/>
      <c r="D1838" s="55"/>
      <c r="E1838" s="55"/>
      <c r="F1838" s="27" t="n">
        <f aca="false">SUM(F1835:F1837)</f>
        <v>6704822822</v>
      </c>
      <c r="G1838" s="55"/>
      <c r="H1838" s="55"/>
    </row>
    <row r="1839" customFormat="false" ht="15" hidden="false" customHeight="false" outlineLevel="0" collapsed="false">
      <c r="A1839" s="46" t="s">
        <v>80</v>
      </c>
      <c r="B1839" s="47" t="s">
        <v>144</v>
      </c>
      <c r="C1839" s="48"/>
      <c r="D1839" s="48"/>
      <c r="E1839" s="48"/>
      <c r="F1839" s="48"/>
      <c r="G1839" s="48"/>
      <c r="H1839" s="48"/>
    </row>
    <row r="1840" customFormat="false" ht="15" hidden="false" customHeight="false" outlineLevel="0" collapsed="false">
      <c r="A1840" s="60" t="s">
        <v>78</v>
      </c>
      <c r="B1840" s="61" t="s">
        <v>1442</v>
      </c>
    </row>
    <row r="1841" customFormat="false" ht="15" hidden="false" customHeight="false" outlineLevel="0" collapsed="false">
      <c r="A1841" s="49" t="s">
        <v>139</v>
      </c>
      <c r="B1841" s="29" t="s">
        <v>1443</v>
      </c>
      <c r="C1841" s="49" t="s">
        <v>303</v>
      </c>
      <c r="D1841" s="50" t="n">
        <v>236.88</v>
      </c>
      <c r="E1841" s="51" t="n">
        <f aca="false">'Analisa Harga Satuan'!$F$156</f>
        <v>143550</v>
      </c>
      <c r="F1841" s="52" t="n">
        <f aca="false">ROUND(D1841*E1841,0)</f>
        <v>34004124</v>
      </c>
      <c r="G1841" s="49" t="s">
        <v>1444</v>
      </c>
      <c r="H1841" s="53" t="s">
        <v>305</v>
      </c>
    </row>
    <row r="1842" customFormat="false" ht="15" hidden="false" customHeight="false" outlineLevel="0" collapsed="false">
      <c r="A1842" s="49" t="s">
        <v>141</v>
      </c>
      <c r="B1842" s="29" t="s">
        <v>1445</v>
      </c>
      <c r="C1842" s="49" t="s">
        <v>303</v>
      </c>
      <c r="D1842" s="50" t="n">
        <v>19.74</v>
      </c>
      <c r="E1842" s="51" t="n">
        <f aca="false">'Analisa Harga Satuan'!$F$57</f>
        <v>470250</v>
      </c>
      <c r="F1842" s="52" t="n">
        <f aca="false">ROUND(D1842*E1842,0)</f>
        <v>9282735</v>
      </c>
      <c r="G1842" s="49" t="s">
        <v>311</v>
      </c>
      <c r="H1842" s="53" t="s">
        <v>305</v>
      </c>
    </row>
    <row r="1843" customFormat="false" ht="15" hidden="false" customHeight="false" outlineLevel="0" collapsed="false">
      <c r="B1843" s="54" t="s">
        <v>1446</v>
      </c>
    </row>
    <row r="1844" customFormat="false" ht="15" hidden="false" customHeight="false" outlineLevel="0" collapsed="false">
      <c r="A1844" s="60" t="s">
        <v>93</v>
      </c>
      <c r="B1844" s="61" t="s">
        <v>1442</v>
      </c>
    </row>
    <row r="1845" customFormat="false" ht="15" hidden="false" customHeight="false" outlineLevel="0" collapsed="false">
      <c r="A1845" s="49" t="s">
        <v>139</v>
      </c>
      <c r="B1845" s="29" t="s">
        <v>1447</v>
      </c>
      <c r="C1845" s="49" t="s">
        <v>331</v>
      </c>
      <c r="D1845" s="50" t="n">
        <v>4158</v>
      </c>
      <c r="E1845" s="51" t="n">
        <f aca="false">'Analisa Harga Satuan'!$F$146</f>
        <v>19305</v>
      </c>
      <c r="F1845" s="52" t="n">
        <f aca="false">ROUND(D1845*E1845,0)</f>
        <v>80270190</v>
      </c>
      <c r="G1845" s="49" t="s">
        <v>1448</v>
      </c>
      <c r="H1845" s="53" t="s">
        <v>305</v>
      </c>
    </row>
    <row r="1846" customFormat="false" ht="15" hidden="false" customHeight="false" outlineLevel="0" collapsed="false">
      <c r="A1846" s="49" t="s">
        <v>141</v>
      </c>
      <c r="B1846" s="29" t="s">
        <v>1449</v>
      </c>
      <c r="C1846" s="49" t="s">
        <v>303</v>
      </c>
      <c r="D1846" s="50" t="n">
        <v>415.8</v>
      </c>
      <c r="E1846" s="51" t="n">
        <f aca="false">'Analisa Harga Satuan'!$F$132</f>
        <v>76340</v>
      </c>
      <c r="F1846" s="52" t="n">
        <f aca="false">ROUND(D1846*E1846,0)</f>
        <v>31742172</v>
      </c>
      <c r="G1846" s="49" t="s">
        <v>1450</v>
      </c>
      <c r="H1846" s="53" t="s">
        <v>305</v>
      </c>
    </row>
    <row r="1847" customFormat="false" ht="15" hidden="false" customHeight="false" outlineLevel="0" collapsed="false">
      <c r="A1847" s="55"/>
      <c r="B1847" s="56" t="s">
        <v>1451</v>
      </c>
      <c r="C1847" s="55"/>
      <c r="D1847" s="55"/>
      <c r="E1847" s="55"/>
      <c r="F1847" s="27" t="n">
        <f aca="false">SUM(F1840:F1846)</f>
        <v>155299221</v>
      </c>
      <c r="G1847" s="55"/>
      <c r="H1847" s="55"/>
    </row>
    <row r="1848" customFormat="false" ht="15" hidden="false" customHeight="false" outlineLevel="0" collapsed="false">
      <c r="A1848" s="46" t="s">
        <v>82</v>
      </c>
      <c r="B1848" s="47" t="s">
        <v>1452</v>
      </c>
      <c r="C1848" s="48"/>
      <c r="D1848" s="48"/>
      <c r="E1848" s="48"/>
      <c r="F1848" s="48"/>
      <c r="G1848" s="48"/>
      <c r="H1848" s="48"/>
    </row>
    <row r="1849" customFormat="false" ht="15" hidden="false" customHeight="false" outlineLevel="0" collapsed="false">
      <c r="A1849" s="60" t="s">
        <v>78</v>
      </c>
      <c r="B1849" s="61" t="s">
        <v>1453</v>
      </c>
    </row>
    <row r="1850" customFormat="false" ht="15" hidden="false" customHeight="false" outlineLevel="0" collapsed="false">
      <c r="A1850" s="49" t="s">
        <v>139</v>
      </c>
      <c r="B1850" s="29" t="s">
        <v>1454</v>
      </c>
      <c r="C1850" s="49" t="s">
        <v>520</v>
      </c>
      <c r="D1850" s="50" t="n">
        <v>1</v>
      </c>
      <c r="E1850" s="51" t="n">
        <f aca="false">'Analisa Harga Satuan'!$H$1120</f>
        <v>41800000</v>
      </c>
      <c r="F1850" s="52" t="n">
        <f aca="false">ROUND(D1850*E1850,0)</f>
        <v>41800000</v>
      </c>
      <c r="G1850" s="49" t="s">
        <v>1455</v>
      </c>
      <c r="H1850" s="53" t="s">
        <v>189</v>
      </c>
    </row>
    <row r="1851" customFormat="false" ht="15" hidden="false" customHeight="false" outlineLevel="0" collapsed="false">
      <c r="A1851" s="49" t="s">
        <v>141</v>
      </c>
      <c r="B1851" s="29" t="s">
        <v>1456</v>
      </c>
      <c r="C1851" s="49" t="s">
        <v>520</v>
      </c>
      <c r="D1851" s="50" t="n">
        <v>1</v>
      </c>
      <c r="E1851" s="51" t="n">
        <f aca="false">'Analisa Harga Satuan'!$H$1121</f>
        <v>57200000</v>
      </c>
      <c r="F1851" s="52" t="n">
        <f aca="false">ROUND(D1851*E1851,0)</f>
        <v>57200000</v>
      </c>
      <c r="G1851" s="49" t="s">
        <v>1457</v>
      </c>
      <c r="H1851" s="53" t="s">
        <v>189</v>
      </c>
    </row>
    <row r="1852" customFormat="false" ht="15" hidden="false" customHeight="false" outlineLevel="0" collapsed="false">
      <c r="A1852" s="49" t="s">
        <v>143</v>
      </c>
      <c r="B1852" s="29" t="s">
        <v>1458</v>
      </c>
      <c r="C1852" s="49" t="s">
        <v>520</v>
      </c>
      <c r="D1852" s="50" t="n">
        <v>1</v>
      </c>
      <c r="E1852" s="51" t="n">
        <f aca="false">'Analisa Harga Satuan'!$H$1122</f>
        <v>74800000</v>
      </c>
      <c r="F1852" s="52" t="n">
        <f aca="false">ROUND(D1852*E1852,0)</f>
        <v>74800000</v>
      </c>
      <c r="G1852" s="49" t="s">
        <v>1459</v>
      </c>
      <c r="H1852" s="53" t="s">
        <v>189</v>
      </c>
    </row>
    <row r="1853" customFormat="false" ht="15" hidden="false" customHeight="false" outlineLevel="0" collapsed="false">
      <c r="A1853" s="49" t="s">
        <v>145</v>
      </c>
      <c r="B1853" s="29" t="s">
        <v>1460</v>
      </c>
      <c r="C1853" s="49" t="s">
        <v>520</v>
      </c>
      <c r="D1853" s="50" t="n">
        <v>1</v>
      </c>
      <c r="E1853" s="51" t="n">
        <f aca="false">'Analisa Harga Satuan'!$H$1123</f>
        <v>41800000</v>
      </c>
      <c r="F1853" s="52" t="n">
        <f aca="false">ROUND(D1853*E1853,0)</f>
        <v>41800000</v>
      </c>
      <c r="G1853" s="49" t="s">
        <v>1461</v>
      </c>
      <c r="H1853" s="53" t="s">
        <v>189</v>
      </c>
    </row>
    <row r="1854" customFormat="false" ht="15" hidden="false" customHeight="false" outlineLevel="0" collapsed="false">
      <c r="A1854" s="60" t="s">
        <v>78</v>
      </c>
      <c r="B1854" s="61" t="s">
        <v>1462</v>
      </c>
    </row>
    <row r="1855" customFormat="false" ht="15" hidden="false" customHeight="false" outlineLevel="0" collapsed="false">
      <c r="B1855" s="54" t="s">
        <v>1463</v>
      </c>
    </row>
    <row r="1856" customFormat="false" ht="25.5" hidden="false" customHeight="true" outlineLevel="0" collapsed="false">
      <c r="A1856" s="49" t="s">
        <v>139</v>
      </c>
      <c r="B1856" s="29" t="s">
        <v>1464</v>
      </c>
      <c r="C1856" s="49" t="s">
        <v>367</v>
      </c>
      <c r="D1856" s="50" t="n">
        <v>50</v>
      </c>
      <c r="E1856" s="51" t="n">
        <f aca="false">'Analisa Harga Satuan'!$H$1124</f>
        <v>572000</v>
      </c>
      <c r="F1856" s="52" t="n">
        <f aca="false">ROUND(D1856*E1856,0)</f>
        <v>28600000</v>
      </c>
      <c r="G1856" s="49" t="s">
        <v>1465</v>
      </c>
      <c r="H1856" s="53" t="s">
        <v>181</v>
      </c>
    </row>
    <row r="1857" customFormat="false" ht="25.5" hidden="false" customHeight="true" outlineLevel="0" collapsed="false">
      <c r="A1857" s="49" t="s">
        <v>141</v>
      </c>
      <c r="B1857" s="29" t="s">
        <v>1466</v>
      </c>
      <c r="C1857" s="49" t="s">
        <v>367</v>
      </c>
      <c r="D1857" s="50" t="n">
        <v>155</v>
      </c>
      <c r="E1857" s="51" t="n">
        <f aca="false">'Analisa Harga Satuan'!$H$1125</f>
        <v>803000</v>
      </c>
      <c r="F1857" s="52" t="n">
        <f aca="false">ROUND(D1857*E1857,0)</f>
        <v>124465000</v>
      </c>
      <c r="G1857" s="49" t="s">
        <v>1467</v>
      </c>
      <c r="H1857" s="53" t="s">
        <v>181</v>
      </c>
    </row>
    <row r="1858" customFormat="false" ht="25.5" hidden="false" customHeight="true" outlineLevel="0" collapsed="false">
      <c r="A1858" s="49" t="s">
        <v>143</v>
      </c>
      <c r="B1858" s="29" t="s">
        <v>1468</v>
      </c>
      <c r="C1858" s="49" t="s">
        <v>367</v>
      </c>
      <c r="D1858" s="50" t="n">
        <v>230</v>
      </c>
      <c r="E1858" s="51" t="n">
        <f aca="false">'Analisa Harga Satuan'!$H$1126</f>
        <v>1375000</v>
      </c>
      <c r="F1858" s="52" t="n">
        <f aca="false">ROUND(D1858*E1858,0)</f>
        <v>316250000</v>
      </c>
      <c r="G1858" s="49" t="s">
        <v>1469</v>
      </c>
      <c r="H1858" s="53" t="s">
        <v>181</v>
      </c>
    </row>
    <row r="1859" customFormat="false" ht="25.5" hidden="false" customHeight="true" outlineLevel="0" collapsed="false">
      <c r="A1859" s="49" t="s">
        <v>145</v>
      </c>
      <c r="B1859" s="29" t="s">
        <v>1470</v>
      </c>
      <c r="C1859" s="49" t="s">
        <v>367</v>
      </c>
      <c r="D1859" s="50" t="n">
        <v>185</v>
      </c>
      <c r="E1859" s="51" t="n">
        <f aca="false">'Analisa Harga Satuan'!$H$1127</f>
        <v>451000</v>
      </c>
      <c r="F1859" s="52" t="n">
        <f aca="false">ROUND(D1859*E1859,0)</f>
        <v>83435000</v>
      </c>
      <c r="G1859" s="49" t="s">
        <v>1471</v>
      </c>
      <c r="H1859" s="53" t="s">
        <v>181</v>
      </c>
    </row>
    <row r="1860" customFormat="false" ht="25.5" hidden="false" customHeight="true" outlineLevel="0" collapsed="false">
      <c r="A1860" s="49" t="s">
        <v>147</v>
      </c>
      <c r="B1860" s="29" t="s">
        <v>1472</v>
      </c>
      <c r="C1860" s="49" t="s">
        <v>367</v>
      </c>
      <c r="D1860" s="50" t="n">
        <v>20</v>
      </c>
      <c r="E1860" s="51" t="n">
        <f aca="false">'Analisa Harga Satuan'!$H$1128</f>
        <v>93500</v>
      </c>
      <c r="F1860" s="52" t="n">
        <f aca="false">ROUND(D1860*E1860,0)</f>
        <v>1870000</v>
      </c>
      <c r="G1860" s="49" t="s">
        <v>1473</v>
      </c>
      <c r="H1860" s="53" t="s">
        <v>181</v>
      </c>
    </row>
    <row r="1861" customFormat="false" ht="25.5" hidden="false" customHeight="true" outlineLevel="0" collapsed="false">
      <c r="A1861" s="49" t="s">
        <v>149</v>
      </c>
      <c r="B1861" s="29" t="s">
        <v>1474</v>
      </c>
      <c r="C1861" s="49" t="s">
        <v>367</v>
      </c>
      <c r="D1861" s="50" t="n">
        <v>250</v>
      </c>
      <c r="E1861" s="51" t="n">
        <f aca="false">'Analisa Harga Satuan'!$H$1129</f>
        <v>1705000</v>
      </c>
      <c r="F1861" s="52" t="n">
        <f aca="false">ROUND(D1861*E1861,0)</f>
        <v>426250000</v>
      </c>
      <c r="G1861" s="49" t="s">
        <v>1475</v>
      </c>
      <c r="H1861" s="53" t="s">
        <v>181</v>
      </c>
    </row>
    <row r="1862" customFormat="false" ht="15" hidden="false" customHeight="false" outlineLevel="0" collapsed="false">
      <c r="B1862" s="54" t="s">
        <v>1476</v>
      </c>
    </row>
    <row r="1863" customFormat="false" ht="25.5" hidden="false" customHeight="true" outlineLevel="0" collapsed="false">
      <c r="A1863" s="49" t="s">
        <v>139</v>
      </c>
      <c r="B1863" s="29" t="s">
        <v>1477</v>
      </c>
      <c r="C1863" s="49" t="s">
        <v>367</v>
      </c>
      <c r="D1863" s="50" t="n">
        <v>30</v>
      </c>
      <c r="E1863" s="51" t="n">
        <f aca="false">'Analisa Harga Satuan'!$H$1130</f>
        <v>275000</v>
      </c>
      <c r="F1863" s="52" t="n">
        <f aca="false">ROUND(D1863*E1863,0)</f>
        <v>8250000</v>
      </c>
      <c r="G1863" s="49" t="s">
        <v>1478</v>
      </c>
      <c r="H1863" s="53" t="s">
        <v>181</v>
      </c>
    </row>
    <row r="1864" customFormat="false" ht="25.5" hidden="false" customHeight="true" outlineLevel="0" collapsed="false">
      <c r="A1864" s="49" t="s">
        <v>141</v>
      </c>
      <c r="B1864" s="29" t="s">
        <v>1479</v>
      </c>
      <c r="C1864" s="49" t="s">
        <v>367</v>
      </c>
      <c r="D1864" s="50" t="n">
        <v>70</v>
      </c>
      <c r="E1864" s="51" t="n">
        <f aca="false">'Analisa Harga Satuan'!$H$1130</f>
        <v>275000</v>
      </c>
      <c r="F1864" s="52" t="n">
        <f aca="false">ROUND(D1864*E1864,0)</f>
        <v>19250000</v>
      </c>
      <c r="G1864" s="49" t="s">
        <v>1478</v>
      </c>
      <c r="H1864" s="53" t="s">
        <v>181</v>
      </c>
    </row>
    <row r="1865" customFormat="false" ht="25.5" hidden="false" customHeight="true" outlineLevel="0" collapsed="false">
      <c r="A1865" s="49" t="s">
        <v>143</v>
      </c>
      <c r="B1865" s="29" t="s">
        <v>1480</v>
      </c>
      <c r="C1865" s="49" t="s">
        <v>367</v>
      </c>
      <c r="D1865" s="50" t="n">
        <v>70</v>
      </c>
      <c r="E1865" s="51" t="n">
        <f aca="false">'Analisa Harga Satuan'!$H$1130</f>
        <v>275000</v>
      </c>
      <c r="F1865" s="52" t="n">
        <f aca="false">ROUND(D1865*E1865,0)</f>
        <v>19250000</v>
      </c>
      <c r="G1865" s="49" t="s">
        <v>1478</v>
      </c>
      <c r="H1865" s="53" t="s">
        <v>181</v>
      </c>
    </row>
    <row r="1866" customFormat="false" ht="25.5" hidden="false" customHeight="true" outlineLevel="0" collapsed="false">
      <c r="A1866" s="49" t="s">
        <v>145</v>
      </c>
      <c r="B1866" s="29" t="s">
        <v>1481</v>
      </c>
      <c r="C1866" s="49" t="s">
        <v>367</v>
      </c>
      <c r="D1866" s="50" t="n">
        <v>45</v>
      </c>
      <c r="E1866" s="51" t="n">
        <f aca="false">'Analisa Harga Satuan'!$H$1130</f>
        <v>275000</v>
      </c>
      <c r="F1866" s="52" t="n">
        <f aca="false">ROUND(D1866*E1866,0)</f>
        <v>12375000</v>
      </c>
      <c r="G1866" s="49" t="s">
        <v>1478</v>
      </c>
      <c r="H1866" s="53" t="s">
        <v>181</v>
      </c>
    </row>
    <row r="1867" customFormat="false" ht="15" hidden="false" customHeight="false" outlineLevel="0" collapsed="false">
      <c r="A1867" s="55"/>
      <c r="B1867" s="56" t="s">
        <v>1482</v>
      </c>
      <c r="C1867" s="55"/>
      <c r="D1867" s="55"/>
      <c r="E1867" s="55"/>
      <c r="F1867" s="27" t="n">
        <f aca="false">SUM(F1849:F1866)</f>
        <v>1255595000</v>
      </c>
      <c r="G1867" s="55"/>
      <c r="H1867" s="55"/>
    </row>
    <row r="1868" customFormat="false" ht="15" hidden="false" customHeight="false" outlineLevel="0" collapsed="false">
      <c r="A1868" s="46" t="s">
        <v>84</v>
      </c>
      <c r="B1868" s="47" t="s">
        <v>1483</v>
      </c>
      <c r="C1868" s="48"/>
      <c r="D1868" s="48"/>
      <c r="E1868" s="48"/>
      <c r="F1868" s="48"/>
      <c r="G1868" s="48"/>
      <c r="H1868" s="48"/>
    </row>
    <row r="1869" customFormat="false" ht="15" hidden="false" customHeight="false" outlineLevel="0" collapsed="false">
      <c r="B1869" s="54" t="s">
        <v>1484</v>
      </c>
    </row>
    <row r="1870" customFormat="false" ht="15" hidden="false" customHeight="false" outlineLevel="0" collapsed="false">
      <c r="A1870" s="49" t="s">
        <v>139</v>
      </c>
      <c r="B1870" s="29" t="s">
        <v>1485</v>
      </c>
      <c r="C1870" s="49" t="s">
        <v>367</v>
      </c>
      <c r="D1870" s="50" t="n">
        <v>855</v>
      </c>
      <c r="E1870" s="51" t="n">
        <f aca="false">'Analisa Harga Satuan'!$H$1131</f>
        <v>1375000</v>
      </c>
      <c r="F1870" s="52" t="n">
        <f aca="false">ROUND(D1870*E1870,0)</f>
        <v>1175625000</v>
      </c>
      <c r="G1870" s="49" t="s">
        <v>1486</v>
      </c>
      <c r="H1870" s="53" t="s">
        <v>181</v>
      </c>
    </row>
    <row r="1871" customFormat="false" ht="15" hidden="false" customHeight="false" outlineLevel="0" collapsed="false">
      <c r="A1871" s="49" t="s">
        <v>143</v>
      </c>
      <c r="B1871" s="29" t="s">
        <v>1487</v>
      </c>
      <c r="C1871" s="49" t="s">
        <v>206</v>
      </c>
      <c r="D1871" s="50" t="n">
        <v>6</v>
      </c>
      <c r="E1871" s="51" t="n">
        <f aca="false">'Analisa Harga Satuan'!$H$1132</f>
        <v>9350000</v>
      </c>
      <c r="F1871" s="52" t="n">
        <f aca="false">ROUND(D1871*E1871,0)</f>
        <v>56100000</v>
      </c>
      <c r="G1871" s="49" t="s">
        <v>1488</v>
      </c>
      <c r="H1871" s="53" t="s">
        <v>181</v>
      </c>
    </row>
    <row r="1872" customFormat="false" ht="15" hidden="false" customHeight="false" outlineLevel="0" collapsed="false">
      <c r="A1872" s="49" t="s">
        <v>145</v>
      </c>
      <c r="B1872" s="29" t="s">
        <v>1489</v>
      </c>
      <c r="C1872" s="49" t="s">
        <v>206</v>
      </c>
      <c r="D1872" s="50" t="n">
        <v>6</v>
      </c>
      <c r="E1872" s="51" t="n">
        <f aca="false">'Analisa Harga Satuan'!$H$1133</f>
        <v>12650000</v>
      </c>
      <c r="F1872" s="52" t="n">
        <f aca="false">ROUND(D1872*E1872,0)</f>
        <v>75900000</v>
      </c>
      <c r="G1872" s="49" t="s">
        <v>1490</v>
      </c>
      <c r="H1872" s="53" t="s">
        <v>181</v>
      </c>
    </row>
    <row r="1873" customFormat="false" ht="15" hidden="false" customHeight="false" outlineLevel="0" collapsed="false">
      <c r="A1873" s="49" t="s">
        <v>147</v>
      </c>
      <c r="B1873" s="29" t="s">
        <v>1491</v>
      </c>
      <c r="C1873" s="49" t="s">
        <v>206</v>
      </c>
      <c r="D1873" s="50" t="n">
        <v>6</v>
      </c>
      <c r="E1873" s="51" t="n">
        <f aca="false">'Analisa Harga Satuan'!$H$1134</f>
        <v>5335000</v>
      </c>
      <c r="F1873" s="52" t="n">
        <f aca="false">ROUND(D1873*E1873,0)</f>
        <v>32010000</v>
      </c>
      <c r="G1873" s="49" t="s">
        <v>1492</v>
      </c>
      <c r="H1873" s="53" t="s">
        <v>181</v>
      </c>
    </row>
    <row r="1874" customFormat="false" ht="15" hidden="false" customHeight="false" outlineLevel="0" collapsed="false">
      <c r="A1874" s="55"/>
      <c r="B1874" s="56" t="s">
        <v>1493</v>
      </c>
      <c r="C1874" s="55"/>
      <c r="D1874" s="55"/>
      <c r="E1874" s="55"/>
      <c r="F1874" s="27" t="n">
        <f aca="false">SUM(F1869:F1873)</f>
        <v>1339635000</v>
      </c>
      <c r="G1874" s="55"/>
      <c r="H1874" s="55"/>
    </row>
    <row r="1875" customFormat="false" ht="15" hidden="false" customHeight="false" outlineLevel="0" collapsed="false">
      <c r="A1875" s="46" t="s">
        <v>86</v>
      </c>
      <c r="B1875" s="47" t="s">
        <v>1494</v>
      </c>
      <c r="C1875" s="48"/>
      <c r="D1875" s="48"/>
      <c r="E1875" s="48"/>
      <c r="F1875" s="48"/>
      <c r="G1875" s="48"/>
      <c r="H1875" s="48"/>
    </row>
    <row r="1876" customFormat="false" ht="15" hidden="false" customHeight="false" outlineLevel="0" collapsed="false">
      <c r="A1876" s="60" t="s">
        <v>78</v>
      </c>
      <c r="B1876" s="61" t="s">
        <v>1495</v>
      </c>
    </row>
    <row r="1877" customFormat="false" ht="15" hidden="false" customHeight="false" outlineLevel="0" collapsed="false">
      <c r="A1877" s="49" t="s">
        <v>139</v>
      </c>
      <c r="B1877" s="29" t="s">
        <v>1496</v>
      </c>
      <c r="C1877" s="49" t="s">
        <v>520</v>
      </c>
      <c r="D1877" s="50" t="n">
        <v>1</v>
      </c>
      <c r="E1877" s="51" t="n">
        <f aca="false">'Analisa Harga Satuan'!$H$1135</f>
        <v>203500000</v>
      </c>
      <c r="F1877" s="52" t="n">
        <f aca="false">ROUND(D1877*E1877,0)</f>
        <v>203500000</v>
      </c>
      <c r="G1877" s="49" t="s">
        <v>1497</v>
      </c>
      <c r="H1877" s="53" t="s">
        <v>189</v>
      </c>
    </row>
    <row r="1878" customFormat="false" ht="15" hidden="false" customHeight="false" outlineLevel="0" collapsed="false">
      <c r="B1878" s="54" t="s">
        <v>1498</v>
      </c>
    </row>
    <row r="1879" customFormat="false" ht="15" hidden="false" customHeight="false" outlineLevel="0" collapsed="false">
      <c r="B1879" s="54" t="s">
        <v>1499</v>
      </c>
    </row>
    <row r="1880" customFormat="false" ht="15" hidden="false" customHeight="false" outlineLevel="0" collapsed="false">
      <c r="B1880" s="54" t="s">
        <v>1500</v>
      </c>
    </row>
    <row r="1881" customFormat="false" ht="15" hidden="false" customHeight="false" outlineLevel="0" collapsed="false">
      <c r="B1881" s="54" t="s">
        <v>1501</v>
      </c>
    </row>
    <row r="1882" customFormat="false" ht="15" hidden="false" customHeight="false" outlineLevel="0" collapsed="false">
      <c r="B1882" s="54" t="s">
        <v>1502</v>
      </c>
    </row>
    <row r="1883" customFormat="false" ht="15" hidden="false" customHeight="false" outlineLevel="0" collapsed="false">
      <c r="B1883" s="54" t="s">
        <v>1503</v>
      </c>
    </row>
    <row r="1884" customFormat="false" ht="25.5" hidden="false" customHeight="true" outlineLevel="0" collapsed="false">
      <c r="B1884" s="54" t="s">
        <v>1504</v>
      </c>
    </row>
    <row r="1885" customFormat="false" ht="15" hidden="false" customHeight="false" outlineLevel="0" collapsed="false">
      <c r="B1885" s="54" t="s">
        <v>1505</v>
      </c>
    </row>
    <row r="1886" customFormat="false" ht="15" hidden="false" customHeight="false" outlineLevel="0" collapsed="false">
      <c r="B1886" s="54" t="s">
        <v>1506</v>
      </c>
    </row>
    <row r="1887" customFormat="false" ht="15" hidden="false" customHeight="false" outlineLevel="0" collapsed="false">
      <c r="A1887" s="49" t="s">
        <v>141</v>
      </c>
      <c r="B1887" s="29" t="s">
        <v>1507</v>
      </c>
      <c r="C1887" s="49" t="s">
        <v>206</v>
      </c>
      <c r="D1887" s="50" t="n">
        <v>2</v>
      </c>
      <c r="E1887" s="51" t="n">
        <f aca="false">'Analisa Harga Satuan'!$H$1136</f>
        <v>572000</v>
      </c>
      <c r="F1887" s="52" t="n">
        <f aca="false">ROUND(D1887*E1887,0)</f>
        <v>1144000</v>
      </c>
      <c r="G1887" s="49" t="s">
        <v>1508</v>
      </c>
      <c r="H1887" s="53" t="s">
        <v>181</v>
      </c>
    </row>
    <row r="1888" customFormat="false" ht="15" hidden="false" customHeight="false" outlineLevel="0" collapsed="false">
      <c r="A1888" s="49" t="s">
        <v>143</v>
      </c>
      <c r="B1888" s="29" t="s">
        <v>1509</v>
      </c>
      <c r="C1888" s="49" t="s">
        <v>206</v>
      </c>
      <c r="D1888" s="50" t="n">
        <v>2</v>
      </c>
      <c r="E1888" s="51" t="n">
        <f aca="false">'Analisa Harga Satuan'!$H$1137</f>
        <v>495000</v>
      </c>
      <c r="F1888" s="52" t="n">
        <f aca="false">ROUND(D1888*E1888,0)</f>
        <v>990000</v>
      </c>
      <c r="G1888" s="49" t="s">
        <v>1510</v>
      </c>
      <c r="H1888" s="53" t="s">
        <v>181</v>
      </c>
    </row>
    <row r="1889" customFormat="false" ht="15" hidden="false" customHeight="false" outlineLevel="0" collapsed="false">
      <c r="A1889" s="60" t="s">
        <v>93</v>
      </c>
      <c r="B1889" s="61" t="s">
        <v>1511</v>
      </c>
    </row>
    <row r="1890" customFormat="false" ht="15" hidden="false" customHeight="false" outlineLevel="0" collapsed="false">
      <c r="A1890" s="49" t="s">
        <v>139</v>
      </c>
      <c r="B1890" s="29" t="s">
        <v>1512</v>
      </c>
      <c r="C1890" s="49" t="s">
        <v>520</v>
      </c>
      <c r="D1890" s="50" t="n">
        <v>1</v>
      </c>
      <c r="E1890" s="51" t="n">
        <f aca="false">'Analisa Harga Satuan'!$H$1138</f>
        <v>753500000</v>
      </c>
      <c r="F1890" s="52" t="n">
        <f aca="false">ROUND(D1890*E1890,0)</f>
        <v>753500000</v>
      </c>
      <c r="G1890" s="49" t="s">
        <v>1513</v>
      </c>
      <c r="H1890" s="53" t="s">
        <v>189</v>
      </c>
    </row>
    <row r="1891" customFormat="false" ht="15" hidden="false" customHeight="false" outlineLevel="0" collapsed="false">
      <c r="B1891" s="54" t="s">
        <v>1514</v>
      </c>
    </row>
    <row r="1892" customFormat="false" ht="15" hidden="false" customHeight="false" outlineLevel="0" collapsed="false">
      <c r="B1892" s="54" t="s">
        <v>1515</v>
      </c>
    </row>
    <row r="1893" customFormat="false" ht="15" hidden="false" customHeight="false" outlineLevel="0" collapsed="false">
      <c r="A1893" s="60" t="s">
        <v>102</v>
      </c>
      <c r="B1893" s="61" t="s">
        <v>1516</v>
      </c>
    </row>
    <row r="1894" customFormat="false" ht="15" hidden="false" customHeight="false" outlineLevel="0" collapsed="false">
      <c r="A1894" s="49" t="s">
        <v>139</v>
      </c>
      <c r="B1894" s="29" t="s">
        <v>1517</v>
      </c>
      <c r="C1894" s="49" t="s">
        <v>367</v>
      </c>
      <c r="D1894" s="50" t="n">
        <v>1020</v>
      </c>
      <c r="E1894" s="51" t="n">
        <f aca="false">'Analisa Harga Satuan'!$H$1139</f>
        <v>137500</v>
      </c>
      <c r="F1894" s="52" t="n">
        <f aca="false">ROUND(D1894*E1894,0)</f>
        <v>140250000</v>
      </c>
      <c r="G1894" s="49" t="s">
        <v>1518</v>
      </c>
      <c r="H1894" s="53" t="s">
        <v>181</v>
      </c>
    </row>
    <row r="1895" customFormat="false" ht="15" hidden="false" customHeight="false" outlineLevel="0" collapsed="false">
      <c r="A1895" s="49" t="s">
        <v>141</v>
      </c>
      <c r="B1895" s="29" t="s">
        <v>1519</v>
      </c>
      <c r="C1895" s="49" t="s">
        <v>206</v>
      </c>
      <c r="D1895" s="50" t="n">
        <v>3</v>
      </c>
      <c r="E1895" s="51" t="n">
        <f aca="false">'Analisa Harga Satuan'!$H$1140</f>
        <v>533500</v>
      </c>
      <c r="F1895" s="52" t="n">
        <f aca="false">ROUND(D1895*E1895,0)</f>
        <v>1600500</v>
      </c>
      <c r="G1895" s="49" t="s">
        <v>1520</v>
      </c>
      <c r="H1895" s="53" t="s">
        <v>181</v>
      </c>
    </row>
    <row r="1896" customFormat="false" ht="15" hidden="false" customHeight="false" outlineLevel="0" collapsed="false">
      <c r="A1896" s="55"/>
      <c r="B1896" s="56" t="s">
        <v>1521</v>
      </c>
      <c r="C1896" s="55"/>
      <c r="D1896" s="55"/>
      <c r="E1896" s="55"/>
      <c r="F1896" s="27" t="n">
        <f aca="false">SUM(F1876:F1895)</f>
        <v>1100984500</v>
      </c>
      <c r="G1896" s="55"/>
      <c r="H1896" s="55"/>
    </row>
    <row r="1897" customFormat="false" ht="15" hidden="false" customHeight="false" outlineLevel="0" collapsed="false">
      <c r="A1897" s="46" t="s">
        <v>88</v>
      </c>
      <c r="B1897" s="47" t="s">
        <v>1522</v>
      </c>
      <c r="C1897" s="48"/>
      <c r="D1897" s="48"/>
      <c r="E1897" s="48"/>
      <c r="F1897" s="48"/>
      <c r="G1897" s="48"/>
      <c r="H1897" s="48"/>
    </row>
    <row r="1898" customFormat="false" ht="15" hidden="false" customHeight="false" outlineLevel="0" collapsed="false">
      <c r="A1898" s="60" t="s">
        <v>78</v>
      </c>
      <c r="B1898" s="61" t="s">
        <v>1523</v>
      </c>
    </row>
    <row r="1899" customFormat="false" ht="15" hidden="false" customHeight="false" outlineLevel="0" collapsed="false">
      <c r="B1899" s="54" t="s">
        <v>1524</v>
      </c>
    </row>
    <row r="1900" customFormat="false" ht="15" hidden="false" customHeight="false" outlineLevel="0" collapsed="false">
      <c r="A1900" s="49" t="s">
        <v>139</v>
      </c>
      <c r="B1900" s="29" t="s">
        <v>1525</v>
      </c>
      <c r="C1900" s="49" t="s">
        <v>943</v>
      </c>
      <c r="D1900" s="50" t="n">
        <v>1</v>
      </c>
      <c r="E1900" s="51" t="n">
        <f aca="false">'Analisa Harga Satuan'!$H$1141</f>
        <v>467500000</v>
      </c>
      <c r="F1900" s="52" t="n">
        <f aca="false">ROUND(D1900*E1900,0)</f>
        <v>467500000</v>
      </c>
      <c r="G1900" s="49" t="s">
        <v>1526</v>
      </c>
      <c r="H1900" s="53" t="s">
        <v>189</v>
      </c>
    </row>
    <row r="1901" customFormat="false" ht="15" hidden="false" customHeight="false" outlineLevel="0" collapsed="false">
      <c r="B1901" s="54" t="s">
        <v>1524</v>
      </c>
    </row>
    <row r="1902" customFormat="false" ht="15" hidden="false" customHeight="false" outlineLevel="0" collapsed="false">
      <c r="B1902" s="54" t="s">
        <v>1527</v>
      </c>
    </row>
    <row r="1903" customFormat="false" ht="15" hidden="false" customHeight="false" outlineLevel="0" collapsed="false">
      <c r="B1903" s="54" t="s">
        <v>1528</v>
      </c>
    </row>
    <row r="1904" customFormat="false" ht="15" hidden="false" customHeight="false" outlineLevel="0" collapsed="false">
      <c r="B1904" s="54" t="s">
        <v>1529</v>
      </c>
    </row>
    <row r="1905" customFormat="false" ht="15" hidden="false" customHeight="false" outlineLevel="0" collapsed="false">
      <c r="B1905" s="54" t="s">
        <v>1530</v>
      </c>
    </row>
    <row r="1906" customFormat="false" ht="15" hidden="false" customHeight="false" outlineLevel="0" collapsed="false">
      <c r="B1906" s="54" t="s">
        <v>1531</v>
      </c>
    </row>
    <row r="1907" customFormat="false" ht="15" hidden="false" customHeight="false" outlineLevel="0" collapsed="false">
      <c r="B1907" s="54" t="s">
        <v>1532</v>
      </c>
    </row>
    <row r="1908" customFormat="false" ht="15" hidden="false" customHeight="false" outlineLevel="0" collapsed="false">
      <c r="B1908" s="54" t="s">
        <v>1533</v>
      </c>
    </row>
    <row r="1909" customFormat="false" ht="15" hidden="false" customHeight="false" outlineLevel="0" collapsed="false">
      <c r="B1909" s="54" t="s">
        <v>1534</v>
      </c>
    </row>
    <row r="1910" customFormat="false" ht="15" hidden="false" customHeight="false" outlineLevel="0" collapsed="false">
      <c r="B1910" s="54" t="s">
        <v>1535</v>
      </c>
    </row>
    <row r="1911" customFormat="false" ht="25.5" hidden="false" customHeight="true" outlineLevel="0" collapsed="false">
      <c r="B1911" s="54" t="s">
        <v>1536</v>
      </c>
    </row>
    <row r="1912" customFormat="false" ht="15" hidden="false" customHeight="false" outlineLevel="0" collapsed="false">
      <c r="B1912" s="54" t="s">
        <v>1537</v>
      </c>
    </row>
    <row r="1913" customFormat="false" ht="15" hidden="false" customHeight="false" outlineLevel="0" collapsed="false">
      <c r="B1913" s="54" t="s">
        <v>1538</v>
      </c>
    </row>
    <row r="1914" customFormat="false" ht="15" hidden="false" customHeight="false" outlineLevel="0" collapsed="false">
      <c r="B1914" s="54" t="s">
        <v>1539</v>
      </c>
    </row>
    <row r="1915" customFormat="false" ht="15" hidden="false" customHeight="false" outlineLevel="0" collapsed="false">
      <c r="B1915" s="54" t="s">
        <v>1540</v>
      </c>
    </row>
    <row r="1916" customFormat="false" ht="15" hidden="false" customHeight="false" outlineLevel="0" collapsed="false">
      <c r="B1916" s="54" t="s">
        <v>1541</v>
      </c>
    </row>
    <row r="1917" customFormat="false" ht="15" hidden="false" customHeight="false" outlineLevel="0" collapsed="false">
      <c r="B1917" s="54" t="s">
        <v>1542</v>
      </c>
    </row>
    <row r="1918" customFormat="false" ht="15" hidden="false" customHeight="false" outlineLevel="0" collapsed="false">
      <c r="B1918" s="54" t="s">
        <v>1543</v>
      </c>
    </row>
    <row r="1919" customFormat="false" ht="15" hidden="false" customHeight="false" outlineLevel="0" collapsed="false">
      <c r="B1919" s="54" t="s">
        <v>1531</v>
      </c>
    </row>
    <row r="1920" customFormat="false" ht="15" hidden="false" customHeight="false" outlineLevel="0" collapsed="false">
      <c r="B1920" s="54" t="s">
        <v>1544</v>
      </c>
    </row>
    <row r="1921" customFormat="false" ht="15" hidden="false" customHeight="false" outlineLevel="0" collapsed="false">
      <c r="B1921" s="54" t="s">
        <v>1539</v>
      </c>
    </row>
    <row r="1922" customFormat="false" ht="15" hidden="false" customHeight="false" outlineLevel="0" collapsed="false">
      <c r="B1922" s="54" t="s">
        <v>1540</v>
      </c>
    </row>
    <row r="1923" customFormat="false" ht="15" hidden="false" customHeight="false" outlineLevel="0" collapsed="false">
      <c r="B1923" s="54" t="s">
        <v>1541</v>
      </c>
    </row>
    <row r="1924" customFormat="false" ht="15" hidden="false" customHeight="false" outlineLevel="0" collapsed="false">
      <c r="B1924" s="54" t="s">
        <v>1542</v>
      </c>
    </row>
    <row r="1925" customFormat="false" ht="15" hidden="false" customHeight="false" outlineLevel="0" collapsed="false">
      <c r="B1925" s="54" t="s">
        <v>1543</v>
      </c>
    </row>
    <row r="1926" customFormat="false" ht="15" hidden="false" customHeight="false" outlineLevel="0" collapsed="false">
      <c r="B1926" s="54" t="s">
        <v>1531</v>
      </c>
    </row>
    <row r="1927" customFormat="false" ht="15" hidden="false" customHeight="false" outlineLevel="0" collapsed="false">
      <c r="B1927" s="54" t="s">
        <v>1545</v>
      </c>
    </row>
    <row r="1928" customFormat="false" ht="15" hidden="false" customHeight="false" outlineLevel="0" collapsed="false">
      <c r="B1928" s="54" t="s">
        <v>1546</v>
      </c>
    </row>
    <row r="1929" customFormat="false" ht="15" hidden="false" customHeight="false" outlineLevel="0" collapsed="false">
      <c r="B1929" s="54" t="s">
        <v>1547</v>
      </c>
    </row>
    <row r="1930" customFormat="false" ht="15" hidden="false" customHeight="false" outlineLevel="0" collapsed="false">
      <c r="B1930" s="54" t="s">
        <v>1548</v>
      </c>
    </row>
    <row r="1931" customFormat="false" ht="15" hidden="false" customHeight="false" outlineLevel="0" collapsed="false">
      <c r="B1931" s="54" t="s">
        <v>1549</v>
      </c>
    </row>
    <row r="1932" customFormat="false" ht="15" hidden="false" customHeight="false" outlineLevel="0" collapsed="false">
      <c r="B1932" s="54" t="s">
        <v>1550</v>
      </c>
    </row>
    <row r="1933" customFormat="false" ht="15" hidden="false" customHeight="false" outlineLevel="0" collapsed="false">
      <c r="B1933" s="54" t="s">
        <v>1551</v>
      </c>
    </row>
    <row r="1934" customFormat="false" ht="15" hidden="false" customHeight="false" outlineLevel="0" collapsed="false">
      <c r="B1934" s="54" t="s">
        <v>1552</v>
      </c>
    </row>
    <row r="1935" customFormat="false" ht="15" hidden="false" customHeight="false" outlineLevel="0" collapsed="false">
      <c r="B1935" s="54" t="s">
        <v>1546</v>
      </c>
    </row>
    <row r="1936" customFormat="false" ht="15" hidden="false" customHeight="false" outlineLevel="0" collapsed="false">
      <c r="B1936" s="54" t="s">
        <v>1547</v>
      </c>
    </row>
    <row r="1937" customFormat="false" ht="15" hidden="false" customHeight="false" outlineLevel="0" collapsed="false">
      <c r="B1937" s="54" t="s">
        <v>1548</v>
      </c>
    </row>
    <row r="1938" customFormat="false" ht="15" hidden="false" customHeight="false" outlineLevel="0" collapsed="false">
      <c r="B1938" s="54" t="s">
        <v>1549</v>
      </c>
    </row>
    <row r="1939" customFormat="false" ht="15" hidden="false" customHeight="false" outlineLevel="0" collapsed="false">
      <c r="B1939" s="54" t="s">
        <v>1550</v>
      </c>
    </row>
    <row r="1940" customFormat="false" ht="15" hidden="false" customHeight="false" outlineLevel="0" collapsed="false">
      <c r="B1940" s="54" t="s">
        <v>1551</v>
      </c>
    </row>
    <row r="1941" customFormat="false" ht="15" hidden="false" customHeight="false" outlineLevel="0" collapsed="false">
      <c r="B1941" s="54" t="s">
        <v>1553</v>
      </c>
    </row>
    <row r="1942" customFormat="false" ht="15" hidden="false" customHeight="false" outlineLevel="0" collapsed="false">
      <c r="B1942" s="54" t="s">
        <v>1554</v>
      </c>
    </row>
    <row r="1943" customFormat="false" ht="15" hidden="false" customHeight="false" outlineLevel="0" collapsed="false">
      <c r="B1943" s="54" t="s">
        <v>1555</v>
      </c>
    </row>
    <row r="1944" customFormat="false" ht="15" hidden="false" customHeight="false" outlineLevel="0" collapsed="false">
      <c r="B1944" s="54" t="s">
        <v>1556</v>
      </c>
    </row>
    <row r="1945" customFormat="false" ht="15" hidden="false" customHeight="false" outlineLevel="0" collapsed="false">
      <c r="B1945" s="54" t="s">
        <v>1557</v>
      </c>
    </row>
    <row r="1946" customFormat="false" ht="15" hidden="false" customHeight="false" outlineLevel="0" collapsed="false">
      <c r="B1946" s="54" t="s">
        <v>1558</v>
      </c>
    </row>
    <row r="1947" customFormat="false" ht="15" hidden="false" customHeight="false" outlineLevel="0" collapsed="false">
      <c r="B1947" s="54" t="s">
        <v>1559</v>
      </c>
    </row>
    <row r="1948" customFormat="false" ht="15" hidden="false" customHeight="false" outlineLevel="0" collapsed="false">
      <c r="B1948" s="54" t="s">
        <v>1560</v>
      </c>
    </row>
    <row r="1949" customFormat="false" ht="25.5" hidden="false" customHeight="true" outlineLevel="0" collapsed="false">
      <c r="B1949" s="54" t="s">
        <v>1561</v>
      </c>
    </row>
    <row r="1950" customFormat="false" ht="15" hidden="false" customHeight="false" outlineLevel="0" collapsed="false">
      <c r="B1950" s="54" t="s">
        <v>1551</v>
      </c>
    </row>
    <row r="1951" customFormat="false" ht="15" hidden="false" customHeight="false" outlineLevel="0" collapsed="false">
      <c r="A1951" s="60" t="s">
        <v>93</v>
      </c>
      <c r="B1951" s="61" t="s">
        <v>1562</v>
      </c>
    </row>
    <row r="1952" customFormat="false" ht="15" hidden="false" customHeight="false" outlineLevel="0" collapsed="false">
      <c r="A1952" s="60" t="s">
        <v>78</v>
      </c>
      <c r="B1952" s="61" t="s">
        <v>1442</v>
      </c>
    </row>
    <row r="1953" customFormat="false" ht="15" hidden="false" customHeight="false" outlineLevel="0" collapsed="false">
      <c r="A1953" s="49" t="s">
        <v>139</v>
      </c>
      <c r="B1953" s="29" t="s">
        <v>302</v>
      </c>
      <c r="C1953" s="49" t="s">
        <v>303</v>
      </c>
      <c r="D1953" s="50" t="n">
        <v>23.76</v>
      </c>
      <c r="E1953" s="51" t="n">
        <f aca="false">'Analisa Harga Satuan'!$F$17</f>
        <v>105050</v>
      </c>
      <c r="F1953" s="52" t="n">
        <f aca="false">ROUND(D1953*E1953,0)</f>
        <v>2495988</v>
      </c>
      <c r="G1953" s="49" t="s">
        <v>304</v>
      </c>
      <c r="H1953" s="53" t="s">
        <v>305</v>
      </c>
    </row>
    <row r="1954" customFormat="false" ht="15" hidden="false" customHeight="false" outlineLevel="0" collapsed="false">
      <c r="A1954" s="49" t="s">
        <v>141</v>
      </c>
      <c r="B1954" s="29" t="s">
        <v>306</v>
      </c>
      <c r="C1954" s="49" t="s">
        <v>303</v>
      </c>
      <c r="D1954" s="50" t="n">
        <v>23.76</v>
      </c>
      <c r="E1954" s="51" t="n">
        <f aca="false">'Analisa Harga Satuan'!$F$31</f>
        <v>113135</v>
      </c>
      <c r="F1954" s="52" t="n">
        <f aca="false">ROUND(D1954*E1954,0)</f>
        <v>2688088</v>
      </c>
      <c r="G1954" s="49" t="s">
        <v>307</v>
      </c>
      <c r="H1954" s="53" t="s">
        <v>305</v>
      </c>
    </row>
    <row r="1955" customFormat="false" ht="15" hidden="false" customHeight="false" outlineLevel="0" collapsed="false">
      <c r="A1955" s="60" t="s">
        <v>93</v>
      </c>
      <c r="B1955" s="61" t="s">
        <v>1563</v>
      </c>
    </row>
    <row r="1956" customFormat="false" ht="15" hidden="false" customHeight="false" outlineLevel="0" collapsed="false">
      <c r="A1956" s="49" t="s">
        <v>139</v>
      </c>
      <c r="B1956" s="29" t="s">
        <v>310</v>
      </c>
      <c r="C1956" s="49" t="s">
        <v>303</v>
      </c>
      <c r="D1956" s="50" t="n">
        <v>0.79</v>
      </c>
      <c r="E1956" s="51" t="n">
        <f aca="false">'Analisa Harga Satuan'!$F$57</f>
        <v>470250</v>
      </c>
      <c r="F1956" s="52" t="n">
        <f aca="false">ROUND(D1956*E1956,0)</f>
        <v>371498</v>
      </c>
      <c r="G1956" s="49" t="s">
        <v>311</v>
      </c>
      <c r="H1956" s="53" t="s">
        <v>305</v>
      </c>
    </row>
    <row r="1957" customFormat="false" ht="15" hidden="false" customHeight="false" outlineLevel="0" collapsed="false">
      <c r="A1957" s="49" t="s">
        <v>141</v>
      </c>
      <c r="B1957" s="29" t="s">
        <v>1564</v>
      </c>
      <c r="C1957" s="49" t="s">
        <v>303</v>
      </c>
      <c r="D1957" s="50" t="n">
        <v>0.79</v>
      </c>
      <c r="E1957" s="51" t="n">
        <f aca="false">'Analisa Harga Satuan'!$F$228</f>
        <v>1386820</v>
      </c>
      <c r="F1957" s="52" t="n">
        <f aca="false">ROUND(D1957*E1957,0)</f>
        <v>1095588</v>
      </c>
      <c r="G1957" s="49" t="s">
        <v>324</v>
      </c>
      <c r="H1957" s="53" t="s">
        <v>305</v>
      </c>
    </row>
    <row r="1958" customFormat="false" ht="15" hidden="false" customHeight="false" outlineLevel="0" collapsed="false">
      <c r="A1958" s="49" t="s">
        <v>143</v>
      </c>
      <c r="B1958" s="29" t="s">
        <v>1565</v>
      </c>
      <c r="C1958" s="49" t="s">
        <v>303</v>
      </c>
      <c r="D1958" s="50" t="n">
        <v>7.46</v>
      </c>
      <c r="E1958" s="51" t="n">
        <f aca="false">'Analisa Harga Satuan'!$F$272</f>
        <v>1747048</v>
      </c>
      <c r="F1958" s="52" t="n">
        <f aca="false">ROUND(D1958*E1958,0)</f>
        <v>13032978</v>
      </c>
      <c r="G1958" s="49" t="s">
        <v>351</v>
      </c>
      <c r="H1958" s="53" t="s">
        <v>305</v>
      </c>
    </row>
    <row r="1959" customFormat="false" ht="15" hidden="false" customHeight="false" outlineLevel="0" collapsed="false">
      <c r="A1959" s="49" t="s">
        <v>145</v>
      </c>
      <c r="B1959" s="29" t="s">
        <v>327</v>
      </c>
      <c r="C1959" s="49" t="s">
        <v>328</v>
      </c>
      <c r="D1959" s="50" t="n">
        <v>632.99</v>
      </c>
      <c r="E1959" s="51" t="n">
        <f aca="false">'Analisa Harga Satuan'!$F$310</f>
        <v>23191</v>
      </c>
      <c r="F1959" s="52" t="n">
        <f aca="false">ROUND(D1959*E1959,0)</f>
        <v>14679671</v>
      </c>
      <c r="G1959" s="49" t="s">
        <v>329</v>
      </c>
      <c r="H1959" s="53" t="s">
        <v>305</v>
      </c>
    </row>
    <row r="1960" customFormat="false" ht="15" hidden="false" customHeight="false" outlineLevel="0" collapsed="false">
      <c r="A1960" s="49" t="s">
        <v>147</v>
      </c>
      <c r="B1960" s="29" t="s">
        <v>330</v>
      </c>
      <c r="C1960" s="49" t="s">
        <v>331</v>
      </c>
      <c r="D1960" s="50" t="n">
        <v>115.2</v>
      </c>
      <c r="E1960" s="51" t="n">
        <f aca="false">'Analisa Harga Satuan'!$F$330</f>
        <v>398959</v>
      </c>
      <c r="F1960" s="52" t="n">
        <f aca="false">ROUND(D1960*E1960,0)</f>
        <v>45960077</v>
      </c>
      <c r="G1960" s="49" t="s">
        <v>332</v>
      </c>
      <c r="H1960" s="53" t="s">
        <v>305</v>
      </c>
    </row>
    <row r="1961" customFormat="false" ht="15" hidden="false" customHeight="false" outlineLevel="0" collapsed="false">
      <c r="A1961" s="60" t="s">
        <v>102</v>
      </c>
      <c r="B1961" s="61" t="s">
        <v>1566</v>
      </c>
    </row>
    <row r="1962" customFormat="false" ht="15" hidden="false" customHeight="false" outlineLevel="0" collapsed="false">
      <c r="A1962" s="49" t="s">
        <v>139</v>
      </c>
      <c r="B1962" s="29" t="s">
        <v>1567</v>
      </c>
      <c r="C1962" s="49" t="s">
        <v>331</v>
      </c>
      <c r="D1962" s="50" t="n">
        <v>7.8</v>
      </c>
      <c r="E1962" s="51" t="n">
        <f aca="false">'Analisa Harga Satuan'!$H$1142</f>
        <v>866525</v>
      </c>
      <c r="F1962" s="52" t="n">
        <f aca="false">ROUND(D1962*E1962,0)</f>
        <v>6758895</v>
      </c>
      <c r="G1962" s="49" t="s">
        <v>1568</v>
      </c>
      <c r="H1962" s="53" t="s">
        <v>181</v>
      </c>
    </row>
    <row r="1963" customFormat="false" ht="15" hidden="false" customHeight="false" outlineLevel="0" collapsed="false">
      <c r="A1963" s="49" t="s">
        <v>141</v>
      </c>
      <c r="B1963" s="29" t="s">
        <v>1569</v>
      </c>
      <c r="C1963" s="49" t="s">
        <v>183</v>
      </c>
      <c r="D1963" s="50" t="n">
        <v>12</v>
      </c>
      <c r="E1963" s="51" t="n">
        <f aca="false">'Analisa Harga Satuan'!$H$1143</f>
        <v>1443750</v>
      </c>
      <c r="F1963" s="52" t="n">
        <f aca="false">ROUND(D1963*E1963,0)</f>
        <v>17325000</v>
      </c>
      <c r="G1963" s="49" t="s">
        <v>1570</v>
      </c>
      <c r="H1963" s="53" t="s">
        <v>181</v>
      </c>
    </row>
    <row r="1964" customFormat="false" ht="15" hidden="false" customHeight="false" outlineLevel="0" collapsed="false">
      <c r="A1964" s="60" t="s">
        <v>111</v>
      </c>
      <c r="B1964" s="61" t="s">
        <v>1571</v>
      </c>
    </row>
    <row r="1965" customFormat="false" ht="25.5" hidden="false" customHeight="true" outlineLevel="0" collapsed="false">
      <c r="A1965" s="49" t="s">
        <v>139</v>
      </c>
      <c r="B1965" s="29" t="s">
        <v>1572</v>
      </c>
      <c r="C1965" s="49" t="s">
        <v>520</v>
      </c>
      <c r="D1965" s="50" t="n">
        <v>6</v>
      </c>
      <c r="E1965" s="51" t="n">
        <f aca="false">'Analisa Harga Satuan'!$H$1144</f>
        <v>7150000</v>
      </c>
      <c r="F1965" s="52" t="n">
        <f aca="false">ROUND(D1965*E1965,0)</f>
        <v>42900000</v>
      </c>
      <c r="G1965" s="49" t="s">
        <v>1573</v>
      </c>
      <c r="H1965" s="53" t="s">
        <v>181</v>
      </c>
    </row>
    <row r="1966" customFormat="false" ht="15" hidden="false" customHeight="false" outlineLevel="0" collapsed="false">
      <c r="A1966" s="60" t="s">
        <v>119</v>
      </c>
      <c r="B1966" s="61" t="s">
        <v>1574</v>
      </c>
    </row>
    <row r="1967" customFormat="false" ht="15" hidden="false" customHeight="false" outlineLevel="0" collapsed="false">
      <c r="A1967" s="49" t="s">
        <v>139</v>
      </c>
      <c r="B1967" s="29" t="s">
        <v>1246</v>
      </c>
      <c r="C1967" s="49" t="s">
        <v>431</v>
      </c>
      <c r="D1967" s="50" t="n">
        <v>550</v>
      </c>
      <c r="E1967" s="51" t="n">
        <f aca="false">'Analisa Harga Satuan'!$H$1085</f>
        <v>79200</v>
      </c>
      <c r="F1967" s="52" t="n">
        <f aca="false">ROUND(D1967*E1967,0)</f>
        <v>43560000</v>
      </c>
      <c r="G1967" s="49" t="s">
        <v>1247</v>
      </c>
      <c r="H1967" s="53" t="s">
        <v>181</v>
      </c>
    </row>
    <row r="1968" customFormat="false" ht="15" hidden="false" customHeight="false" outlineLevel="0" collapsed="false">
      <c r="A1968" s="55"/>
      <c r="B1968" s="56" t="s">
        <v>1575</v>
      </c>
      <c r="C1968" s="55"/>
      <c r="D1968" s="55"/>
      <c r="E1968" s="55"/>
      <c r="F1968" s="27" t="n">
        <f aca="false">SUM(F1898:F1967)</f>
        <v>658367783</v>
      </c>
      <c r="G1968" s="55"/>
      <c r="H1968" s="55"/>
    </row>
    <row r="1969" customFormat="false" ht="15" hidden="false" customHeight="false" outlineLevel="0" collapsed="false">
      <c r="A1969" s="46" t="s">
        <v>90</v>
      </c>
      <c r="B1969" s="47" t="s">
        <v>150</v>
      </c>
      <c r="C1969" s="48"/>
      <c r="D1969" s="48"/>
      <c r="E1969" s="48"/>
      <c r="F1969" s="48"/>
      <c r="G1969" s="48"/>
      <c r="H1969" s="48"/>
    </row>
    <row r="1970" customFormat="false" ht="15" hidden="false" customHeight="false" outlineLevel="0" collapsed="false">
      <c r="A1970" s="60" t="s">
        <v>1124</v>
      </c>
      <c r="B1970" s="61" t="s">
        <v>1576</v>
      </c>
    </row>
    <row r="1971" customFormat="false" ht="15" hidden="false" customHeight="false" outlineLevel="0" collapsed="false">
      <c r="A1971" s="60" t="s">
        <v>78</v>
      </c>
      <c r="B1971" s="61" t="s">
        <v>1442</v>
      </c>
    </row>
    <row r="1972" customFormat="false" ht="15" hidden="false" customHeight="false" outlineLevel="0" collapsed="false">
      <c r="A1972" s="49" t="s">
        <v>139</v>
      </c>
      <c r="B1972" s="29" t="s">
        <v>302</v>
      </c>
      <c r="C1972" s="49" t="s">
        <v>303</v>
      </c>
      <c r="D1972" s="50" t="n">
        <v>11.36</v>
      </c>
      <c r="E1972" s="51" t="n">
        <f aca="false">'Analisa Harga Satuan'!$F$17</f>
        <v>105050</v>
      </c>
      <c r="F1972" s="52" t="n">
        <f aca="false">ROUND(D1972*E1972,0)</f>
        <v>1193368</v>
      </c>
      <c r="G1972" s="49" t="s">
        <v>304</v>
      </c>
      <c r="H1972" s="53" t="s">
        <v>305</v>
      </c>
    </row>
    <row r="1973" customFormat="false" ht="15" hidden="false" customHeight="false" outlineLevel="0" collapsed="false">
      <c r="A1973" s="49" t="s">
        <v>141</v>
      </c>
      <c r="B1973" s="29" t="s">
        <v>306</v>
      </c>
      <c r="C1973" s="49" t="s">
        <v>303</v>
      </c>
      <c r="D1973" s="50" t="n">
        <v>9.17</v>
      </c>
      <c r="E1973" s="51" t="n">
        <f aca="false">'Analisa Harga Satuan'!$F$31</f>
        <v>113135</v>
      </c>
      <c r="F1973" s="52" t="n">
        <f aca="false">ROUND(D1973*E1973,0)</f>
        <v>1037448</v>
      </c>
      <c r="G1973" s="49" t="s">
        <v>307</v>
      </c>
      <c r="H1973" s="53" t="s">
        <v>305</v>
      </c>
    </row>
    <row r="1974" customFormat="false" ht="15" hidden="false" customHeight="false" outlineLevel="0" collapsed="false">
      <c r="A1974" s="49" t="s">
        <v>143</v>
      </c>
      <c r="B1974" s="29" t="s">
        <v>308</v>
      </c>
      <c r="C1974" s="49" t="s">
        <v>303</v>
      </c>
      <c r="D1974" s="50" t="n">
        <v>2.19</v>
      </c>
      <c r="E1974" s="51" t="n">
        <f aca="false">'Analisa Harga Satuan'!$F$44</f>
        <v>65175</v>
      </c>
      <c r="F1974" s="52" t="n">
        <f aca="false">ROUND(D1974*E1974,0)</f>
        <v>142733</v>
      </c>
      <c r="G1974" s="49" t="s">
        <v>309</v>
      </c>
      <c r="H1974" s="53" t="s">
        <v>305</v>
      </c>
    </row>
    <row r="1975" customFormat="false" ht="15" hidden="false" customHeight="false" outlineLevel="0" collapsed="false">
      <c r="A1975" s="60" t="s">
        <v>93</v>
      </c>
      <c r="B1975" s="61" t="s">
        <v>312</v>
      </c>
    </row>
    <row r="1976" customFormat="false" ht="15" hidden="false" customHeight="false" outlineLevel="0" collapsed="false">
      <c r="A1976" s="49" t="s">
        <v>139</v>
      </c>
      <c r="B1976" s="29" t="s">
        <v>313</v>
      </c>
      <c r="C1976" s="49" t="s">
        <v>303</v>
      </c>
      <c r="D1976" s="50" t="n">
        <v>5.47</v>
      </c>
      <c r="E1976" s="51" t="n">
        <f aca="false">'Analisa Harga Satuan'!$F$73</f>
        <v>211750</v>
      </c>
      <c r="F1976" s="52" t="n">
        <f aca="false">ROUND(D1976*E1976,0)</f>
        <v>1158273</v>
      </c>
      <c r="G1976" s="49" t="s">
        <v>314</v>
      </c>
      <c r="H1976" s="53" t="s">
        <v>305</v>
      </c>
    </row>
    <row r="1977" customFormat="false" ht="15" hidden="false" customHeight="false" outlineLevel="0" collapsed="false">
      <c r="A1977" s="49" t="s">
        <v>141</v>
      </c>
      <c r="B1977" s="29" t="s">
        <v>315</v>
      </c>
      <c r="C1977" s="49" t="s">
        <v>303</v>
      </c>
      <c r="D1977" s="50" t="n">
        <v>5.47</v>
      </c>
      <c r="E1977" s="51" t="n">
        <f aca="false">'Analisa Harga Satuan'!$F$89</f>
        <v>25355</v>
      </c>
      <c r="F1977" s="52" t="n">
        <f aca="false">ROUND(D1977*E1977,0)</f>
        <v>138692</v>
      </c>
      <c r="G1977" s="49" t="s">
        <v>316</v>
      </c>
      <c r="H1977" s="53" t="s">
        <v>305</v>
      </c>
    </row>
    <row r="1978" customFormat="false" ht="15" hidden="false" customHeight="false" outlineLevel="0" collapsed="false">
      <c r="A1978" s="49" t="s">
        <v>143</v>
      </c>
      <c r="B1978" s="29" t="s">
        <v>310</v>
      </c>
      <c r="C1978" s="49" t="s">
        <v>303</v>
      </c>
      <c r="D1978" s="50" t="n">
        <v>0.35</v>
      </c>
      <c r="E1978" s="51" t="n">
        <f aca="false">'Analisa Harga Satuan'!$F$57</f>
        <v>470250</v>
      </c>
      <c r="F1978" s="52" t="n">
        <f aca="false">ROUND(D1978*E1978,0)</f>
        <v>164588</v>
      </c>
      <c r="G1978" s="49" t="s">
        <v>311</v>
      </c>
      <c r="H1978" s="53" t="s">
        <v>305</v>
      </c>
    </row>
    <row r="1979" customFormat="false" ht="15" hidden="false" customHeight="false" outlineLevel="0" collapsed="false">
      <c r="A1979" s="60" t="s">
        <v>78</v>
      </c>
      <c r="B1979" s="61" t="s">
        <v>1273</v>
      </c>
    </row>
    <row r="1980" customFormat="false" ht="15" hidden="false" customHeight="false" outlineLevel="0" collapsed="false">
      <c r="A1980" s="49" t="s">
        <v>139</v>
      </c>
      <c r="B1980" s="29" t="s">
        <v>310</v>
      </c>
      <c r="C1980" s="49" t="s">
        <v>303</v>
      </c>
      <c r="D1980" s="50" t="n">
        <v>0.57</v>
      </c>
      <c r="E1980" s="51" t="n">
        <f aca="false">'Analisa Harga Satuan'!$F$57</f>
        <v>470250</v>
      </c>
      <c r="F1980" s="52" t="n">
        <f aca="false">ROUND(D1980*E1980,0)</f>
        <v>268043</v>
      </c>
      <c r="G1980" s="49" t="s">
        <v>311</v>
      </c>
      <c r="H1980" s="53" t="s">
        <v>305</v>
      </c>
    </row>
    <row r="1981" customFormat="false" ht="15" hidden="false" customHeight="false" outlineLevel="0" collapsed="false">
      <c r="A1981" s="49" t="s">
        <v>141</v>
      </c>
      <c r="B1981" s="29" t="s">
        <v>1347</v>
      </c>
      <c r="C1981" s="49" t="s">
        <v>303</v>
      </c>
      <c r="D1981" s="50" t="n">
        <v>2.27</v>
      </c>
      <c r="E1981" s="51" t="n">
        <f aca="false">'Analisa Harga Satuan'!$F$172</f>
        <v>832128</v>
      </c>
      <c r="F1981" s="52" t="n">
        <f aca="false">ROUND(D1981*E1981,0)</f>
        <v>1888931</v>
      </c>
      <c r="G1981" s="49" t="s">
        <v>1348</v>
      </c>
      <c r="H1981" s="53" t="s">
        <v>305</v>
      </c>
    </row>
    <row r="1982" customFormat="false" ht="15" hidden="false" customHeight="false" outlineLevel="0" collapsed="false">
      <c r="A1982" s="49" t="s">
        <v>143</v>
      </c>
      <c r="B1982" s="29" t="s">
        <v>1274</v>
      </c>
      <c r="C1982" s="49" t="s">
        <v>303</v>
      </c>
      <c r="D1982" s="50" t="n">
        <v>5.03</v>
      </c>
      <c r="E1982" s="51" t="n">
        <f aca="false">'Analisa Harga Satuan'!$F$189</f>
        <v>1456103</v>
      </c>
      <c r="F1982" s="52" t="n">
        <f aca="false">ROUND(D1982*E1982,0)</f>
        <v>7324198</v>
      </c>
      <c r="G1982" s="49" t="s">
        <v>339</v>
      </c>
      <c r="H1982" s="53" t="s">
        <v>305</v>
      </c>
    </row>
    <row r="1983" customFormat="false" ht="15" hidden="false" customHeight="false" outlineLevel="0" collapsed="false">
      <c r="A1983" s="60" t="s">
        <v>93</v>
      </c>
      <c r="B1983" s="61" t="s">
        <v>1577</v>
      </c>
    </row>
    <row r="1984" customFormat="false" ht="15" hidden="false" customHeight="false" outlineLevel="0" collapsed="false">
      <c r="A1984" s="49" t="s">
        <v>139</v>
      </c>
      <c r="B1984" s="29" t="s">
        <v>1565</v>
      </c>
      <c r="C1984" s="49" t="s">
        <v>303</v>
      </c>
      <c r="D1984" s="50" t="n">
        <v>0.45</v>
      </c>
      <c r="E1984" s="51" t="n">
        <f aca="false">'Analisa Harga Satuan'!$F$272</f>
        <v>1747048</v>
      </c>
      <c r="F1984" s="52" t="n">
        <f aca="false">ROUND(D1984*E1984,0)</f>
        <v>786172</v>
      </c>
      <c r="G1984" s="49" t="s">
        <v>351</v>
      </c>
      <c r="H1984" s="53" t="s">
        <v>305</v>
      </c>
    </row>
    <row r="1985" customFormat="false" ht="15" hidden="false" customHeight="false" outlineLevel="0" collapsed="false">
      <c r="A1985" s="49" t="s">
        <v>141</v>
      </c>
      <c r="B1985" s="29" t="s">
        <v>327</v>
      </c>
      <c r="C1985" s="49" t="s">
        <v>328</v>
      </c>
      <c r="D1985" s="50" t="n">
        <v>105.19</v>
      </c>
      <c r="E1985" s="51" t="n">
        <f aca="false">'Analisa Harga Satuan'!$F$310</f>
        <v>23191</v>
      </c>
      <c r="F1985" s="52" t="n">
        <f aca="false">ROUND(D1985*E1985,0)</f>
        <v>2439461</v>
      </c>
      <c r="G1985" s="49" t="s">
        <v>329</v>
      </c>
      <c r="H1985" s="53" t="s">
        <v>305</v>
      </c>
    </row>
    <row r="1986" customFormat="false" ht="15" hidden="false" customHeight="false" outlineLevel="0" collapsed="false">
      <c r="A1986" s="49" t="s">
        <v>143</v>
      </c>
      <c r="B1986" s="29" t="s">
        <v>330</v>
      </c>
      <c r="C1986" s="49" t="s">
        <v>331</v>
      </c>
      <c r="D1986" s="50" t="n">
        <v>5.98</v>
      </c>
      <c r="E1986" s="51" t="n">
        <f aca="false">'Analisa Harga Satuan'!$F$330</f>
        <v>398959</v>
      </c>
      <c r="F1986" s="52" t="n">
        <f aca="false">ROUND(D1986*E1986,0)</f>
        <v>2385775</v>
      </c>
      <c r="G1986" s="49" t="s">
        <v>332</v>
      </c>
      <c r="H1986" s="53" t="s">
        <v>305</v>
      </c>
    </row>
    <row r="1987" customFormat="false" ht="15" hidden="false" customHeight="false" outlineLevel="0" collapsed="false">
      <c r="A1987" s="60" t="s">
        <v>1128</v>
      </c>
      <c r="B1987" s="61" t="s">
        <v>1180</v>
      </c>
    </row>
    <row r="1988" customFormat="false" ht="15" hidden="false" customHeight="false" outlineLevel="0" collapsed="false">
      <c r="A1988" s="60" t="s">
        <v>78</v>
      </c>
      <c r="B1988" s="61" t="s">
        <v>1277</v>
      </c>
    </row>
    <row r="1989" customFormat="false" ht="15" hidden="false" customHeight="false" outlineLevel="0" collapsed="false">
      <c r="A1989" s="49" t="s">
        <v>139</v>
      </c>
      <c r="B1989" s="29" t="s">
        <v>1564</v>
      </c>
      <c r="C1989" s="49" t="s">
        <v>303</v>
      </c>
      <c r="D1989" s="50" t="n">
        <v>0.48</v>
      </c>
      <c r="E1989" s="51" t="n">
        <f aca="false">'Analisa Harga Satuan'!$F$228</f>
        <v>1386820</v>
      </c>
      <c r="F1989" s="52" t="n">
        <f aca="false">ROUND(D1989*E1989,0)</f>
        <v>665674</v>
      </c>
      <c r="G1989" s="49" t="s">
        <v>324</v>
      </c>
      <c r="H1989" s="53" t="s">
        <v>305</v>
      </c>
    </row>
    <row r="1990" customFormat="false" ht="15" hidden="false" customHeight="false" outlineLevel="0" collapsed="false">
      <c r="A1990" s="49" t="s">
        <v>141</v>
      </c>
      <c r="B1990" s="29" t="s">
        <v>1565</v>
      </c>
      <c r="C1990" s="49" t="s">
        <v>303</v>
      </c>
      <c r="D1990" s="50" t="n">
        <v>1.44</v>
      </c>
      <c r="E1990" s="51" t="n">
        <f aca="false">'Analisa Harga Satuan'!$F$272</f>
        <v>1747048</v>
      </c>
      <c r="F1990" s="52" t="n">
        <f aca="false">ROUND(D1990*E1990,0)</f>
        <v>2515749</v>
      </c>
      <c r="G1990" s="49" t="s">
        <v>351</v>
      </c>
      <c r="H1990" s="53" t="s">
        <v>305</v>
      </c>
    </row>
    <row r="1991" customFormat="false" ht="15" hidden="false" customHeight="false" outlineLevel="0" collapsed="false">
      <c r="A1991" s="49" t="s">
        <v>143</v>
      </c>
      <c r="B1991" s="29" t="s">
        <v>1578</v>
      </c>
      <c r="C1991" s="49" t="s">
        <v>328</v>
      </c>
      <c r="D1991" s="50" t="n">
        <v>52.31</v>
      </c>
      <c r="E1991" s="51" t="n">
        <f aca="false">'Analisa Harga Satuan'!$F$344</f>
        <v>26098</v>
      </c>
      <c r="F1991" s="52" t="n">
        <f aca="false">ROUND(D1991*E1991,0)</f>
        <v>1365186</v>
      </c>
      <c r="G1991" s="49" t="s">
        <v>1001</v>
      </c>
      <c r="H1991" s="53" t="s">
        <v>305</v>
      </c>
    </row>
    <row r="1992" customFormat="false" ht="15" hidden="false" customHeight="false" outlineLevel="0" collapsed="false">
      <c r="A1992" s="60" t="s">
        <v>93</v>
      </c>
      <c r="B1992" s="61" t="s">
        <v>1579</v>
      </c>
    </row>
    <row r="1993" customFormat="false" ht="15" hidden="false" customHeight="false" outlineLevel="0" collapsed="false">
      <c r="A1993" s="49" t="s">
        <v>139</v>
      </c>
      <c r="B1993" s="29" t="s">
        <v>1565</v>
      </c>
      <c r="C1993" s="49" t="s">
        <v>303</v>
      </c>
      <c r="D1993" s="50" t="n">
        <v>0.36</v>
      </c>
      <c r="E1993" s="51" t="n">
        <f aca="false">'Analisa Harga Satuan'!$F$272</f>
        <v>1747048</v>
      </c>
      <c r="F1993" s="52" t="n">
        <f aca="false">ROUND(D1993*E1993,0)</f>
        <v>628937</v>
      </c>
      <c r="G1993" s="49" t="s">
        <v>351</v>
      </c>
      <c r="H1993" s="53" t="s">
        <v>305</v>
      </c>
    </row>
    <row r="1994" customFormat="false" ht="15" hidden="false" customHeight="false" outlineLevel="0" collapsed="false">
      <c r="A1994" s="49" t="s">
        <v>141</v>
      </c>
      <c r="B1994" s="29" t="s">
        <v>327</v>
      </c>
      <c r="C1994" s="49" t="s">
        <v>328</v>
      </c>
      <c r="D1994" s="50" t="n">
        <v>92.23</v>
      </c>
      <c r="E1994" s="51" t="n">
        <f aca="false">'Analisa Harga Satuan'!$F$310</f>
        <v>23191</v>
      </c>
      <c r="F1994" s="52" t="n">
        <f aca="false">ROUND(D1994*E1994,0)</f>
        <v>2138906</v>
      </c>
      <c r="G1994" s="49" t="s">
        <v>329</v>
      </c>
      <c r="H1994" s="53" t="s">
        <v>305</v>
      </c>
    </row>
    <row r="1995" customFormat="false" ht="15" hidden="false" customHeight="false" outlineLevel="0" collapsed="false">
      <c r="A1995" s="49" t="s">
        <v>143</v>
      </c>
      <c r="B1995" s="29" t="s">
        <v>330</v>
      </c>
      <c r="C1995" s="49" t="s">
        <v>331</v>
      </c>
      <c r="D1995" s="50" t="n">
        <v>8.4</v>
      </c>
      <c r="E1995" s="51" t="n">
        <f aca="false">'Analisa Harga Satuan'!$F$330</f>
        <v>398959</v>
      </c>
      <c r="F1995" s="52" t="n">
        <f aca="false">ROUND(D1995*E1995,0)</f>
        <v>3351256</v>
      </c>
      <c r="G1995" s="49" t="s">
        <v>332</v>
      </c>
      <c r="H1995" s="53" t="s">
        <v>305</v>
      </c>
    </row>
    <row r="1996" customFormat="false" ht="15" hidden="false" customHeight="false" outlineLevel="0" collapsed="false">
      <c r="A1996" s="60" t="s">
        <v>102</v>
      </c>
      <c r="B1996" s="61" t="s">
        <v>1580</v>
      </c>
    </row>
    <row r="1997" customFormat="false" ht="15" hidden="false" customHeight="false" outlineLevel="0" collapsed="false">
      <c r="A1997" s="49" t="s">
        <v>139</v>
      </c>
      <c r="B1997" s="29" t="s">
        <v>1565</v>
      </c>
      <c r="C1997" s="49" t="s">
        <v>303</v>
      </c>
      <c r="D1997" s="50" t="n">
        <v>0.33</v>
      </c>
      <c r="E1997" s="51" t="n">
        <f aca="false">'Analisa Harga Satuan'!$F$272</f>
        <v>1747048</v>
      </c>
      <c r="F1997" s="52" t="n">
        <f aca="false">ROUND(D1997*E1997,0)</f>
        <v>576526</v>
      </c>
      <c r="G1997" s="49" t="s">
        <v>351</v>
      </c>
      <c r="H1997" s="53" t="s">
        <v>305</v>
      </c>
    </row>
    <row r="1998" customFormat="false" ht="15" hidden="false" customHeight="false" outlineLevel="0" collapsed="false">
      <c r="A1998" s="49" t="s">
        <v>141</v>
      </c>
      <c r="B1998" s="29" t="s">
        <v>327</v>
      </c>
      <c r="C1998" s="49" t="s">
        <v>328</v>
      </c>
      <c r="D1998" s="50" t="n">
        <v>70.06</v>
      </c>
      <c r="E1998" s="51" t="n">
        <f aca="false">'Analisa Harga Satuan'!$F$310</f>
        <v>23191</v>
      </c>
      <c r="F1998" s="52" t="n">
        <f aca="false">ROUND(D1998*E1998,0)</f>
        <v>1624761</v>
      </c>
      <c r="G1998" s="49" t="s">
        <v>329</v>
      </c>
      <c r="H1998" s="53" t="s">
        <v>305</v>
      </c>
    </row>
    <row r="1999" customFormat="false" ht="15" hidden="false" customHeight="false" outlineLevel="0" collapsed="false">
      <c r="A1999" s="49" t="s">
        <v>143</v>
      </c>
      <c r="B1999" s="29" t="s">
        <v>330</v>
      </c>
      <c r="C1999" s="49" t="s">
        <v>331</v>
      </c>
      <c r="D1999" s="50" t="n">
        <v>6.14</v>
      </c>
      <c r="E1999" s="51" t="n">
        <f aca="false">'Analisa Harga Satuan'!$F$330</f>
        <v>398959</v>
      </c>
      <c r="F1999" s="52" t="n">
        <f aca="false">ROUND(D1999*E1999,0)</f>
        <v>2449608</v>
      </c>
      <c r="G1999" s="49" t="s">
        <v>332</v>
      </c>
      <c r="H1999" s="53" t="s">
        <v>305</v>
      </c>
    </row>
    <row r="2000" customFormat="false" ht="15" hidden="false" customHeight="false" outlineLevel="0" collapsed="false">
      <c r="A2000" s="60" t="s">
        <v>111</v>
      </c>
      <c r="B2000" s="61" t="s">
        <v>365</v>
      </c>
    </row>
    <row r="2001" customFormat="false" ht="15" hidden="false" customHeight="false" outlineLevel="0" collapsed="false">
      <c r="A2001" s="49" t="s">
        <v>139</v>
      </c>
      <c r="B2001" s="29" t="s">
        <v>366</v>
      </c>
      <c r="C2001" s="49" t="s">
        <v>367</v>
      </c>
      <c r="D2001" s="50" t="n">
        <v>9.12</v>
      </c>
      <c r="E2001" s="51" t="n">
        <f aca="false">'Analisa Harga Satuan'!$F$355</f>
        <v>246954</v>
      </c>
      <c r="F2001" s="52" t="n">
        <f aca="false">ROUND(D2001*E2001,0)</f>
        <v>2252220</v>
      </c>
      <c r="G2001" s="49" t="s">
        <v>368</v>
      </c>
      <c r="H2001" s="53" t="s">
        <v>305</v>
      </c>
    </row>
    <row r="2002" customFormat="false" ht="25.5" hidden="false" customHeight="true" outlineLevel="0" collapsed="false">
      <c r="A2002" s="49" t="s">
        <v>141</v>
      </c>
      <c r="B2002" s="29" t="s">
        <v>369</v>
      </c>
      <c r="C2002" s="49" t="s">
        <v>367</v>
      </c>
      <c r="D2002" s="50" t="n">
        <v>14.34</v>
      </c>
      <c r="E2002" s="51" t="n">
        <f aca="false">'Analisa Harga Satuan'!$F$366</f>
        <v>238292</v>
      </c>
      <c r="F2002" s="52" t="n">
        <f aca="false">ROUND(D2002*E2002,0)</f>
        <v>3417107</v>
      </c>
      <c r="G2002" s="49" t="s">
        <v>370</v>
      </c>
      <c r="H2002" s="53" t="s">
        <v>305</v>
      </c>
    </row>
    <row r="2003" customFormat="false" ht="15" hidden="false" customHeight="false" outlineLevel="0" collapsed="false">
      <c r="A2003" s="60" t="s">
        <v>1134</v>
      </c>
      <c r="B2003" s="61" t="s">
        <v>1581</v>
      </c>
    </row>
    <row r="2004" customFormat="false" ht="15" hidden="false" customHeight="false" outlineLevel="0" collapsed="false">
      <c r="A2004" s="60" t="s">
        <v>1582</v>
      </c>
      <c r="B2004" s="61" t="s">
        <v>393</v>
      </c>
    </row>
    <row r="2005" customFormat="false" ht="15" hidden="false" customHeight="false" outlineLevel="0" collapsed="false">
      <c r="A2005" s="49" t="s">
        <v>139</v>
      </c>
      <c r="B2005" s="29" t="s">
        <v>395</v>
      </c>
      <c r="C2005" s="49" t="s">
        <v>331</v>
      </c>
      <c r="D2005" s="50" t="n">
        <v>19.74</v>
      </c>
      <c r="E2005" s="51" t="n">
        <f aca="false">'Analisa Harga Satuan'!$F$416</f>
        <v>265023</v>
      </c>
      <c r="F2005" s="52" t="n">
        <f aca="false">ROUND(D2005*E2005,0)</f>
        <v>5231554</v>
      </c>
      <c r="G2005" s="49" t="s">
        <v>396</v>
      </c>
      <c r="H2005" s="53" t="s">
        <v>305</v>
      </c>
    </row>
    <row r="2006" customFormat="false" ht="15" hidden="false" customHeight="false" outlineLevel="0" collapsed="false">
      <c r="A2006" s="49" t="s">
        <v>141</v>
      </c>
      <c r="B2006" s="29" t="s">
        <v>397</v>
      </c>
      <c r="C2006" s="49" t="s">
        <v>328</v>
      </c>
      <c r="D2006" s="50" t="n">
        <v>28.04</v>
      </c>
      <c r="E2006" s="51" t="n">
        <f aca="false">'Analisa Harga Satuan'!$F$310</f>
        <v>23191</v>
      </c>
      <c r="F2006" s="52" t="n">
        <f aca="false">ROUND(D2006*E2006,0)</f>
        <v>650276</v>
      </c>
      <c r="G2006" s="49" t="s">
        <v>329</v>
      </c>
      <c r="H2006" s="53" t="s">
        <v>305</v>
      </c>
    </row>
    <row r="2007" customFormat="false" ht="15" hidden="false" customHeight="false" outlineLevel="0" collapsed="false">
      <c r="A2007" s="49" t="s">
        <v>143</v>
      </c>
      <c r="B2007" s="29" t="s">
        <v>398</v>
      </c>
      <c r="C2007" s="49" t="s">
        <v>331</v>
      </c>
      <c r="D2007" s="50" t="n">
        <v>39.48</v>
      </c>
      <c r="E2007" s="51" t="n">
        <f aca="false">'Analisa Harga Satuan'!$F$432</f>
        <v>103703</v>
      </c>
      <c r="F2007" s="52" t="n">
        <f aca="false">ROUND(D2007*E2007,0)</f>
        <v>4094194</v>
      </c>
      <c r="G2007" s="49" t="s">
        <v>399</v>
      </c>
      <c r="H2007" s="53" t="s">
        <v>305</v>
      </c>
    </row>
    <row r="2008" customFormat="false" ht="15" hidden="false" customHeight="false" outlineLevel="0" collapsed="false">
      <c r="A2008" s="49" t="s">
        <v>145</v>
      </c>
      <c r="B2008" s="29" t="s">
        <v>1020</v>
      </c>
      <c r="C2008" s="49" t="s">
        <v>331</v>
      </c>
      <c r="D2008" s="50" t="n">
        <v>15.44</v>
      </c>
      <c r="E2008" s="51" t="n">
        <f aca="false">'Analisa Harga Satuan'!$F$432</f>
        <v>103703</v>
      </c>
      <c r="F2008" s="52" t="n">
        <f aca="false">ROUND(D2008*E2008,0)</f>
        <v>1601174</v>
      </c>
      <c r="G2008" s="49" t="s">
        <v>399</v>
      </c>
      <c r="H2008" s="53" t="s">
        <v>305</v>
      </c>
    </row>
    <row r="2009" customFormat="false" ht="15" hidden="false" customHeight="false" outlineLevel="0" collapsed="false">
      <c r="A2009" s="49" t="s">
        <v>147</v>
      </c>
      <c r="B2009" s="29" t="s">
        <v>1021</v>
      </c>
      <c r="C2009" s="49" t="s">
        <v>331</v>
      </c>
      <c r="D2009" s="50" t="n">
        <v>54.92</v>
      </c>
      <c r="E2009" s="51" t="n">
        <f aca="false">'Analisa Harga Satuan'!$F$479</f>
        <v>58982</v>
      </c>
      <c r="F2009" s="52" t="n">
        <f aca="false">ROUND(D2009*E2009,0)</f>
        <v>3239291</v>
      </c>
      <c r="G2009" s="49" t="s">
        <v>403</v>
      </c>
      <c r="H2009" s="53" t="s">
        <v>305</v>
      </c>
    </row>
    <row r="2010" customFormat="false" ht="15" hidden="false" customHeight="false" outlineLevel="0" collapsed="false">
      <c r="A2010" s="60" t="s">
        <v>1583</v>
      </c>
      <c r="B2010" s="61" t="s">
        <v>436</v>
      </c>
    </row>
    <row r="2011" customFormat="false" ht="15" hidden="false" customHeight="false" outlineLevel="0" collapsed="false">
      <c r="A2011" s="49" t="s">
        <v>139</v>
      </c>
      <c r="B2011" s="29" t="s">
        <v>1584</v>
      </c>
      <c r="C2011" s="49" t="s">
        <v>331</v>
      </c>
      <c r="D2011" s="50" t="n">
        <v>7.49</v>
      </c>
      <c r="E2011" s="51" t="n">
        <f aca="false">'Analisa Harga Satuan'!$H$1039</f>
        <v>147840</v>
      </c>
      <c r="F2011" s="52" t="n">
        <f aca="false">ROUND(D2011*E2011,0)</f>
        <v>1107322</v>
      </c>
      <c r="G2011" s="49" t="s">
        <v>1037</v>
      </c>
      <c r="H2011" s="53" t="s">
        <v>181</v>
      </c>
    </row>
    <row r="2012" customFormat="false" ht="15" hidden="false" customHeight="false" outlineLevel="0" collapsed="false">
      <c r="A2012" s="49" t="s">
        <v>141</v>
      </c>
      <c r="B2012" s="29" t="s">
        <v>1585</v>
      </c>
      <c r="C2012" s="49" t="s">
        <v>331</v>
      </c>
      <c r="D2012" s="50" t="n">
        <v>7.49</v>
      </c>
      <c r="E2012" s="51" t="n">
        <f aca="false">'Analisa Harga Satuan'!$H$1040</f>
        <v>433070</v>
      </c>
      <c r="F2012" s="52" t="n">
        <f aca="false">ROUND(D2012*E2012,0)</f>
        <v>3243694</v>
      </c>
      <c r="G2012" s="49" t="s">
        <v>1039</v>
      </c>
      <c r="H2012" s="53" t="s">
        <v>181</v>
      </c>
    </row>
    <row r="2013" customFormat="false" ht="15" hidden="false" customHeight="false" outlineLevel="0" collapsed="false">
      <c r="A2013" s="60" t="s">
        <v>1586</v>
      </c>
      <c r="B2013" s="61" t="s">
        <v>1587</v>
      </c>
    </row>
    <row r="2014" customFormat="false" ht="15" hidden="false" customHeight="false" outlineLevel="0" collapsed="false">
      <c r="A2014" s="49" t="s">
        <v>139</v>
      </c>
      <c r="B2014" s="29" t="s">
        <v>1588</v>
      </c>
      <c r="C2014" s="49" t="s">
        <v>183</v>
      </c>
      <c r="D2014" s="50" t="n">
        <v>1</v>
      </c>
      <c r="E2014" s="51" t="n">
        <f aca="false">'Analisa Harga Satuan'!$H$1145</f>
        <v>3801600</v>
      </c>
      <c r="F2014" s="52" t="n">
        <f aca="false">ROUND(D2014*E2014,0)</f>
        <v>3801600</v>
      </c>
      <c r="G2014" s="49" t="s">
        <v>1589</v>
      </c>
      <c r="H2014" s="53" t="s">
        <v>189</v>
      </c>
    </row>
    <row r="2015" customFormat="false" ht="15" hidden="false" customHeight="false" outlineLevel="0" collapsed="false">
      <c r="A2015" s="49" t="s">
        <v>141</v>
      </c>
      <c r="B2015" s="29" t="s">
        <v>1590</v>
      </c>
      <c r="C2015" s="49" t="s">
        <v>183</v>
      </c>
      <c r="D2015" s="50" t="n">
        <v>1</v>
      </c>
      <c r="E2015" s="51" t="n">
        <f aca="false">'Analisa Harga Satuan'!$H$1146</f>
        <v>1485000</v>
      </c>
      <c r="F2015" s="52" t="n">
        <f aca="false">ROUND(D2015*E2015,0)</f>
        <v>1485000</v>
      </c>
      <c r="G2015" s="49" t="s">
        <v>1591</v>
      </c>
      <c r="H2015" s="53" t="s">
        <v>189</v>
      </c>
    </row>
    <row r="2016" customFormat="false" ht="15" hidden="false" customHeight="false" outlineLevel="0" collapsed="false">
      <c r="A2016" s="49" t="s">
        <v>143</v>
      </c>
      <c r="B2016" s="29" t="s">
        <v>1592</v>
      </c>
      <c r="C2016" s="49" t="s">
        <v>183</v>
      </c>
      <c r="D2016" s="50" t="n">
        <v>2</v>
      </c>
      <c r="E2016" s="51" t="n">
        <f aca="false">'Analisa Harga Satuan'!$H$1147</f>
        <v>1722600</v>
      </c>
      <c r="F2016" s="52" t="n">
        <f aca="false">ROUND(D2016*E2016,0)</f>
        <v>3445200</v>
      </c>
      <c r="G2016" s="49" t="s">
        <v>1593</v>
      </c>
      <c r="H2016" s="53" t="s">
        <v>189</v>
      </c>
    </row>
    <row r="2017" customFormat="false" ht="15" hidden="false" customHeight="false" outlineLevel="0" collapsed="false">
      <c r="A2017" s="49" t="s">
        <v>145</v>
      </c>
      <c r="B2017" s="29" t="s">
        <v>1594</v>
      </c>
      <c r="C2017" s="49" t="s">
        <v>183</v>
      </c>
      <c r="D2017" s="50" t="n">
        <v>1</v>
      </c>
      <c r="E2017" s="51" t="n">
        <f aca="false">'Analisa Harga Satuan'!$H$1148</f>
        <v>2136750</v>
      </c>
      <c r="F2017" s="52" t="n">
        <f aca="false">ROUND(D2017*E2017,0)</f>
        <v>2136750</v>
      </c>
      <c r="G2017" s="49" t="s">
        <v>1595</v>
      </c>
      <c r="H2017" s="53" t="s">
        <v>181</v>
      </c>
    </row>
    <row r="2018" customFormat="false" ht="15" hidden="false" customHeight="false" outlineLevel="0" collapsed="false">
      <c r="A2018" s="60" t="s">
        <v>1596</v>
      </c>
      <c r="B2018" s="61" t="s">
        <v>488</v>
      </c>
    </row>
    <row r="2019" customFormat="false" ht="15" hidden="false" customHeight="false" outlineLevel="0" collapsed="false">
      <c r="A2019" s="49" t="s">
        <v>139</v>
      </c>
      <c r="B2019" s="29" t="s">
        <v>1071</v>
      </c>
      <c r="C2019" s="49" t="s">
        <v>367</v>
      </c>
      <c r="D2019" s="50" t="n">
        <v>5.43</v>
      </c>
      <c r="E2019" s="51" t="n">
        <f aca="false">'Analisa Harga Satuan'!$H$1053</f>
        <v>226875</v>
      </c>
      <c r="F2019" s="52" t="n">
        <f aca="false">ROUND(D2019*E2019,0)</f>
        <v>1231931</v>
      </c>
      <c r="G2019" s="49" t="s">
        <v>1072</v>
      </c>
      <c r="H2019" s="53" t="s">
        <v>181</v>
      </c>
    </row>
    <row r="2020" customFormat="false" ht="15" hidden="false" customHeight="false" outlineLevel="0" collapsed="false">
      <c r="A2020" s="49" t="s">
        <v>141</v>
      </c>
      <c r="B2020" s="29" t="s">
        <v>1597</v>
      </c>
      <c r="C2020" s="49" t="s">
        <v>331</v>
      </c>
      <c r="D2020" s="50" t="n">
        <v>22.45</v>
      </c>
      <c r="E2020" s="51" t="n">
        <f aca="false">'Analisa Harga Satuan'!$H$1149</f>
        <v>543125</v>
      </c>
      <c r="F2020" s="52" t="n">
        <f aca="false">ROUND(D2020*E2020,0)</f>
        <v>12193156</v>
      </c>
      <c r="G2020" s="49" t="s">
        <v>1598</v>
      </c>
      <c r="H2020" s="53" t="s">
        <v>181</v>
      </c>
    </row>
    <row r="2021" customFormat="false" ht="15" hidden="false" customHeight="false" outlineLevel="0" collapsed="false">
      <c r="A2021" s="60" t="s">
        <v>1599</v>
      </c>
      <c r="B2021" s="61" t="s">
        <v>500</v>
      </c>
    </row>
    <row r="2022" customFormat="false" ht="15" hidden="false" customHeight="false" outlineLevel="0" collapsed="false">
      <c r="A2022" s="49" t="s">
        <v>139</v>
      </c>
      <c r="B2022" s="29" t="s">
        <v>501</v>
      </c>
      <c r="C2022" s="49" t="s">
        <v>331</v>
      </c>
      <c r="D2022" s="50" t="n">
        <v>27.46</v>
      </c>
      <c r="E2022" s="51" t="n">
        <f aca="false">'Analisa Harga Satuan'!$F$711</f>
        <v>38744</v>
      </c>
      <c r="F2022" s="52" t="n">
        <f aca="false">ROUND(D2022*E2022,0)</f>
        <v>1063910</v>
      </c>
      <c r="G2022" s="49" t="s">
        <v>502</v>
      </c>
      <c r="H2022" s="53" t="s">
        <v>305</v>
      </c>
    </row>
    <row r="2023" customFormat="false" ht="15" hidden="false" customHeight="false" outlineLevel="0" collapsed="false">
      <c r="A2023" s="49" t="s">
        <v>141</v>
      </c>
      <c r="B2023" s="29" t="s">
        <v>1600</v>
      </c>
      <c r="C2023" s="49" t="s">
        <v>331</v>
      </c>
      <c r="D2023" s="50" t="n">
        <v>27.46</v>
      </c>
      <c r="E2023" s="51" t="n">
        <f aca="false">'Analisa Harga Satuan'!$F$729</f>
        <v>47896</v>
      </c>
      <c r="F2023" s="52" t="n">
        <f aca="false">ROUND(D2023*E2023,0)</f>
        <v>1315224</v>
      </c>
      <c r="G2023" s="49" t="s">
        <v>504</v>
      </c>
      <c r="H2023" s="53" t="s">
        <v>305</v>
      </c>
    </row>
    <row r="2024" customFormat="false" ht="15" hidden="false" customHeight="false" outlineLevel="0" collapsed="false">
      <c r="A2024" s="60" t="s">
        <v>1601</v>
      </c>
      <c r="B2024" s="61" t="s">
        <v>1602</v>
      </c>
    </row>
    <row r="2025" customFormat="false" ht="15" hidden="false" customHeight="false" outlineLevel="0" collapsed="false">
      <c r="A2025" s="49" t="s">
        <v>139</v>
      </c>
      <c r="B2025" s="29" t="s">
        <v>1603</v>
      </c>
      <c r="C2025" s="49" t="s">
        <v>183</v>
      </c>
      <c r="D2025" s="50" t="n">
        <v>3</v>
      </c>
      <c r="E2025" s="51" t="n">
        <f aca="false">'Analisa Harga Satuan'!$H$1150</f>
        <v>2035000</v>
      </c>
      <c r="F2025" s="52" t="n">
        <f aca="false">ROUND(D2025*E2025,0)</f>
        <v>6105000</v>
      </c>
      <c r="G2025" s="49" t="s">
        <v>1604</v>
      </c>
      <c r="H2025" s="53" t="s">
        <v>181</v>
      </c>
    </row>
    <row r="2026" customFormat="false" ht="15" hidden="false" customHeight="false" outlineLevel="0" collapsed="false">
      <c r="A2026" s="49" t="s">
        <v>141</v>
      </c>
      <c r="B2026" s="29" t="s">
        <v>1605</v>
      </c>
      <c r="C2026" s="49" t="s">
        <v>183</v>
      </c>
      <c r="D2026" s="50" t="n">
        <v>1</v>
      </c>
      <c r="E2026" s="51" t="n">
        <f aca="false">'Analisa Harga Satuan'!$H$1151</f>
        <v>1375000</v>
      </c>
      <c r="F2026" s="52" t="n">
        <f aca="false">ROUND(D2026*E2026,0)</f>
        <v>1375000</v>
      </c>
      <c r="G2026" s="49" t="s">
        <v>1606</v>
      </c>
      <c r="H2026" s="53" t="s">
        <v>181</v>
      </c>
    </row>
    <row r="2027" customFormat="false" ht="15" hidden="false" customHeight="false" outlineLevel="0" collapsed="false">
      <c r="A2027" s="60" t="s">
        <v>1607</v>
      </c>
      <c r="B2027" s="61" t="s">
        <v>1094</v>
      </c>
    </row>
    <row r="2028" customFormat="false" ht="15" hidden="false" customHeight="false" outlineLevel="0" collapsed="false">
      <c r="A2028" s="49" t="s">
        <v>139</v>
      </c>
      <c r="B2028" s="29" t="s">
        <v>1608</v>
      </c>
      <c r="C2028" s="49" t="s">
        <v>520</v>
      </c>
      <c r="D2028" s="50" t="n">
        <v>1</v>
      </c>
      <c r="E2028" s="51" t="n">
        <f aca="false">'Analisa Harga Satuan'!$H$1059</f>
        <v>1149500</v>
      </c>
      <c r="F2028" s="52" t="n">
        <f aca="false">ROUND(D2028*E2028,0)</f>
        <v>1149500</v>
      </c>
      <c r="G2028" s="49" t="s">
        <v>1096</v>
      </c>
      <c r="H2028" s="53" t="s">
        <v>181</v>
      </c>
    </row>
    <row r="2029" customFormat="false" ht="15" hidden="false" customHeight="false" outlineLevel="0" collapsed="false">
      <c r="A2029" s="49" t="s">
        <v>141</v>
      </c>
      <c r="B2029" s="29" t="s">
        <v>1609</v>
      </c>
      <c r="C2029" s="49" t="s">
        <v>520</v>
      </c>
      <c r="D2029" s="50" t="n">
        <v>1</v>
      </c>
      <c r="E2029" s="51" t="n">
        <f aca="false">'Analisa Harga Satuan'!$H$1060</f>
        <v>465850</v>
      </c>
      <c r="F2029" s="52" t="n">
        <f aca="false">ROUND(D2029*E2029,0)</f>
        <v>465850</v>
      </c>
      <c r="G2029" s="49" t="s">
        <v>1098</v>
      </c>
      <c r="H2029" s="53" t="s">
        <v>181</v>
      </c>
    </row>
    <row r="2030" customFormat="false" ht="15" hidden="false" customHeight="false" outlineLevel="0" collapsed="false">
      <c r="A2030" s="60" t="s">
        <v>1610</v>
      </c>
      <c r="B2030" s="61" t="s">
        <v>820</v>
      </c>
    </row>
    <row r="2031" customFormat="false" ht="15" hidden="false" customHeight="false" outlineLevel="0" collapsed="false">
      <c r="A2031" s="49" t="s">
        <v>139</v>
      </c>
      <c r="B2031" s="29" t="s">
        <v>824</v>
      </c>
      <c r="C2031" s="49" t="s">
        <v>206</v>
      </c>
      <c r="D2031" s="50" t="n">
        <v>2</v>
      </c>
      <c r="E2031" s="51" t="n">
        <f aca="false">'Analisa Harga Satuan'!$H$978</f>
        <v>170775</v>
      </c>
      <c r="F2031" s="52" t="n">
        <f aca="false">ROUND(D2031*E2031,0)</f>
        <v>341550</v>
      </c>
      <c r="G2031" s="49" t="s">
        <v>825</v>
      </c>
      <c r="H2031" s="53" t="s">
        <v>181</v>
      </c>
    </row>
    <row r="2032" customFormat="false" ht="15" hidden="false" customHeight="false" outlineLevel="0" collapsed="false">
      <c r="A2032" s="49" t="s">
        <v>141</v>
      </c>
      <c r="B2032" s="29" t="s">
        <v>830</v>
      </c>
      <c r="C2032" s="49" t="s">
        <v>206</v>
      </c>
      <c r="D2032" s="50" t="n">
        <v>1</v>
      </c>
      <c r="E2032" s="51" t="n">
        <f aca="false">'Analisa Harga Satuan'!$H$981</f>
        <v>72600</v>
      </c>
      <c r="F2032" s="52" t="n">
        <f aca="false">ROUND(D2032*E2032,0)</f>
        <v>72600</v>
      </c>
      <c r="G2032" s="49" t="s">
        <v>831</v>
      </c>
      <c r="H2032" s="53" t="s">
        <v>181</v>
      </c>
    </row>
    <row r="2033" customFormat="false" ht="15" hidden="false" customHeight="false" outlineLevel="0" collapsed="false">
      <c r="A2033" s="49" t="s">
        <v>143</v>
      </c>
      <c r="B2033" s="29" t="s">
        <v>834</v>
      </c>
      <c r="C2033" s="49" t="s">
        <v>206</v>
      </c>
      <c r="D2033" s="50" t="n">
        <v>1</v>
      </c>
      <c r="E2033" s="51" t="n">
        <f aca="false">'Analisa Harga Satuan'!$H$983</f>
        <v>81840</v>
      </c>
      <c r="F2033" s="52" t="n">
        <f aca="false">ROUND(D2033*E2033,0)</f>
        <v>81840</v>
      </c>
      <c r="G2033" s="49" t="s">
        <v>835</v>
      </c>
      <c r="H2033" s="53" t="s">
        <v>181</v>
      </c>
    </row>
    <row r="2034" customFormat="false" ht="15" hidden="false" customHeight="false" outlineLevel="0" collapsed="false">
      <c r="A2034" s="49" t="s">
        <v>145</v>
      </c>
      <c r="B2034" s="29" t="s">
        <v>838</v>
      </c>
      <c r="C2034" s="49" t="s">
        <v>784</v>
      </c>
      <c r="D2034" s="50" t="n">
        <v>2</v>
      </c>
      <c r="E2034" s="51" t="n">
        <f aca="false">'Analisa Harga Satuan'!$H$985</f>
        <v>236500</v>
      </c>
      <c r="F2034" s="52" t="n">
        <f aca="false">ROUND(D2034*E2034,0)</f>
        <v>473000</v>
      </c>
      <c r="G2034" s="49" t="s">
        <v>839</v>
      </c>
      <c r="H2034" s="53" t="s">
        <v>181</v>
      </c>
    </row>
    <row r="2035" customFormat="false" ht="15" hidden="false" customHeight="false" outlineLevel="0" collapsed="false">
      <c r="A2035" s="49" t="s">
        <v>147</v>
      </c>
      <c r="B2035" s="29" t="s">
        <v>840</v>
      </c>
      <c r="C2035" s="49" t="s">
        <v>784</v>
      </c>
      <c r="D2035" s="50" t="n">
        <v>1</v>
      </c>
      <c r="E2035" s="51" t="n">
        <f aca="false">'Analisa Harga Satuan'!$H$986</f>
        <v>258500</v>
      </c>
      <c r="F2035" s="52" t="n">
        <f aca="false">ROUND(D2035*E2035,0)</f>
        <v>258500</v>
      </c>
      <c r="G2035" s="49" t="s">
        <v>841</v>
      </c>
      <c r="H2035" s="53" t="s">
        <v>181</v>
      </c>
    </row>
    <row r="2036" customFormat="false" ht="15" hidden="false" customHeight="false" outlineLevel="0" collapsed="false">
      <c r="A2036" s="55"/>
      <c r="B2036" s="56" t="s">
        <v>1611</v>
      </c>
      <c r="C2036" s="55"/>
      <c r="D2036" s="55"/>
      <c r="E2036" s="55"/>
      <c r="F2036" s="27" t="n">
        <f aca="false">SUM(F1970:F2035)</f>
        <v>96076728</v>
      </c>
      <c r="G2036" s="55"/>
      <c r="H2036" s="55"/>
    </row>
    <row r="2037" customFormat="false" ht="15" hidden="false" customHeight="false" outlineLevel="0" collapsed="false">
      <c r="A2037" s="46" t="s">
        <v>1612</v>
      </c>
      <c r="B2037" s="47" t="s">
        <v>152</v>
      </c>
      <c r="C2037" s="48"/>
      <c r="D2037" s="48"/>
      <c r="E2037" s="48"/>
      <c r="F2037" s="48"/>
      <c r="G2037" s="48"/>
      <c r="H2037" s="48"/>
    </row>
    <row r="2038" customFormat="false" ht="15" hidden="false" customHeight="false" outlineLevel="0" collapsed="false">
      <c r="A2038" s="60" t="s">
        <v>1613</v>
      </c>
      <c r="B2038" s="61" t="s">
        <v>1576</v>
      </c>
    </row>
    <row r="2039" customFormat="false" ht="15" hidden="false" customHeight="false" outlineLevel="0" collapsed="false">
      <c r="A2039" s="60" t="s">
        <v>78</v>
      </c>
      <c r="B2039" s="61" t="s">
        <v>1442</v>
      </c>
    </row>
    <row r="2040" customFormat="false" ht="15" hidden="false" customHeight="false" outlineLevel="0" collapsed="false">
      <c r="A2040" s="49" t="s">
        <v>139</v>
      </c>
      <c r="B2040" s="29" t="s">
        <v>302</v>
      </c>
      <c r="C2040" s="49" t="s">
        <v>303</v>
      </c>
      <c r="D2040" s="50" t="n">
        <v>18.97</v>
      </c>
      <c r="E2040" s="51" t="n">
        <f aca="false">'Analisa Harga Satuan'!$F$17</f>
        <v>105050</v>
      </c>
      <c r="F2040" s="52" t="n">
        <f aca="false">ROUND(D2040*E2040,0)</f>
        <v>1992798</v>
      </c>
      <c r="G2040" s="49" t="s">
        <v>304</v>
      </c>
      <c r="H2040" s="53" t="s">
        <v>305</v>
      </c>
    </row>
    <row r="2041" customFormat="false" ht="15" hidden="false" customHeight="false" outlineLevel="0" collapsed="false">
      <c r="A2041" s="49" t="s">
        <v>141</v>
      </c>
      <c r="B2041" s="29" t="s">
        <v>306</v>
      </c>
      <c r="C2041" s="49" t="s">
        <v>303</v>
      </c>
      <c r="D2041" s="50" t="n">
        <v>15.33</v>
      </c>
      <c r="E2041" s="51" t="n">
        <f aca="false">'Analisa Harga Satuan'!$F$31</f>
        <v>113135</v>
      </c>
      <c r="F2041" s="52" t="n">
        <f aca="false">ROUND(D2041*E2041,0)</f>
        <v>1734360</v>
      </c>
      <c r="G2041" s="49" t="s">
        <v>307</v>
      </c>
      <c r="H2041" s="53" t="s">
        <v>305</v>
      </c>
    </row>
    <row r="2042" customFormat="false" ht="15" hidden="false" customHeight="false" outlineLevel="0" collapsed="false">
      <c r="A2042" s="49" t="s">
        <v>143</v>
      </c>
      <c r="B2042" s="29" t="s">
        <v>308</v>
      </c>
      <c r="C2042" s="49" t="s">
        <v>303</v>
      </c>
      <c r="D2042" s="50" t="n">
        <v>3.64</v>
      </c>
      <c r="E2042" s="51" t="n">
        <f aca="false">'Analisa Harga Satuan'!$F$44</f>
        <v>65175</v>
      </c>
      <c r="F2042" s="52" t="n">
        <f aca="false">ROUND(D2042*E2042,0)</f>
        <v>237237</v>
      </c>
      <c r="G2042" s="49" t="s">
        <v>309</v>
      </c>
      <c r="H2042" s="53" t="s">
        <v>305</v>
      </c>
    </row>
    <row r="2043" customFormat="false" ht="15" hidden="false" customHeight="false" outlineLevel="0" collapsed="false">
      <c r="A2043" s="60" t="s">
        <v>93</v>
      </c>
      <c r="B2043" s="61" t="s">
        <v>312</v>
      </c>
    </row>
    <row r="2044" customFormat="false" ht="15" hidden="false" customHeight="false" outlineLevel="0" collapsed="false">
      <c r="A2044" s="49" t="s">
        <v>139</v>
      </c>
      <c r="B2044" s="29" t="s">
        <v>313</v>
      </c>
      <c r="C2044" s="49" t="s">
        <v>303</v>
      </c>
      <c r="D2044" s="50" t="n">
        <v>15.28</v>
      </c>
      <c r="E2044" s="51" t="n">
        <f aca="false">'Analisa Harga Satuan'!$F$73</f>
        <v>211750</v>
      </c>
      <c r="F2044" s="52" t="n">
        <f aca="false">ROUND(D2044*E2044,0)</f>
        <v>3235540</v>
      </c>
      <c r="G2044" s="49" t="s">
        <v>314</v>
      </c>
      <c r="H2044" s="53" t="s">
        <v>305</v>
      </c>
    </row>
    <row r="2045" customFormat="false" ht="15" hidden="false" customHeight="false" outlineLevel="0" collapsed="false">
      <c r="A2045" s="49" t="s">
        <v>141</v>
      </c>
      <c r="B2045" s="29" t="s">
        <v>315</v>
      </c>
      <c r="C2045" s="49" t="s">
        <v>303</v>
      </c>
      <c r="D2045" s="50" t="n">
        <v>15.28</v>
      </c>
      <c r="E2045" s="51" t="n">
        <f aca="false">'Analisa Harga Satuan'!$F$89</f>
        <v>25355</v>
      </c>
      <c r="F2045" s="52" t="n">
        <f aca="false">ROUND(D2045*E2045,0)</f>
        <v>387424</v>
      </c>
      <c r="G2045" s="49" t="s">
        <v>316</v>
      </c>
      <c r="H2045" s="53" t="s">
        <v>305</v>
      </c>
    </row>
    <row r="2046" customFormat="false" ht="15" hidden="false" customHeight="false" outlineLevel="0" collapsed="false">
      <c r="A2046" s="49" t="s">
        <v>143</v>
      </c>
      <c r="B2046" s="29" t="s">
        <v>310</v>
      </c>
      <c r="C2046" s="49" t="s">
        <v>303</v>
      </c>
      <c r="D2046" s="50" t="n">
        <v>0.9</v>
      </c>
      <c r="E2046" s="51" t="n">
        <f aca="false">'Analisa Harga Satuan'!$F$57</f>
        <v>470250</v>
      </c>
      <c r="F2046" s="52" t="n">
        <f aca="false">ROUND(D2046*E2046,0)</f>
        <v>423225</v>
      </c>
      <c r="G2046" s="49" t="s">
        <v>311</v>
      </c>
      <c r="H2046" s="53" t="s">
        <v>305</v>
      </c>
    </row>
    <row r="2047" customFormat="false" ht="15" hidden="false" customHeight="false" outlineLevel="0" collapsed="false">
      <c r="A2047" s="60" t="s">
        <v>78</v>
      </c>
      <c r="B2047" s="61" t="s">
        <v>1273</v>
      </c>
    </row>
    <row r="2048" customFormat="false" ht="15" hidden="false" customHeight="false" outlineLevel="0" collapsed="false">
      <c r="A2048" s="49" t="s">
        <v>139</v>
      </c>
      <c r="B2048" s="29" t="s">
        <v>310</v>
      </c>
      <c r="C2048" s="49" t="s">
        <v>303</v>
      </c>
      <c r="D2048" s="50" t="n">
        <v>0.95</v>
      </c>
      <c r="E2048" s="51" t="n">
        <f aca="false">'Analisa Harga Satuan'!$F$57</f>
        <v>470250</v>
      </c>
      <c r="F2048" s="52" t="n">
        <f aca="false">ROUND(D2048*E2048,0)</f>
        <v>446738</v>
      </c>
      <c r="G2048" s="49" t="s">
        <v>311</v>
      </c>
      <c r="H2048" s="53" t="s">
        <v>305</v>
      </c>
    </row>
    <row r="2049" customFormat="false" ht="15" hidden="false" customHeight="false" outlineLevel="0" collapsed="false">
      <c r="A2049" s="49" t="s">
        <v>141</v>
      </c>
      <c r="B2049" s="29" t="s">
        <v>1347</v>
      </c>
      <c r="C2049" s="49" t="s">
        <v>303</v>
      </c>
      <c r="D2049" s="50" t="n">
        <v>3.79</v>
      </c>
      <c r="E2049" s="51" t="n">
        <f aca="false">'Analisa Harga Satuan'!$F$172</f>
        <v>832128</v>
      </c>
      <c r="F2049" s="52" t="n">
        <f aca="false">ROUND(D2049*E2049,0)</f>
        <v>3153765</v>
      </c>
      <c r="G2049" s="49" t="s">
        <v>1348</v>
      </c>
      <c r="H2049" s="53" t="s">
        <v>305</v>
      </c>
    </row>
    <row r="2050" customFormat="false" ht="15" hidden="false" customHeight="false" outlineLevel="0" collapsed="false">
      <c r="A2050" s="49" t="s">
        <v>143</v>
      </c>
      <c r="B2050" s="29" t="s">
        <v>1274</v>
      </c>
      <c r="C2050" s="49" t="s">
        <v>303</v>
      </c>
      <c r="D2050" s="50" t="n">
        <v>8.39</v>
      </c>
      <c r="E2050" s="51" t="n">
        <f aca="false">'Analisa Harga Satuan'!$F$189</f>
        <v>1456103</v>
      </c>
      <c r="F2050" s="52" t="n">
        <f aca="false">ROUND(D2050*E2050,0)</f>
        <v>12216704</v>
      </c>
      <c r="G2050" s="49" t="s">
        <v>339</v>
      </c>
      <c r="H2050" s="53" t="s">
        <v>305</v>
      </c>
    </row>
    <row r="2051" customFormat="false" ht="15" hidden="false" customHeight="false" outlineLevel="0" collapsed="false">
      <c r="A2051" s="60" t="s">
        <v>93</v>
      </c>
      <c r="B2051" s="61" t="s">
        <v>1614</v>
      </c>
    </row>
    <row r="2052" customFormat="false" ht="15" hidden="false" customHeight="false" outlineLevel="0" collapsed="false">
      <c r="A2052" s="49" t="s">
        <v>139</v>
      </c>
      <c r="B2052" s="29" t="s">
        <v>1565</v>
      </c>
      <c r="C2052" s="49" t="s">
        <v>303</v>
      </c>
      <c r="D2052" s="50" t="n">
        <v>0.9</v>
      </c>
      <c r="E2052" s="51" t="n">
        <f aca="false">'Analisa Harga Satuan'!$F$272</f>
        <v>1747048</v>
      </c>
      <c r="F2052" s="52" t="n">
        <f aca="false">ROUND(D2052*E2052,0)</f>
        <v>1572343</v>
      </c>
      <c r="G2052" s="49" t="s">
        <v>351</v>
      </c>
      <c r="H2052" s="53" t="s">
        <v>305</v>
      </c>
    </row>
    <row r="2053" customFormat="false" ht="15" hidden="false" customHeight="false" outlineLevel="0" collapsed="false">
      <c r="A2053" s="49" t="s">
        <v>141</v>
      </c>
      <c r="B2053" s="29" t="s">
        <v>327</v>
      </c>
      <c r="C2053" s="49" t="s">
        <v>328</v>
      </c>
      <c r="D2053" s="50" t="n">
        <v>183.09</v>
      </c>
      <c r="E2053" s="51" t="n">
        <f aca="false">'Analisa Harga Satuan'!$F$310</f>
        <v>23191</v>
      </c>
      <c r="F2053" s="52" t="n">
        <f aca="false">ROUND(D2053*E2053,0)</f>
        <v>4246040</v>
      </c>
      <c r="G2053" s="49" t="s">
        <v>329</v>
      </c>
      <c r="H2053" s="53" t="s">
        <v>305</v>
      </c>
    </row>
    <row r="2054" customFormat="false" ht="15" hidden="false" customHeight="false" outlineLevel="0" collapsed="false">
      <c r="A2054" s="49" t="s">
        <v>143</v>
      </c>
      <c r="B2054" s="29" t="s">
        <v>330</v>
      </c>
      <c r="C2054" s="49" t="s">
        <v>331</v>
      </c>
      <c r="D2054" s="50" t="n">
        <v>11.98</v>
      </c>
      <c r="E2054" s="51" t="n">
        <f aca="false">'Analisa Harga Satuan'!$F$330</f>
        <v>398959</v>
      </c>
      <c r="F2054" s="52" t="n">
        <f aca="false">ROUND(D2054*E2054,0)</f>
        <v>4779529</v>
      </c>
      <c r="G2054" s="49" t="s">
        <v>332</v>
      </c>
      <c r="H2054" s="53" t="s">
        <v>305</v>
      </c>
    </row>
    <row r="2055" customFormat="false" ht="15" hidden="false" customHeight="false" outlineLevel="0" collapsed="false">
      <c r="A2055" s="60" t="s">
        <v>1615</v>
      </c>
      <c r="B2055" s="61" t="s">
        <v>1180</v>
      </c>
    </row>
    <row r="2056" customFormat="false" ht="15" hidden="false" customHeight="false" outlineLevel="0" collapsed="false">
      <c r="A2056" s="60" t="s">
        <v>78</v>
      </c>
      <c r="B2056" s="61" t="s">
        <v>1277</v>
      </c>
    </row>
    <row r="2057" customFormat="false" ht="15" hidden="false" customHeight="false" outlineLevel="0" collapsed="false">
      <c r="A2057" s="49" t="s">
        <v>139</v>
      </c>
      <c r="B2057" s="29" t="s">
        <v>1564</v>
      </c>
      <c r="C2057" s="49" t="s">
        <v>303</v>
      </c>
      <c r="D2057" s="50" t="n">
        <v>0.96</v>
      </c>
      <c r="E2057" s="51" t="n">
        <f aca="false">'Analisa Harga Satuan'!$F$228</f>
        <v>1386820</v>
      </c>
      <c r="F2057" s="52" t="n">
        <f aca="false">ROUND(D2057*E2057,0)</f>
        <v>1331347</v>
      </c>
      <c r="G2057" s="49" t="s">
        <v>324</v>
      </c>
      <c r="H2057" s="53" t="s">
        <v>305</v>
      </c>
    </row>
    <row r="2058" customFormat="false" ht="15" hidden="false" customHeight="false" outlineLevel="0" collapsed="false">
      <c r="A2058" s="49" t="s">
        <v>141</v>
      </c>
      <c r="B2058" s="29" t="s">
        <v>1565</v>
      </c>
      <c r="C2058" s="49" t="s">
        <v>303</v>
      </c>
      <c r="D2058" s="50" t="n">
        <v>2.89</v>
      </c>
      <c r="E2058" s="51" t="n">
        <f aca="false">'Analisa Harga Satuan'!$F$272</f>
        <v>1747048</v>
      </c>
      <c r="F2058" s="52" t="n">
        <f aca="false">ROUND(D2058*E2058,0)</f>
        <v>5048969</v>
      </c>
      <c r="G2058" s="49" t="s">
        <v>351</v>
      </c>
      <c r="H2058" s="53" t="s">
        <v>305</v>
      </c>
    </row>
    <row r="2059" customFormat="false" ht="15" hidden="false" customHeight="false" outlineLevel="0" collapsed="false">
      <c r="A2059" s="49" t="s">
        <v>143</v>
      </c>
      <c r="B2059" s="29" t="s">
        <v>1578</v>
      </c>
      <c r="C2059" s="49" t="s">
        <v>328</v>
      </c>
      <c r="D2059" s="50" t="n">
        <v>104.84</v>
      </c>
      <c r="E2059" s="51" t="n">
        <f aca="false">'Analisa Harga Satuan'!$F$344</f>
        <v>26098</v>
      </c>
      <c r="F2059" s="52" t="n">
        <f aca="false">ROUND(D2059*E2059,0)</f>
        <v>2736114</v>
      </c>
      <c r="G2059" s="49" t="s">
        <v>1001</v>
      </c>
      <c r="H2059" s="53" t="s">
        <v>305</v>
      </c>
    </row>
    <row r="2060" customFormat="false" ht="15" hidden="false" customHeight="false" outlineLevel="0" collapsed="false">
      <c r="A2060" s="60" t="s">
        <v>93</v>
      </c>
      <c r="B2060" s="61" t="s">
        <v>1579</v>
      </c>
    </row>
    <row r="2061" customFormat="false" ht="15" hidden="false" customHeight="false" outlineLevel="0" collapsed="false">
      <c r="A2061" s="49" t="s">
        <v>139</v>
      </c>
      <c r="B2061" s="29" t="s">
        <v>1565</v>
      </c>
      <c r="C2061" s="49" t="s">
        <v>303</v>
      </c>
      <c r="D2061" s="50" t="n">
        <v>0.58</v>
      </c>
      <c r="E2061" s="51" t="n">
        <f aca="false">'Analisa Harga Satuan'!$F$272</f>
        <v>1747048</v>
      </c>
      <c r="F2061" s="52" t="n">
        <f aca="false">ROUND(D2061*E2061,0)</f>
        <v>1013288</v>
      </c>
      <c r="G2061" s="49" t="s">
        <v>351</v>
      </c>
      <c r="H2061" s="53" t="s">
        <v>305</v>
      </c>
    </row>
    <row r="2062" customFormat="false" ht="15" hidden="false" customHeight="false" outlineLevel="0" collapsed="false">
      <c r="A2062" s="49" t="s">
        <v>141</v>
      </c>
      <c r="B2062" s="29" t="s">
        <v>327</v>
      </c>
      <c r="C2062" s="49" t="s">
        <v>328</v>
      </c>
      <c r="D2062" s="50" t="n">
        <v>147.06</v>
      </c>
      <c r="E2062" s="51" t="n">
        <f aca="false">'Analisa Harga Satuan'!$F$310</f>
        <v>23191</v>
      </c>
      <c r="F2062" s="52" t="n">
        <f aca="false">ROUND(D2062*E2062,0)</f>
        <v>3410468</v>
      </c>
      <c r="G2062" s="49" t="s">
        <v>329</v>
      </c>
      <c r="H2062" s="53" t="s">
        <v>305</v>
      </c>
    </row>
    <row r="2063" customFormat="false" ht="15" hidden="false" customHeight="false" outlineLevel="0" collapsed="false">
      <c r="A2063" s="49" t="s">
        <v>143</v>
      </c>
      <c r="B2063" s="29" t="s">
        <v>330</v>
      </c>
      <c r="C2063" s="49" t="s">
        <v>331</v>
      </c>
      <c r="D2063" s="50" t="n">
        <v>13.44</v>
      </c>
      <c r="E2063" s="51" t="n">
        <f aca="false">'Analisa Harga Satuan'!$F$330</f>
        <v>398959</v>
      </c>
      <c r="F2063" s="52" t="n">
        <f aca="false">ROUND(D2063*E2063,0)</f>
        <v>5362009</v>
      </c>
      <c r="G2063" s="49" t="s">
        <v>332</v>
      </c>
      <c r="H2063" s="53" t="s">
        <v>305</v>
      </c>
    </row>
    <row r="2064" customFormat="false" ht="15" hidden="false" customHeight="false" outlineLevel="0" collapsed="false">
      <c r="A2064" s="60" t="s">
        <v>102</v>
      </c>
      <c r="B2064" s="61" t="s">
        <v>1580</v>
      </c>
    </row>
    <row r="2065" customFormat="false" ht="15" hidden="false" customHeight="false" outlineLevel="0" collapsed="false">
      <c r="A2065" s="49" t="s">
        <v>139</v>
      </c>
      <c r="B2065" s="29" t="s">
        <v>1565</v>
      </c>
      <c r="C2065" s="49" t="s">
        <v>303</v>
      </c>
      <c r="D2065" s="50" t="n">
        <v>0.56</v>
      </c>
      <c r="E2065" s="51" t="n">
        <f aca="false">'Analisa Harga Satuan'!$F$272</f>
        <v>1747048</v>
      </c>
      <c r="F2065" s="52" t="n">
        <f aca="false">ROUND(D2065*E2065,0)</f>
        <v>978347</v>
      </c>
      <c r="G2065" s="49" t="s">
        <v>351</v>
      </c>
      <c r="H2065" s="53" t="s">
        <v>305</v>
      </c>
    </row>
    <row r="2066" customFormat="false" ht="15" hidden="false" customHeight="false" outlineLevel="0" collapsed="false">
      <c r="A2066" s="49" t="s">
        <v>141</v>
      </c>
      <c r="B2066" s="29" t="s">
        <v>327</v>
      </c>
      <c r="C2066" s="49" t="s">
        <v>328</v>
      </c>
      <c r="D2066" s="50" t="n">
        <v>117.33</v>
      </c>
      <c r="E2066" s="51" t="n">
        <f aca="false">'Analisa Harga Satuan'!$F$310</f>
        <v>23191</v>
      </c>
      <c r="F2066" s="52" t="n">
        <f aca="false">ROUND(D2066*E2066,0)</f>
        <v>2721000</v>
      </c>
      <c r="G2066" s="49" t="s">
        <v>329</v>
      </c>
      <c r="H2066" s="53" t="s">
        <v>305</v>
      </c>
    </row>
    <row r="2067" customFormat="false" ht="15" hidden="false" customHeight="false" outlineLevel="0" collapsed="false">
      <c r="A2067" s="49" t="s">
        <v>143</v>
      </c>
      <c r="B2067" s="29" t="s">
        <v>330</v>
      </c>
      <c r="C2067" s="49" t="s">
        <v>331</v>
      </c>
      <c r="D2067" s="50" t="n">
        <v>10.32</v>
      </c>
      <c r="E2067" s="51" t="n">
        <f aca="false">'Analisa Harga Satuan'!$F$330</f>
        <v>398959</v>
      </c>
      <c r="F2067" s="52" t="n">
        <f aca="false">ROUND(D2067*E2067,0)</f>
        <v>4117257</v>
      </c>
      <c r="G2067" s="49" t="s">
        <v>332</v>
      </c>
      <c r="H2067" s="53" t="s">
        <v>305</v>
      </c>
    </row>
    <row r="2068" customFormat="false" ht="15" hidden="false" customHeight="false" outlineLevel="0" collapsed="false">
      <c r="A2068" s="60" t="s">
        <v>111</v>
      </c>
      <c r="B2068" s="61" t="s">
        <v>360</v>
      </c>
    </row>
    <row r="2069" customFormat="false" ht="15" hidden="false" customHeight="false" outlineLevel="0" collapsed="false">
      <c r="A2069" s="49" t="s">
        <v>139</v>
      </c>
      <c r="B2069" s="29" t="s">
        <v>1565</v>
      </c>
      <c r="C2069" s="49" t="s">
        <v>303</v>
      </c>
      <c r="D2069" s="50" t="n">
        <v>0.14</v>
      </c>
      <c r="E2069" s="51" t="n">
        <f aca="false">'Analisa Harga Satuan'!$F$272</f>
        <v>1747048</v>
      </c>
      <c r="F2069" s="52" t="n">
        <f aca="false">ROUND(D2069*E2069,0)</f>
        <v>244587</v>
      </c>
      <c r="G2069" s="49" t="s">
        <v>351</v>
      </c>
      <c r="H2069" s="53" t="s">
        <v>305</v>
      </c>
    </row>
    <row r="2070" customFormat="false" ht="15" hidden="false" customHeight="false" outlineLevel="0" collapsed="false">
      <c r="A2070" s="49" t="s">
        <v>141</v>
      </c>
      <c r="B2070" s="29" t="s">
        <v>327</v>
      </c>
      <c r="C2070" s="49" t="s">
        <v>328</v>
      </c>
      <c r="D2070" s="50" t="n">
        <v>7.36</v>
      </c>
      <c r="E2070" s="51" t="n">
        <f aca="false">'Analisa Harga Satuan'!$F$310</f>
        <v>23191</v>
      </c>
      <c r="F2070" s="52" t="n">
        <f aca="false">ROUND(D2070*E2070,0)</f>
        <v>170686</v>
      </c>
      <c r="G2070" s="49" t="s">
        <v>329</v>
      </c>
      <c r="H2070" s="53" t="s">
        <v>305</v>
      </c>
    </row>
    <row r="2071" customFormat="false" ht="15" hidden="false" customHeight="false" outlineLevel="0" collapsed="false">
      <c r="A2071" s="49" t="s">
        <v>143</v>
      </c>
      <c r="B2071" s="29" t="s">
        <v>330</v>
      </c>
      <c r="C2071" s="49" t="s">
        <v>331</v>
      </c>
      <c r="D2071" s="50" t="n">
        <v>1.4</v>
      </c>
      <c r="E2071" s="51" t="n">
        <f aca="false">'Analisa Harga Satuan'!$F$330</f>
        <v>398959</v>
      </c>
      <c r="F2071" s="52" t="n">
        <f aca="false">ROUND(D2071*E2071,0)</f>
        <v>558543</v>
      </c>
      <c r="G2071" s="49" t="s">
        <v>332</v>
      </c>
      <c r="H2071" s="53" t="s">
        <v>305</v>
      </c>
    </row>
    <row r="2072" customFormat="false" ht="15" hidden="false" customHeight="false" outlineLevel="0" collapsed="false">
      <c r="A2072" s="60" t="s">
        <v>119</v>
      </c>
      <c r="B2072" s="61" t="s">
        <v>365</v>
      </c>
    </row>
    <row r="2073" customFormat="false" ht="15" hidden="false" customHeight="false" outlineLevel="0" collapsed="false">
      <c r="A2073" s="49" t="s">
        <v>139</v>
      </c>
      <c r="B2073" s="29" t="s">
        <v>366</v>
      </c>
      <c r="C2073" s="49" t="s">
        <v>367</v>
      </c>
      <c r="D2073" s="50" t="n">
        <v>13.55</v>
      </c>
      <c r="E2073" s="51" t="n">
        <f aca="false">'Analisa Harga Satuan'!$F$355</f>
        <v>246954</v>
      </c>
      <c r="F2073" s="52" t="n">
        <f aca="false">ROUND(D2073*E2073,0)</f>
        <v>3346227</v>
      </c>
      <c r="G2073" s="49" t="s">
        <v>368</v>
      </c>
      <c r="H2073" s="53" t="s">
        <v>305</v>
      </c>
    </row>
    <row r="2074" customFormat="false" ht="25.5" hidden="false" customHeight="true" outlineLevel="0" collapsed="false">
      <c r="A2074" s="49" t="s">
        <v>141</v>
      </c>
      <c r="B2074" s="29" t="s">
        <v>369</v>
      </c>
      <c r="C2074" s="49" t="s">
        <v>367</v>
      </c>
      <c r="D2074" s="50" t="n">
        <v>18.4</v>
      </c>
      <c r="E2074" s="51" t="n">
        <f aca="false">'Analisa Harga Satuan'!$F$366</f>
        <v>238292</v>
      </c>
      <c r="F2074" s="52" t="n">
        <f aca="false">ROUND(D2074*E2074,0)</f>
        <v>4384573</v>
      </c>
      <c r="G2074" s="49" t="s">
        <v>370</v>
      </c>
      <c r="H2074" s="53" t="s">
        <v>305</v>
      </c>
    </row>
    <row r="2075" customFormat="false" ht="15" hidden="false" customHeight="false" outlineLevel="0" collapsed="false">
      <c r="A2075" s="60" t="s">
        <v>1616</v>
      </c>
      <c r="B2075" s="61" t="s">
        <v>1581</v>
      </c>
    </row>
    <row r="2076" customFormat="false" ht="15" hidden="false" customHeight="false" outlineLevel="0" collapsed="false">
      <c r="A2076" s="60" t="s">
        <v>1617</v>
      </c>
      <c r="B2076" s="61" t="s">
        <v>393</v>
      </c>
    </row>
    <row r="2077" customFormat="false" ht="15" hidden="false" customHeight="false" outlineLevel="0" collapsed="false">
      <c r="A2077" s="49" t="s">
        <v>139</v>
      </c>
      <c r="B2077" s="29" t="s">
        <v>395</v>
      </c>
      <c r="C2077" s="49" t="s">
        <v>331</v>
      </c>
      <c r="D2077" s="50" t="n">
        <v>34.36</v>
      </c>
      <c r="E2077" s="51" t="n">
        <f aca="false">'Analisa Harga Satuan'!$F$416</f>
        <v>265023</v>
      </c>
      <c r="F2077" s="52" t="n">
        <f aca="false">ROUND(D2077*E2077,0)</f>
        <v>9106190</v>
      </c>
      <c r="G2077" s="49" t="s">
        <v>396</v>
      </c>
      <c r="H2077" s="53" t="s">
        <v>305</v>
      </c>
    </row>
    <row r="2078" customFormat="false" ht="15" hidden="false" customHeight="false" outlineLevel="0" collapsed="false">
      <c r="A2078" s="49" t="s">
        <v>141</v>
      </c>
      <c r="B2078" s="29" t="s">
        <v>397</v>
      </c>
      <c r="C2078" s="49" t="s">
        <v>328</v>
      </c>
      <c r="D2078" s="50" t="n">
        <v>36.99</v>
      </c>
      <c r="E2078" s="51" t="n">
        <f aca="false">'Analisa Harga Satuan'!$F$310</f>
        <v>23191</v>
      </c>
      <c r="F2078" s="52" t="n">
        <f aca="false">ROUND(D2078*E2078,0)</f>
        <v>857835</v>
      </c>
      <c r="G2078" s="49" t="s">
        <v>329</v>
      </c>
      <c r="H2078" s="53" t="s">
        <v>305</v>
      </c>
    </row>
    <row r="2079" customFormat="false" ht="15" hidden="false" customHeight="false" outlineLevel="0" collapsed="false">
      <c r="A2079" s="49" t="s">
        <v>143</v>
      </c>
      <c r="B2079" s="29" t="s">
        <v>398</v>
      </c>
      <c r="C2079" s="49" t="s">
        <v>331</v>
      </c>
      <c r="D2079" s="50" t="n">
        <v>68.72</v>
      </c>
      <c r="E2079" s="51" t="n">
        <f aca="false">'Analisa Harga Satuan'!$F$432</f>
        <v>103703</v>
      </c>
      <c r="F2079" s="52" t="n">
        <f aca="false">ROUND(D2079*E2079,0)</f>
        <v>7126470</v>
      </c>
      <c r="G2079" s="49" t="s">
        <v>399</v>
      </c>
      <c r="H2079" s="53" t="s">
        <v>305</v>
      </c>
    </row>
    <row r="2080" customFormat="false" ht="15" hidden="false" customHeight="false" outlineLevel="0" collapsed="false">
      <c r="A2080" s="49" t="s">
        <v>145</v>
      </c>
      <c r="B2080" s="29" t="s">
        <v>1020</v>
      </c>
      <c r="C2080" s="49" t="s">
        <v>331</v>
      </c>
      <c r="D2080" s="50" t="n">
        <v>23.03</v>
      </c>
      <c r="E2080" s="51" t="n">
        <f aca="false">'Analisa Harga Satuan'!$F$432</f>
        <v>103703</v>
      </c>
      <c r="F2080" s="52" t="n">
        <f aca="false">ROUND(D2080*E2080,0)</f>
        <v>2388280</v>
      </c>
      <c r="G2080" s="49" t="s">
        <v>399</v>
      </c>
      <c r="H2080" s="53" t="s">
        <v>305</v>
      </c>
    </row>
    <row r="2081" customFormat="false" ht="15" hidden="false" customHeight="false" outlineLevel="0" collapsed="false">
      <c r="A2081" s="49" t="s">
        <v>147</v>
      </c>
      <c r="B2081" s="29" t="s">
        <v>1021</v>
      </c>
      <c r="C2081" s="49" t="s">
        <v>331</v>
      </c>
      <c r="D2081" s="50" t="n">
        <v>91.75</v>
      </c>
      <c r="E2081" s="51" t="n">
        <f aca="false">'Analisa Harga Satuan'!$F$479</f>
        <v>58982</v>
      </c>
      <c r="F2081" s="52" t="n">
        <f aca="false">ROUND(D2081*E2081,0)</f>
        <v>5411599</v>
      </c>
      <c r="G2081" s="49" t="s">
        <v>403</v>
      </c>
      <c r="H2081" s="53" t="s">
        <v>305</v>
      </c>
    </row>
    <row r="2082" customFormat="false" ht="15" hidden="false" customHeight="false" outlineLevel="0" collapsed="false">
      <c r="A2082" s="60" t="s">
        <v>1618</v>
      </c>
      <c r="B2082" s="61" t="s">
        <v>436</v>
      </c>
    </row>
    <row r="2083" customFormat="false" ht="15" hidden="false" customHeight="false" outlineLevel="0" collapsed="false">
      <c r="A2083" s="49" t="s">
        <v>139</v>
      </c>
      <c r="B2083" s="29" t="s">
        <v>1584</v>
      </c>
      <c r="C2083" s="49" t="s">
        <v>331</v>
      </c>
      <c r="D2083" s="50" t="n">
        <v>19.24</v>
      </c>
      <c r="E2083" s="51" t="n">
        <f aca="false">'Analisa Harga Satuan'!$H$1039</f>
        <v>147840</v>
      </c>
      <c r="F2083" s="52" t="n">
        <f aca="false">ROUND(D2083*E2083,0)</f>
        <v>2844442</v>
      </c>
      <c r="G2083" s="49" t="s">
        <v>1037</v>
      </c>
      <c r="H2083" s="53" t="s">
        <v>181</v>
      </c>
    </row>
    <row r="2084" customFormat="false" ht="15" hidden="false" customHeight="false" outlineLevel="0" collapsed="false">
      <c r="A2084" s="60" t="s">
        <v>1619</v>
      </c>
      <c r="B2084" s="61" t="s">
        <v>1587</v>
      </c>
    </row>
    <row r="2085" customFormat="false" ht="15" hidden="false" customHeight="false" outlineLevel="0" collapsed="false">
      <c r="A2085" s="49" t="s">
        <v>139</v>
      </c>
      <c r="B2085" s="29" t="s">
        <v>1588</v>
      </c>
      <c r="C2085" s="49" t="s">
        <v>183</v>
      </c>
      <c r="D2085" s="50" t="n">
        <v>1</v>
      </c>
      <c r="E2085" s="51" t="n">
        <f aca="false">'Analisa Harga Satuan'!$H$1145</f>
        <v>3801600</v>
      </c>
      <c r="F2085" s="52" t="n">
        <f aca="false">ROUND(D2085*E2085,0)</f>
        <v>3801600</v>
      </c>
      <c r="G2085" s="49" t="s">
        <v>1589</v>
      </c>
      <c r="H2085" s="53" t="s">
        <v>189</v>
      </c>
    </row>
    <row r="2086" customFormat="false" ht="15" hidden="false" customHeight="false" outlineLevel="0" collapsed="false">
      <c r="A2086" s="49" t="s">
        <v>141</v>
      </c>
      <c r="B2086" s="29" t="s">
        <v>1590</v>
      </c>
      <c r="C2086" s="49" t="s">
        <v>183</v>
      </c>
      <c r="D2086" s="50" t="n">
        <v>1</v>
      </c>
      <c r="E2086" s="51" t="n">
        <f aca="false">'Analisa Harga Satuan'!$H$1146</f>
        <v>1485000</v>
      </c>
      <c r="F2086" s="52" t="n">
        <f aca="false">ROUND(D2086*E2086,0)</f>
        <v>1485000</v>
      </c>
      <c r="G2086" s="49" t="s">
        <v>1591</v>
      </c>
      <c r="H2086" s="53" t="s">
        <v>189</v>
      </c>
    </row>
    <row r="2087" customFormat="false" ht="15" hidden="false" customHeight="false" outlineLevel="0" collapsed="false">
      <c r="A2087" s="49" t="s">
        <v>143</v>
      </c>
      <c r="B2087" s="29" t="s">
        <v>1620</v>
      </c>
      <c r="C2087" s="49" t="s">
        <v>183</v>
      </c>
      <c r="D2087" s="50" t="n">
        <v>1</v>
      </c>
      <c r="E2087" s="51" t="n">
        <f aca="false">'Analisa Harga Satuan'!$H$1152</f>
        <v>3388000</v>
      </c>
      <c r="F2087" s="52" t="n">
        <f aca="false">ROUND(D2087*E2087,0)</f>
        <v>3388000</v>
      </c>
      <c r="G2087" s="49" t="s">
        <v>1621</v>
      </c>
      <c r="H2087" s="53" t="s">
        <v>189</v>
      </c>
    </row>
    <row r="2088" customFormat="false" ht="15" hidden="false" customHeight="false" outlineLevel="0" collapsed="false">
      <c r="A2088" s="49" t="s">
        <v>145</v>
      </c>
      <c r="B2088" s="29" t="s">
        <v>1594</v>
      </c>
      <c r="C2088" s="49" t="s">
        <v>183</v>
      </c>
      <c r="D2088" s="50" t="n">
        <v>2</v>
      </c>
      <c r="E2088" s="51" t="n">
        <f aca="false">'Analisa Harga Satuan'!$H$1148</f>
        <v>2136750</v>
      </c>
      <c r="F2088" s="52" t="n">
        <f aca="false">ROUND(D2088*E2088,0)</f>
        <v>4273500</v>
      </c>
      <c r="G2088" s="49" t="s">
        <v>1595</v>
      </c>
      <c r="H2088" s="53" t="s">
        <v>181</v>
      </c>
    </row>
    <row r="2089" customFormat="false" ht="15" hidden="false" customHeight="false" outlineLevel="0" collapsed="false">
      <c r="A2089" s="60" t="s">
        <v>1622</v>
      </c>
      <c r="B2089" s="61" t="s">
        <v>479</v>
      </c>
    </row>
    <row r="2090" customFormat="false" ht="15" hidden="false" customHeight="false" outlineLevel="0" collapsed="false">
      <c r="A2090" s="60" t="s">
        <v>78</v>
      </c>
      <c r="B2090" s="61" t="s">
        <v>480</v>
      </c>
    </row>
    <row r="2091" customFormat="false" ht="15" hidden="false" customHeight="false" outlineLevel="0" collapsed="false">
      <c r="A2091" s="49" t="s">
        <v>139</v>
      </c>
      <c r="B2091" s="29" t="s">
        <v>481</v>
      </c>
      <c r="C2091" s="49" t="s">
        <v>331</v>
      </c>
      <c r="D2091" s="50" t="n">
        <v>19.48</v>
      </c>
      <c r="E2091" s="51" t="n">
        <f aca="false">'Analisa Harga Satuan'!$F$631</f>
        <v>113025</v>
      </c>
      <c r="F2091" s="52" t="n">
        <f aca="false">ROUND(D2091*E2091,0)</f>
        <v>2201727</v>
      </c>
      <c r="G2091" s="49" t="s">
        <v>482</v>
      </c>
      <c r="H2091" s="53" t="s">
        <v>305</v>
      </c>
    </row>
    <row r="2092" customFormat="false" ht="15" hidden="false" customHeight="false" outlineLevel="0" collapsed="false">
      <c r="A2092" s="49" t="s">
        <v>141</v>
      </c>
      <c r="B2092" s="29" t="s">
        <v>483</v>
      </c>
      <c r="C2092" s="49" t="s">
        <v>331</v>
      </c>
      <c r="D2092" s="50" t="n">
        <v>19.48</v>
      </c>
      <c r="E2092" s="51" t="n">
        <f aca="false">'Analisa Harga Satuan'!$F$647</f>
        <v>99605</v>
      </c>
      <c r="F2092" s="52" t="n">
        <f aca="false">ROUND(D2092*E2092,0)</f>
        <v>1940305</v>
      </c>
      <c r="G2092" s="49" t="s">
        <v>484</v>
      </c>
      <c r="H2092" s="53" t="s">
        <v>305</v>
      </c>
    </row>
    <row r="2093" customFormat="false" ht="15" hidden="false" customHeight="false" outlineLevel="0" collapsed="false">
      <c r="A2093" s="60" t="s">
        <v>93</v>
      </c>
      <c r="B2093" s="61" t="s">
        <v>488</v>
      </c>
    </row>
    <row r="2094" customFormat="false" ht="15" hidden="false" customHeight="false" outlineLevel="0" collapsed="false">
      <c r="A2094" s="49" t="s">
        <v>139</v>
      </c>
      <c r="B2094" s="29" t="s">
        <v>1071</v>
      </c>
      <c r="C2094" s="49" t="s">
        <v>367</v>
      </c>
      <c r="D2094" s="50" t="n">
        <v>8.93</v>
      </c>
      <c r="E2094" s="51" t="n">
        <f aca="false">'Analisa Harga Satuan'!$H$1053</f>
        <v>226875</v>
      </c>
      <c r="F2094" s="52" t="n">
        <f aca="false">ROUND(D2094*E2094,0)</f>
        <v>2025994</v>
      </c>
      <c r="G2094" s="49" t="s">
        <v>1072</v>
      </c>
      <c r="H2094" s="53" t="s">
        <v>181</v>
      </c>
    </row>
    <row r="2095" customFormat="false" ht="15" hidden="false" customHeight="false" outlineLevel="0" collapsed="false">
      <c r="A2095" s="49" t="s">
        <v>141</v>
      </c>
      <c r="B2095" s="29" t="s">
        <v>1597</v>
      </c>
      <c r="C2095" s="49" t="s">
        <v>331</v>
      </c>
      <c r="D2095" s="50" t="n">
        <v>41.7</v>
      </c>
      <c r="E2095" s="51" t="n">
        <f aca="false">'Analisa Harga Satuan'!$H$1149</f>
        <v>543125</v>
      </c>
      <c r="F2095" s="52" t="n">
        <f aca="false">ROUND(D2095*E2095,0)</f>
        <v>22648313</v>
      </c>
      <c r="G2095" s="49" t="s">
        <v>1598</v>
      </c>
      <c r="H2095" s="53" t="s">
        <v>181</v>
      </c>
    </row>
    <row r="2096" customFormat="false" ht="15" hidden="false" customHeight="false" outlineLevel="0" collapsed="false">
      <c r="A2096" s="60" t="s">
        <v>1623</v>
      </c>
      <c r="B2096" s="61" t="s">
        <v>500</v>
      </c>
    </row>
    <row r="2097" customFormat="false" ht="15" hidden="false" customHeight="false" outlineLevel="0" collapsed="false">
      <c r="A2097" s="49" t="s">
        <v>139</v>
      </c>
      <c r="B2097" s="29" t="s">
        <v>501</v>
      </c>
      <c r="C2097" s="49" t="s">
        <v>331</v>
      </c>
      <c r="D2097" s="50" t="n">
        <v>45.87</v>
      </c>
      <c r="E2097" s="51" t="n">
        <f aca="false">'Analisa Harga Satuan'!$F$711</f>
        <v>38744</v>
      </c>
      <c r="F2097" s="52" t="n">
        <f aca="false">ROUND(D2097*E2097,0)</f>
        <v>1777187</v>
      </c>
      <c r="G2097" s="49" t="s">
        <v>502</v>
      </c>
      <c r="H2097" s="53" t="s">
        <v>305</v>
      </c>
    </row>
    <row r="2098" customFormat="false" ht="15" hidden="false" customHeight="false" outlineLevel="0" collapsed="false">
      <c r="A2098" s="49" t="s">
        <v>141</v>
      </c>
      <c r="B2098" s="29" t="s">
        <v>1600</v>
      </c>
      <c r="C2098" s="49" t="s">
        <v>331</v>
      </c>
      <c r="D2098" s="50" t="n">
        <v>45.87</v>
      </c>
      <c r="E2098" s="51" t="n">
        <f aca="false">'Analisa Harga Satuan'!$F$729</f>
        <v>47896</v>
      </c>
      <c r="F2098" s="52" t="n">
        <f aca="false">ROUND(D2098*E2098,0)</f>
        <v>2196990</v>
      </c>
      <c r="G2098" s="49" t="s">
        <v>504</v>
      </c>
      <c r="H2098" s="53" t="s">
        <v>305</v>
      </c>
    </row>
    <row r="2099" customFormat="false" ht="15" hidden="false" customHeight="false" outlineLevel="0" collapsed="false">
      <c r="A2099" s="60" t="s">
        <v>1624</v>
      </c>
      <c r="B2099" s="61" t="s">
        <v>1625</v>
      </c>
    </row>
    <row r="2100" customFormat="false" ht="15" hidden="false" customHeight="false" outlineLevel="0" collapsed="false">
      <c r="A2100" s="49" t="s">
        <v>139</v>
      </c>
      <c r="B2100" s="29" t="s">
        <v>1626</v>
      </c>
      <c r="C2100" s="49" t="s">
        <v>183</v>
      </c>
      <c r="D2100" s="50" t="n">
        <v>2</v>
      </c>
      <c r="E2100" s="51" t="n">
        <f aca="false">'Analisa Harga Satuan'!$H$1153</f>
        <v>7150000</v>
      </c>
      <c r="F2100" s="52" t="n">
        <f aca="false">ROUND(D2100*E2100,0)</f>
        <v>14300000</v>
      </c>
      <c r="G2100" s="49" t="s">
        <v>1627</v>
      </c>
      <c r="H2100" s="53" t="s">
        <v>181</v>
      </c>
    </row>
    <row r="2101" customFormat="false" ht="15" hidden="false" customHeight="false" outlineLevel="0" collapsed="false">
      <c r="A2101" s="49" t="s">
        <v>141</v>
      </c>
      <c r="B2101" s="29" t="s">
        <v>1628</v>
      </c>
      <c r="C2101" s="49" t="s">
        <v>183</v>
      </c>
      <c r="D2101" s="50" t="n">
        <v>1</v>
      </c>
      <c r="E2101" s="51" t="n">
        <f aca="false">'Analisa Harga Satuan'!$H$1154</f>
        <v>93500000</v>
      </c>
      <c r="F2101" s="52" t="n">
        <f aca="false">ROUND(D2101*E2101,0)</f>
        <v>93500000</v>
      </c>
      <c r="G2101" s="49" t="s">
        <v>1629</v>
      </c>
      <c r="H2101" s="53" t="s">
        <v>181</v>
      </c>
    </row>
    <row r="2102" customFormat="false" ht="15" hidden="false" customHeight="false" outlineLevel="0" collapsed="false">
      <c r="A2102" s="49" t="s">
        <v>143</v>
      </c>
      <c r="B2102" s="29" t="s">
        <v>1605</v>
      </c>
      <c r="C2102" s="49" t="s">
        <v>183</v>
      </c>
      <c r="D2102" s="50" t="n">
        <v>4</v>
      </c>
      <c r="E2102" s="51" t="n">
        <f aca="false">'Analisa Harga Satuan'!$H$1151</f>
        <v>1375000</v>
      </c>
      <c r="F2102" s="52" t="n">
        <f aca="false">ROUND(D2102*E2102,0)</f>
        <v>5500000</v>
      </c>
      <c r="G2102" s="49" t="s">
        <v>1606</v>
      </c>
      <c r="H2102" s="53" t="s">
        <v>181</v>
      </c>
    </row>
    <row r="2103" customFormat="false" ht="15" hidden="false" customHeight="false" outlineLevel="0" collapsed="false">
      <c r="A2103" s="60" t="s">
        <v>1630</v>
      </c>
      <c r="B2103" s="61" t="s">
        <v>1094</v>
      </c>
    </row>
    <row r="2104" customFormat="false" ht="15" hidden="false" customHeight="false" outlineLevel="0" collapsed="false">
      <c r="A2104" s="49" t="s">
        <v>139</v>
      </c>
      <c r="B2104" s="29" t="s">
        <v>677</v>
      </c>
      <c r="C2104" s="49" t="s">
        <v>520</v>
      </c>
      <c r="D2104" s="50" t="n">
        <v>1</v>
      </c>
      <c r="E2104" s="51" t="n">
        <f aca="false">'Analisa Harga Satuan'!$H$926</f>
        <v>1996500</v>
      </c>
      <c r="F2104" s="52" t="n">
        <f aca="false">ROUND(D2104*E2104,0)</f>
        <v>1996500</v>
      </c>
      <c r="G2104" s="49" t="s">
        <v>678</v>
      </c>
      <c r="H2104" s="53" t="s">
        <v>181</v>
      </c>
    </row>
    <row r="2105" customFormat="false" ht="15" hidden="false" customHeight="false" outlineLevel="0" collapsed="false">
      <c r="A2105" s="49" t="s">
        <v>141</v>
      </c>
      <c r="B2105" s="29" t="s">
        <v>1631</v>
      </c>
      <c r="C2105" s="49" t="s">
        <v>520</v>
      </c>
      <c r="D2105" s="50" t="n">
        <v>1</v>
      </c>
      <c r="E2105" s="51" t="n">
        <f aca="false">'Analisa Harga Satuan'!$H$927</f>
        <v>574750</v>
      </c>
      <c r="F2105" s="52" t="n">
        <f aca="false">ROUND(D2105*E2105,0)</f>
        <v>574750</v>
      </c>
      <c r="G2105" s="49" t="s">
        <v>680</v>
      </c>
      <c r="H2105" s="53" t="s">
        <v>181</v>
      </c>
    </row>
    <row r="2106" customFormat="false" ht="15" hidden="false" customHeight="false" outlineLevel="0" collapsed="false">
      <c r="A2106" s="60" t="s">
        <v>1610</v>
      </c>
      <c r="B2106" s="61" t="s">
        <v>820</v>
      </c>
    </row>
    <row r="2107" customFormat="false" ht="15" hidden="false" customHeight="false" outlineLevel="0" collapsed="false">
      <c r="A2107" s="49" t="s">
        <v>139</v>
      </c>
      <c r="B2107" s="29" t="s">
        <v>824</v>
      </c>
      <c r="C2107" s="49" t="s">
        <v>206</v>
      </c>
      <c r="D2107" s="50" t="n">
        <v>3</v>
      </c>
      <c r="E2107" s="51" t="n">
        <f aca="false">'Analisa Harga Satuan'!$H$978</f>
        <v>170775</v>
      </c>
      <c r="F2107" s="52" t="n">
        <f aca="false">ROUND(D2107*E2107,0)</f>
        <v>512325</v>
      </c>
      <c r="G2107" s="49" t="s">
        <v>825</v>
      </c>
      <c r="H2107" s="53" t="s">
        <v>181</v>
      </c>
    </row>
    <row r="2108" customFormat="false" ht="15" hidden="false" customHeight="false" outlineLevel="0" collapsed="false">
      <c r="A2108" s="49" t="s">
        <v>141</v>
      </c>
      <c r="B2108" s="29" t="s">
        <v>830</v>
      </c>
      <c r="C2108" s="49" t="s">
        <v>206</v>
      </c>
      <c r="D2108" s="50" t="n">
        <v>1</v>
      </c>
      <c r="E2108" s="51" t="n">
        <f aca="false">'Analisa Harga Satuan'!$H$981</f>
        <v>72600</v>
      </c>
      <c r="F2108" s="52" t="n">
        <f aca="false">ROUND(D2108*E2108,0)</f>
        <v>72600</v>
      </c>
      <c r="G2108" s="49" t="s">
        <v>831</v>
      </c>
      <c r="H2108" s="53" t="s">
        <v>181</v>
      </c>
    </row>
    <row r="2109" customFormat="false" ht="15" hidden="false" customHeight="false" outlineLevel="0" collapsed="false">
      <c r="A2109" s="49" t="s">
        <v>143</v>
      </c>
      <c r="B2109" s="29" t="s">
        <v>834</v>
      </c>
      <c r="C2109" s="49" t="s">
        <v>206</v>
      </c>
      <c r="D2109" s="50" t="n">
        <v>2</v>
      </c>
      <c r="E2109" s="51" t="n">
        <f aca="false">'Analisa Harga Satuan'!$H$983</f>
        <v>81840</v>
      </c>
      <c r="F2109" s="52" t="n">
        <f aca="false">ROUND(D2109*E2109,0)</f>
        <v>163680</v>
      </c>
      <c r="G2109" s="49" t="s">
        <v>835</v>
      </c>
      <c r="H2109" s="53" t="s">
        <v>181</v>
      </c>
    </row>
    <row r="2110" customFormat="false" ht="15" hidden="false" customHeight="false" outlineLevel="0" collapsed="false">
      <c r="A2110" s="49" t="s">
        <v>145</v>
      </c>
      <c r="B2110" s="29" t="s">
        <v>838</v>
      </c>
      <c r="C2110" s="49" t="s">
        <v>784</v>
      </c>
      <c r="D2110" s="50" t="n">
        <v>3</v>
      </c>
      <c r="E2110" s="51" t="n">
        <f aca="false">'Analisa Harga Satuan'!$H$985</f>
        <v>236500</v>
      </c>
      <c r="F2110" s="52" t="n">
        <f aca="false">ROUND(D2110*E2110,0)</f>
        <v>709500</v>
      </c>
      <c r="G2110" s="49" t="s">
        <v>839</v>
      </c>
      <c r="H2110" s="53" t="s">
        <v>181</v>
      </c>
    </row>
    <row r="2111" customFormat="false" ht="15" hidden="false" customHeight="false" outlineLevel="0" collapsed="false">
      <c r="A2111" s="49" t="s">
        <v>147</v>
      </c>
      <c r="B2111" s="29" t="s">
        <v>840</v>
      </c>
      <c r="C2111" s="49" t="s">
        <v>784</v>
      </c>
      <c r="D2111" s="50" t="n">
        <v>2</v>
      </c>
      <c r="E2111" s="51" t="n">
        <f aca="false">'Analisa Harga Satuan'!$H$986</f>
        <v>258500</v>
      </c>
      <c r="F2111" s="52" t="n">
        <f aca="false">ROUND(D2111*E2111,0)</f>
        <v>517000</v>
      </c>
      <c r="G2111" s="49" t="s">
        <v>841</v>
      </c>
      <c r="H2111" s="53" t="s">
        <v>181</v>
      </c>
    </row>
    <row r="2112" customFormat="false" ht="15" hidden="false" customHeight="false" outlineLevel="0" collapsed="false">
      <c r="A2112" s="60" t="s">
        <v>1632</v>
      </c>
      <c r="B2112" s="61" t="s">
        <v>1633</v>
      </c>
    </row>
    <row r="2113" customFormat="false" ht="15" hidden="false" customHeight="false" outlineLevel="0" collapsed="false">
      <c r="A2113" s="49" t="s">
        <v>139</v>
      </c>
      <c r="B2113" s="29" t="s">
        <v>1634</v>
      </c>
      <c r="C2113" s="49" t="s">
        <v>183</v>
      </c>
      <c r="D2113" s="50" t="n">
        <v>1</v>
      </c>
      <c r="E2113" s="51" t="n">
        <f aca="false">'Analisa Harga Satuan'!$H$1155</f>
        <v>1375000</v>
      </c>
      <c r="F2113" s="52" t="n">
        <f aca="false">ROUND(D2113*E2113,0)</f>
        <v>1375000</v>
      </c>
      <c r="G2113" s="49" t="s">
        <v>1635</v>
      </c>
      <c r="H2113" s="53" t="s">
        <v>181</v>
      </c>
    </row>
    <row r="2114" customFormat="false" ht="25.5" hidden="false" customHeight="true" outlineLevel="0" collapsed="false">
      <c r="A2114" s="49" t="s">
        <v>141</v>
      </c>
      <c r="B2114" s="29" t="s">
        <v>1636</v>
      </c>
      <c r="C2114" s="49" t="s">
        <v>431</v>
      </c>
      <c r="D2114" s="50" t="n">
        <v>70</v>
      </c>
      <c r="E2114" s="51" t="n">
        <f aca="false">'Analisa Harga Satuan'!$H$1156</f>
        <v>104500</v>
      </c>
      <c r="F2114" s="52" t="n">
        <f aca="false">ROUND(D2114*E2114,0)</f>
        <v>7315000</v>
      </c>
      <c r="G2114" s="49" t="s">
        <v>1637</v>
      </c>
      <c r="H2114" s="53" t="s">
        <v>181</v>
      </c>
    </row>
    <row r="2115" customFormat="false" ht="15" hidden="false" customHeight="false" outlineLevel="0" collapsed="false">
      <c r="A2115" s="55"/>
      <c r="B2115" s="56" t="s">
        <v>1638</v>
      </c>
      <c r="C2115" s="55"/>
      <c r="D2115" s="55"/>
      <c r="E2115" s="55"/>
      <c r="F2115" s="27" t="n">
        <f aca="false">SUM(F2038:F2114)</f>
        <v>269858905</v>
      </c>
      <c r="G2115" s="55"/>
      <c r="H2115" s="55"/>
    </row>
    <row r="2116" customFormat="false" ht="15" hidden="false" customHeight="false" outlineLevel="0" collapsed="false">
      <c r="A2116" s="57"/>
      <c r="B2116" s="58" t="s">
        <v>1639</v>
      </c>
      <c r="C2116" s="57"/>
      <c r="D2116" s="57"/>
      <c r="E2116" s="57"/>
      <c r="F2116" s="34" t="n">
        <f aca="false">F1833+F1838+F1847+F1867+F1874+F1896+F1968+F2036+F2115</f>
        <v>16365064821</v>
      </c>
      <c r="G2116" s="57"/>
      <c r="H2116" s="57"/>
    </row>
    <row r="2118" customFormat="false" ht="15" hidden="false" customHeight="false" outlineLevel="0" collapsed="false">
      <c r="A2118" s="57"/>
      <c r="B2118" s="58" t="s">
        <v>1640</v>
      </c>
      <c r="C2118" s="57"/>
      <c r="D2118" s="57"/>
      <c r="E2118" s="57"/>
      <c r="F2118" s="34" t="n">
        <f aca="false">F70+F661+F943+F1230+F1489+F1642+F1827</f>
        <v>39994781820</v>
      </c>
      <c r="G2118" s="57"/>
      <c r="H2118" s="57"/>
    </row>
    <row r="2119" customFormat="false" ht="15" hidden="false" customHeight="false" outlineLevel="0" collapsed="false">
      <c r="A2119" s="57"/>
      <c r="B2119" s="58" t="s">
        <v>1641</v>
      </c>
      <c r="C2119" s="57"/>
      <c r="D2119" s="57"/>
      <c r="E2119" s="57"/>
      <c r="F2119" s="34" t="n">
        <f aca="false">F2116</f>
        <v>16365064821</v>
      </c>
      <c r="G2119" s="57"/>
      <c r="H2119" s="57"/>
    </row>
    <row r="2120" customFormat="false" ht="15" hidden="false" customHeight="false" outlineLevel="0" collapsed="false">
      <c r="A2120" s="57"/>
      <c r="B2120" s="58" t="s">
        <v>154</v>
      </c>
      <c r="C2120" s="57"/>
      <c r="D2120" s="57"/>
      <c r="E2120" s="57"/>
      <c r="F2120" s="34" t="n">
        <f aca="false">F2118+F2119</f>
        <v>56359846641</v>
      </c>
      <c r="G2120" s="57"/>
      <c r="H2120" s="57"/>
    </row>
  </sheetData>
  <autoFilter ref="A8:H2120"/>
  <mergeCells count="5">
    <mergeCell ref="C2:H2"/>
    <mergeCell ref="C3:H3"/>
    <mergeCell ref="C4:H4"/>
    <mergeCell ref="C5:H5"/>
    <mergeCell ref="C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6.15" hidden="false" customHeight="false" outlineLevel="0" collapsed="false">
      <c r="A1" s="19" t="s">
        <v>1642</v>
      </c>
    </row>
    <row r="2" customFormat="false" ht="15" hidden="false" customHeight="false" outlineLevel="0" collapsed="false">
      <c r="A2" s="2" t="s">
        <v>1643</v>
      </c>
    </row>
    <row r="3" customFormat="false" ht="30" hidden="false" customHeight="true" outlineLevel="0" collapsed="false">
      <c r="A3" s="62" t="s">
        <v>1644</v>
      </c>
      <c r="B3" s="62"/>
      <c r="C3" s="62"/>
      <c r="D3" s="62"/>
      <c r="E3" s="62"/>
      <c r="F3" s="62"/>
      <c r="G3" s="62"/>
      <c r="H3" s="62"/>
    </row>
    <row r="4" customFormat="false" ht="15" hidden="false" customHeight="false" outlineLevel="0" collapsed="false">
      <c r="A4" s="2" t="s">
        <v>26</v>
      </c>
      <c r="C4" s="63" t="n">
        <f aca="false">'Informasi Proyek'!$C$20</f>
        <v>0.1</v>
      </c>
    </row>
    <row r="5" customFormat="false" ht="15" hidden="false" customHeight="false" outlineLevel="0" collapsed="false">
      <c r="A5" s="3" t="s">
        <v>1645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24" t="s">
        <v>304</v>
      </c>
      <c r="B6" s="24" t="s">
        <v>1646</v>
      </c>
      <c r="C6" s="59" t="s">
        <v>1647</v>
      </c>
      <c r="D6" s="23"/>
      <c r="E6" s="23"/>
      <c r="F6" s="23"/>
      <c r="G6" s="64" t="s">
        <v>1648</v>
      </c>
    </row>
    <row r="7" customFormat="false" ht="15" hidden="false" customHeight="false" outlineLevel="0" collapsed="false">
      <c r="A7" s="65" t="s">
        <v>69</v>
      </c>
      <c r="B7" s="65" t="s">
        <v>1649</v>
      </c>
      <c r="C7" s="65" t="s">
        <v>1650</v>
      </c>
      <c r="D7" s="65" t="s">
        <v>1651</v>
      </c>
      <c r="E7" s="65" t="s">
        <v>1652</v>
      </c>
      <c r="F7" s="65" t="s">
        <v>1653</v>
      </c>
    </row>
    <row r="8" customFormat="false" ht="15" hidden="false" customHeight="false" outlineLevel="0" collapsed="false">
      <c r="B8" s="2" t="s">
        <v>1654</v>
      </c>
    </row>
    <row r="9" customFormat="false" ht="15" hidden="false" customHeight="false" outlineLevel="0" collapsed="false">
      <c r="A9" s="66" t="n">
        <v>1</v>
      </c>
      <c r="B9" s="29" t="s">
        <v>1655</v>
      </c>
      <c r="C9" s="28" t="s">
        <v>1656</v>
      </c>
      <c r="D9" s="67" t="n">
        <v>0.3</v>
      </c>
      <c r="E9" s="30" t="n">
        <f aca="false">'Harga Bahan dan Tenaga'!$D$7</f>
        <v>135000</v>
      </c>
      <c r="F9" s="36" t="n">
        <f aca="false">D9*E9</f>
        <v>40500</v>
      </c>
    </row>
    <row r="10" customFormat="false" ht="15" hidden="false" customHeight="false" outlineLevel="0" collapsed="false">
      <c r="A10" s="66" t="n">
        <v>2</v>
      </c>
      <c r="B10" s="29" t="s">
        <v>1657</v>
      </c>
      <c r="C10" s="28" t="s">
        <v>1656</v>
      </c>
      <c r="D10" s="67" t="n">
        <v>0.015</v>
      </c>
      <c r="E10" s="30" t="n">
        <f aca="false">'Harga Bahan dan Tenaga'!$D$15</f>
        <v>200000</v>
      </c>
      <c r="F10" s="36" t="n">
        <f aca="false">D10*E10</f>
        <v>3000</v>
      </c>
    </row>
    <row r="11" customFormat="false" ht="15" hidden="false" customHeight="false" outlineLevel="0" collapsed="false">
      <c r="B11" s="2" t="s">
        <v>1658</v>
      </c>
      <c r="F11" s="39" t="n">
        <f aca="false">SUM(F9:F10)</f>
        <v>43500</v>
      </c>
    </row>
    <row r="12" customFormat="false" ht="15" hidden="false" customHeight="false" outlineLevel="0" collapsed="false">
      <c r="B12" s="2" t="s">
        <v>1659</v>
      </c>
    </row>
    <row r="13" customFormat="false" ht="15" hidden="false" customHeight="false" outlineLevel="0" collapsed="false">
      <c r="A13" s="66" t="n">
        <v>1</v>
      </c>
      <c r="B13" s="29" t="s">
        <v>1660</v>
      </c>
      <c r="C13" s="28" t="s">
        <v>1661</v>
      </c>
      <c r="D13" s="67" t="n">
        <v>0.08</v>
      </c>
      <c r="E13" s="30" t="n">
        <f aca="false">'Harga Bahan dan Tenaga'!$D$63</f>
        <v>650000</v>
      </c>
      <c r="F13" s="36" t="n">
        <f aca="false">D13*E13</f>
        <v>52000</v>
      </c>
    </row>
    <row r="14" customFormat="false" ht="15" hidden="false" customHeight="false" outlineLevel="0" collapsed="false">
      <c r="B14" s="2" t="s">
        <v>1662</v>
      </c>
      <c r="F14" s="39" t="n">
        <f aca="false">SUM(F13:F13)</f>
        <v>52000</v>
      </c>
    </row>
    <row r="15" customFormat="false" ht="15" hidden="false" customHeight="false" outlineLevel="0" collapsed="false">
      <c r="B15" s="2" t="s">
        <v>1663</v>
      </c>
      <c r="F15" s="39" t="n">
        <f aca="false">F11+F14</f>
        <v>95500</v>
      </c>
    </row>
    <row r="16" customFormat="false" ht="15" hidden="false" customHeight="false" outlineLevel="0" collapsed="false">
      <c r="B16" s="5" t="s">
        <v>1664</v>
      </c>
      <c r="D16" s="68" t="n">
        <f aca="false">'Informasi Proyek'!$C$20</f>
        <v>0.1</v>
      </c>
      <c r="F16" s="36" t="n">
        <f aca="false">F15*D16</f>
        <v>9550</v>
      </c>
    </row>
    <row r="17" customFormat="false" ht="15" hidden="false" customHeight="false" outlineLevel="0" collapsed="false">
      <c r="A17" s="57"/>
      <c r="B17" s="69" t="s">
        <v>1665</v>
      </c>
      <c r="C17" s="57"/>
      <c r="D17" s="57"/>
      <c r="E17" s="57"/>
      <c r="F17" s="34" t="n">
        <f aca="false">ROUND(F15+F16,0)</f>
        <v>105050</v>
      </c>
    </row>
    <row r="19" customFormat="false" ht="15" hidden="false" customHeight="false" outlineLevel="0" collapsed="false">
      <c r="A19" s="24" t="s">
        <v>307</v>
      </c>
      <c r="B19" s="24" t="s">
        <v>1666</v>
      </c>
      <c r="C19" s="59" t="s">
        <v>1647</v>
      </c>
      <c r="D19" s="23"/>
      <c r="E19" s="23"/>
      <c r="F19" s="23"/>
      <c r="G19" s="64" t="s">
        <v>1667</v>
      </c>
    </row>
    <row r="20" customFormat="false" ht="15" hidden="false" customHeight="false" outlineLevel="0" collapsed="false">
      <c r="A20" s="65" t="s">
        <v>69</v>
      </c>
      <c r="B20" s="65" t="s">
        <v>1649</v>
      </c>
      <c r="C20" s="65" t="s">
        <v>1650</v>
      </c>
      <c r="D20" s="65" t="s">
        <v>1651</v>
      </c>
      <c r="E20" s="65" t="s">
        <v>1652</v>
      </c>
      <c r="F20" s="65" t="s">
        <v>1653</v>
      </c>
    </row>
    <row r="21" customFormat="false" ht="15" hidden="false" customHeight="false" outlineLevel="0" collapsed="false">
      <c r="B21" s="2" t="s">
        <v>1654</v>
      </c>
    </row>
    <row r="22" customFormat="false" ht="15" hidden="false" customHeight="false" outlineLevel="0" collapsed="false">
      <c r="A22" s="66" t="n">
        <v>1</v>
      </c>
      <c r="B22" s="29" t="s">
        <v>1655</v>
      </c>
      <c r="C22" s="28" t="s">
        <v>1656</v>
      </c>
      <c r="D22" s="67" t="n">
        <v>0.05</v>
      </c>
      <c r="E22" s="30" t="n">
        <f aca="false">'Harga Bahan dan Tenaga'!$D$7</f>
        <v>135000</v>
      </c>
      <c r="F22" s="36" t="n">
        <f aca="false">D22*E22</f>
        <v>6750</v>
      </c>
    </row>
    <row r="23" customFormat="false" ht="15" hidden="false" customHeight="false" outlineLevel="0" collapsed="false">
      <c r="A23" s="66" t="n">
        <v>2</v>
      </c>
      <c r="B23" s="29" t="s">
        <v>1657</v>
      </c>
      <c r="C23" s="28" t="s">
        <v>1656</v>
      </c>
      <c r="D23" s="67" t="n">
        <v>0.003</v>
      </c>
      <c r="E23" s="30" t="n">
        <f aca="false">'Harga Bahan dan Tenaga'!$D$15</f>
        <v>200000</v>
      </c>
      <c r="F23" s="36" t="n">
        <f aca="false">D23*E23</f>
        <v>600</v>
      </c>
    </row>
    <row r="24" customFormat="false" ht="15" hidden="false" customHeight="false" outlineLevel="0" collapsed="false">
      <c r="B24" s="2" t="s">
        <v>1658</v>
      </c>
      <c r="F24" s="39" t="n">
        <f aca="false">SUM(F22:F23)</f>
        <v>7350</v>
      </c>
    </row>
    <row r="25" customFormat="false" ht="15" hidden="false" customHeight="false" outlineLevel="0" collapsed="false">
      <c r="B25" s="2" t="s">
        <v>1659</v>
      </c>
    </row>
    <row r="26" customFormat="false" ht="15" hidden="false" customHeight="false" outlineLevel="0" collapsed="false">
      <c r="A26" s="66" t="n">
        <v>1</v>
      </c>
      <c r="B26" s="29" t="s">
        <v>1660</v>
      </c>
      <c r="C26" s="28" t="s">
        <v>1661</v>
      </c>
      <c r="D26" s="67" t="n">
        <v>0.05</v>
      </c>
      <c r="E26" s="30" t="n">
        <f aca="false">'Harga Bahan dan Tenaga'!$D$63</f>
        <v>650000</v>
      </c>
      <c r="F26" s="36" t="n">
        <f aca="false">D26*E26</f>
        <v>32500</v>
      </c>
    </row>
    <row r="27" customFormat="false" ht="15" hidden="false" customHeight="false" outlineLevel="0" collapsed="false">
      <c r="A27" s="66" t="n">
        <v>2</v>
      </c>
      <c r="B27" s="29" t="s">
        <v>1668</v>
      </c>
      <c r="C27" s="28" t="s">
        <v>1661</v>
      </c>
      <c r="D27" s="67" t="n">
        <v>0.14</v>
      </c>
      <c r="E27" s="30" t="n">
        <f aca="false">'Harga Bahan dan Tenaga'!$D$64</f>
        <v>450000</v>
      </c>
      <c r="F27" s="36" t="n">
        <f aca="false">D27*E27</f>
        <v>63000</v>
      </c>
    </row>
    <row r="28" customFormat="false" ht="15" hidden="false" customHeight="false" outlineLevel="0" collapsed="false">
      <c r="B28" s="2" t="s">
        <v>1662</v>
      </c>
      <c r="F28" s="39" t="n">
        <f aca="false">SUM(F26:F27)</f>
        <v>95500</v>
      </c>
    </row>
    <row r="29" customFormat="false" ht="15" hidden="false" customHeight="false" outlineLevel="0" collapsed="false">
      <c r="B29" s="2" t="s">
        <v>1663</v>
      </c>
      <c r="F29" s="39" t="n">
        <f aca="false">F24+F28</f>
        <v>102850</v>
      </c>
    </row>
    <row r="30" customFormat="false" ht="15" hidden="false" customHeight="false" outlineLevel="0" collapsed="false">
      <c r="B30" s="5" t="s">
        <v>1664</v>
      </c>
      <c r="D30" s="68" t="n">
        <f aca="false">'Informasi Proyek'!$C$20</f>
        <v>0.1</v>
      </c>
      <c r="F30" s="36" t="n">
        <f aca="false">F29*D30</f>
        <v>10285</v>
      </c>
    </row>
    <row r="31" customFormat="false" ht="15" hidden="false" customHeight="false" outlineLevel="0" collapsed="false">
      <c r="A31" s="57"/>
      <c r="B31" s="69" t="s">
        <v>1665</v>
      </c>
      <c r="C31" s="57"/>
      <c r="D31" s="57"/>
      <c r="E31" s="57"/>
      <c r="F31" s="34" t="n">
        <f aca="false">ROUND(F29+F30,0)</f>
        <v>113135</v>
      </c>
    </row>
    <row r="33" customFormat="false" ht="15" hidden="false" customHeight="false" outlineLevel="0" collapsed="false">
      <c r="A33" s="24" t="s">
        <v>309</v>
      </c>
      <c r="B33" s="24" t="s">
        <v>1669</v>
      </c>
      <c r="C33" s="59" t="s">
        <v>1647</v>
      </c>
      <c r="D33" s="23"/>
      <c r="E33" s="23"/>
      <c r="F33" s="23"/>
      <c r="G33" s="64" t="s">
        <v>1670</v>
      </c>
    </row>
    <row r="34" customFormat="false" ht="15" hidden="false" customHeight="false" outlineLevel="0" collapsed="false">
      <c r="A34" s="65" t="s">
        <v>69</v>
      </c>
      <c r="B34" s="65" t="s">
        <v>1649</v>
      </c>
      <c r="C34" s="65" t="s">
        <v>1650</v>
      </c>
      <c r="D34" s="65" t="s">
        <v>1651</v>
      </c>
      <c r="E34" s="65" t="s">
        <v>1652</v>
      </c>
      <c r="F34" s="65" t="s">
        <v>1653</v>
      </c>
    </row>
    <row r="35" customFormat="false" ht="15" hidden="false" customHeight="false" outlineLevel="0" collapsed="false">
      <c r="B35" s="2" t="s">
        <v>1654</v>
      </c>
    </row>
    <row r="36" customFormat="false" ht="15" hidden="false" customHeight="false" outlineLevel="0" collapsed="false">
      <c r="A36" s="66" t="n">
        <v>1</v>
      </c>
      <c r="B36" s="29" t="s">
        <v>1655</v>
      </c>
      <c r="C36" s="28" t="s">
        <v>1656</v>
      </c>
      <c r="D36" s="67" t="n">
        <v>0.35</v>
      </c>
      <c r="E36" s="30" t="n">
        <f aca="false">'Harga Bahan dan Tenaga'!$D$7</f>
        <v>135000</v>
      </c>
      <c r="F36" s="36" t="n">
        <f aca="false">D36*E36</f>
        <v>47250</v>
      </c>
    </row>
    <row r="37" customFormat="false" ht="15" hidden="false" customHeight="false" outlineLevel="0" collapsed="false">
      <c r="A37" s="66" t="n">
        <v>2</v>
      </c>
      <c r="B37" s="29" t="s">
        <v>1657</v>
      </c>
      <c r="C37" s="28" t="s">
        <v>1656</v>
      </c>
      <c r="D37" s="67" t="n">
        <v>0.0175</v>
      </c>
      <c r="E37" s="30" t="n">
        <f aca="false">'Harga Bahan dan Tenaga'!$D$15</f>
        <v>200000</v>
      </c>
      <c r="F37" s="36" t="n">
        <f aca="false">D37*E37</f>
        <v>3500</v>
      </c>
    </row>
    <row r="38" customFormat="false" ht="15" hidden="false" customHeight="false" outlineLevel="0" collapsed="false">
      <c r="B38" s="2" t="s">
        <v>1658</v>
      </c>
      <c r="F38" s="39" t="n">
        <f aca="false">SUM(F36:F37)</f>
        <v>50750</v>
      </c>
    </row>
    <row r="39" customFormat="false" ht="15" hidden="false" customHeight="false" outlineLevel="0" collapsed="false">
      <c r="B39" s="2" t="s">
        <v>1659</v>
      </c>
    </row>
    <row r="40" customFormat="false" ht="15" hidden="false" customHeight="false" outlineLevel="0" collapsed="false">
      <c r="A40" s="66" t="n">
        <v>1</v>
      </c>
      <c r="B40" s="29" t="s">
        <v>1671</v>
      </c>
      <c r="C40" s="28" t="s">
        <v>1661</v>
      </c>
      <c r="D40" s="67" t="n">
        <v>0.1</v>
      </c>
      <c r="E40" s="30" t="n">
        <f aca="false">'Harga Bahan dan Tenaga'!$D$70</f>
        <v>85000</v>
      </c>
      <c r="F40" s="36" t="n">
        <f aca="false">D40*E40</f>
        <v>8500</v>
      </c>
    </row>
    <row r="41" customFormat="false" ht="15" hidden="false" customHeight="false" outlineLevel="0" collapsed="false">
      <c r="B41" s="2" t="s">
        <v>1662</v>
      </c>
      <c r="F41" s="39" t="n">
        <f aca="false">SUM(F40:F40)</f>
        <v>8500</v>
      </c>
    </row>
    <row r="42" customFormat="false" ht="15" hidden="false" customHeight="false" outlineLevel="0" collapsed="false">
      <c r="B42" s="2" t="s">
        <v>1663</v>
      </c>
      <c r="F42" s="39" t="n">
        <f aca="false">F38+F41</f>
        <v>59250</v>
      </c>
    </row>
    <row r="43" customFormat="false" ht="15" hidden="false" customHeight="false" outlineLevel="0" collapsed="false">
      <c r="B43" s="5" t="s">
        <v>1664</v>
      </c>
      <c r="D43" s="68" t="n">
        <f aca="false">'Informasi Proyek'!$C$20</f>
        <v>0.1</v>
      </c>
      <c r="F43" s="36" t="n">
        <f aca="false">F42*D43</f>
        <v>5925</v>
      </c>
    </row>
    <row r="44" customFormat="false" ht="15" hidden="false" customHeight="false" outlineLevel="0" collapsed="false">
      <c r="A44" s="57"/>
      <c r="B44" s="69" t="s">
        <v>1665</v>
      </c>
      <c r="C44" s="57"/>
      <c r="D44" s="57"/>
      <c r="E44" s="57"/>
      <c r="F44" s="34" t="n">
        <f aca="false">ROUND(F42+F43,0)</f>
        <v>65175</v>
      </c>
    </row>
    <row r="46" customFormat="false" ht="15" hidden="false" customHeight="false" outlineLevel="0" collapsed="false">
      <c r="A46" s="24" t="s">
        <v>311</v>
      </c>
      <c r="B46" s="24" t="s">
        <v>1672</v>
      </c>
      <c r="C46" s="59" t="s">
        <v>1647</v>
      </c>
      <c r="D46" s="23"/>
      <c r="E46" s="23"/>
      <c r="F46" s="23"/>
      <c r="G46" s="64" t="s">
        <v>1670</v>
      </c>
    </row>
    <row r="47" customFormat="false" ht="15" hidden="false" customHeight="false" outlineLevel="0" collapsed="false">
      <c r="A47" s="65" t="s">
        <v>69</v>
      </c>
      <c r="B47" s="65" t="s">
        <v>1649</v>
      </c>
      <c r="C47" s="65" t="s">
        <v>1650</v>
      </c>
      <c r="D47" s="65" t="s">
        <v>1651</v>
      </c>
      <c r="E47" s="65" t="s">
        <v>1652</v>
      </c>
      <c r="F47" s="65" t="s">
        <v>1653</v>
      </c>
    </row>
    <row r="48" customFormat="false" ht="15" hidden="false" customHeight="false" outlineLevel="0" collapsed="false">
      <c r="B48" s="2" t="s">
        <v>1654</v>
      </c>
    </row>
    <row r="49" customFormat="false" ht="15" hidden="false" customHeight="false" outlineLevel="0" collapsed="false">
      <c r="A49" s="66" t="n">
        <v>1</v>
      </c>
      <c r="B49" s="29" t="s">
        <v>1655</v>
      </c>
      <c r="C49" s="28" t="s">
        <v>1656</v>
      </c>
      <c r="D49" s="67" t="n">
        <v>0.3</v>
      </c>
      <c r="E49" s="30" t="n">
        <f aca="false">'Harga Bahan dan Tenaga'!$D$7</f>
        <v>135000</v>
      </c>
      <c r="F49" s="36" t="n">
        <f aca="false">D49*E49</f>
        <v>40500</v>
      </c>
    </row>
    <row r="50" customFormat="false" ht="15" hidden="false" customHeight="false" outlineLevel="0" collapsed="false">
      <c r="A50" s="66" t="n">
        <v>2</v>
      </c>
      <c r="B50" s="29" t="s">
        <v>1657</v>
      </c>
      <c r="C50" s="28" t="s">
        <v>1656</v>
      </c>
      <c r="D50" s="67" t="n">
        <v>0.015</v>
      </c>
      <c r="E50" s="30" t="n">
        <f aca="false">'Harga Bahan dan Tenaga'!$D$15</f>
        <v>200000</v>
      </c>
      <c r="F50" s="36" t="n">
        <f aca="false">D50*E50</f>
        <v>3000</v>
      </c>
    </row>
    <row r="51" customFormat="false" ht="15" hidden="false" customHeight="false" outlineLevel="0" collapsed="false">
      <c r="B51" s="2" t="s">
        <v>1658</v>
      </c>
      <c r="F51" s="39" t="n">
        <f aca="false">SUM(F49:F50)</f>
        <v>43500</v>
      </c>
    </row>
    <row r="52" customFormat="false" ht="15" hidden="false" customHeight="false" outlineLevel="0" collapsed="false">
      <c r="B52" s="2" t="s">
        <v>1673</v>
      </c>
    </row>
    <row r="53" customFormat="false" ht="15" hidden="false" customHeight="false" outlineLevel="0" collapsed="false">
      <c r="A53" s="66" t="n">
        <v>1</v>
      </c>
      <c r="B53" s="29" t="s">
        <v>1674</v>
      </c>
      <c r="C53" s="28" t="s">
        <v>1647</v>
      </c>
      <c r="D53" s="67" t="n">
        <v>1.2</v>
      </c>
      <c r="E53" s="30" t="n">
        <f aca="false">'Harga Bahan dan Tenaga'!$D$19</f>
        <v>320000</v>
      </c>
      <c r="F53" s="36" t="n">
        <f aca="false">D53*E53</f>
        <v>384000</v>
      </c>
    </row>
    <row r="54" customFormat="false" ht="15" hidden="false" customHeight="false" outlineLevel="0" collapsed="false">
      <c r="B54" s="2" t="s">
        <v>1675</v>
      </c>
      <c r="F54" s="39" t="n">
        <f aca="false">SUM(F53:F53)</f>
        <v>384000</v>
      </c>
    </row>
    <row r="55" customFormat="false" ht="15" hidden="false" customHeight="false" outlineLevel="0" collapsed="false">
      <c r="B55" s="2" t="s">
        <v>1663</v>
      </c>
      <c r="F55" s="39" t="n">
        <f aca="false">F51+F54</f>
        <v>427500</v>
      </c>
    </row>
    <row r="56" customFormat="false" ht="15" hidden="false" customHeight="false" outlineLevel="0" collapsed="false">
      <c r="B56" s="5" t="s">
        <v>1664</v>
      </c>
      <c r="D56" s="68" t="n">
        <f aca="false">'Informasi Proyek'!$C$20</f>
        <v>0.1</v>
      </c>
      <c r="F56" s="36" t="n">
        <f aca="false">F55*D56</f>
        <v>42750</v>
      </c>
    </row>
    <row r="57" customFormat="false" ht="15" hidden="false" customHeight="false" outlineLevel="0" collapsed="false">
      <c r="A57" s="57"/>
      <c r="B57" s="69" t="s">
        <v>1665</v>
      </c>
      <c r="C57" s="57"/>
      <c r="D57" s="57"/>
      <c r="E57" s="57"/>
      <c r="F57" s="34" t="n">
        <f aca="false">ROUND(F55+F56,0)</f>
        <v>470250</v>
      </c>
    </row>
    <row r="59" customFormat="false" ht="15" hidden="false" customHeight="false" outlineLevel="0" collapsed="false">
      <c r="A59" s="24" t="s">
        <v>314</v>
      </c>
      <c r="B59" s="24" t="s">
        <v>1676</v>
      </c>
      <c r="C59" s="59" t="s">
        <v>1647</v>
      </c>
      <c r="D59" s="23"/>
      <c r="E59" s="23"/>
      <c r="F59" s="23"/>
      <c r="G59" s="64" t="s">
        <v>1677</v>
      </c>
    </row>
    <row r="60" customFormat="false" ht="15" hidden="false" customHeight="false" outlineLevel="0" collapsed="false">
      <c r="A60" s="65" t="s">
        <v>69</v>
      </c>
      <c r="B60" s="65" t="s">
        <v>1649</v>
      </c>
      <c r="C60" s="65" t="s">
        <v>1650</v>
      </c>
      <c r="D60" s="65" t="s">
        <v>1651</v>
      </c>
      <c r="E60" s="65" t="s">
        <v>1652</v>
      </c>
      <c r="F60" s="65" t="s">
        <v>1653</v>
      </c>
    </row>
    <row r="61" customFormat="false" ht="15" hidden="false" customHeight="false" outlineLevel="0" collapsed="false">
      <c r="B61" s="2" t="s">
        <v>1654</v>
      </c>
    </row>
    <row r="62" customFormat="false" ht="15" hidden="false" customHeight="false" outlineLevel="0" collapsed="false">
      <c r="A62" s="66" t="n">
        <v>1</v>
      </c>
      <c r="B62" s="29" t="s">
        <v>1655</v>
      </c>
      <c r="C62" s="28" t="s">
        <v>1656</v>
      </c>
      <c r="D62" s="67" t="n">
        <v>0.2</v>
      </c>
      <c r="E62" s="30" t="n">
        <f aca="false">'Harga Bahan dan Tenaga'!$D$7</f>
        <v>135000</v>
      </c>
      <c r="F62" s="36" t="n">
        <f aca="false">D62*E62</f>
        <v>27000</v>
      </c>
    </row>
    <row r="63" customFormat="false" ht="15" hidden="false" customHeight="false" outlineLevel="0" collapsed="false">
      <c r="A63" s="66" t="n">
        <v>2</v>
      </c>
      <c r="B63" s="29" t="s">
        <v>1657</v>
      </c>
      <c r="C63" s="28" t="s">
        <v>1656</v>
      </c>
      <c r="D63" s="67" t="n">
        <v>0.01</v>
      </c>
      <c r="E63" s="30" t="n">
        <f aca="false">'Harga Bahan dan Tenaga'!$D$15</f>
        <v>200000</v>
      </c>
      <c r="F63" s="36" t="n">
        <f aca="false">D63*E63</f>
        <v>2000</v>
      </c>
    </row>
    <row r="64" customFormat="false" ht="15" hidden="false" customHeight="false" outlineLevel="0" collapsed="false">
      <c r="B64" s="2" t="s">
        <v>1658</v>
      </c>
      <c r="F64" s="39" t="n">
        <f aca="false">SUM(F62:F63)</f>
        <v>29000</v>
      </c>
    </row>
    <row r="65" customFormat="false" ht="15" hidden="false" customHeight="false" outlineLevel="0" collapsed="false">
      <c r="B65" s="2" t="s">
        <v>1673</v>
      </c>
    </row>
    <row r="66" customFormat="false" ht="15" hidden="false" customHeight="false" outlineLevel="0" collapsed="false">
      <c r="A66" s="66" t="n">
        <v>1</v>
      </c>
      <c r="B66" s="29" t="s">
        <v>1678</v>
      </c>
      <c r="C66" s="28" t="s">
        <v>1647</v>
      </c>
      <c r="D66" s="67" t="n">
        <v>1.2</v>
      </c>
      <c r="E66" s="30" t="n">
        <f aca="false">'Harga Bahan dan Tenaga'!$D$35</f>
        <v>120000</v>
      </c>
      <c r="F66" s="36" t="n">
        <f aca="false">D66*E66</f>
        <v>144000</v>
      </c>
    </row>
    <row r="67" customFormat="false" ht="15" hidden="false" customHeight="false" outlineLevel="0" collapsed="false">
      <c r="B67" s="2" t="s">
        <v>1675</v>
      </c>
      <c r="F67" s="39" t="n">
        <f aca="false">SUM(F66:F66)</f>
        <v>144000</v>
      </c>
    </row>
    <row r="68" customFormat="false" ht="15" hidden="false" customHeight="false" outlineLevel="0" collapsed="false">
      <c r="B68" s="2" t="s">
        <v>1659</v>
      </c>
    </row>
    <row r="69" customFormat="false" ht="15" hidden="false" customHeight="false" outlineLevel="0" collapsed="false">
      <c r="A69" s="66" t="n">
        <v>1</v>
      </c>
      <c r="B69" s="29" t="s">
        <v>1660</v>
      </c>
      <c r="C69" s="28" t="s">
        <v>1661</v>
      </c>
      <c r="D69" s="67" t="n">
        <v>0.03</v>
      </c>
      <c r="E69" s="30" t="n">
        <f aca="false">'Harga Bahan dan Tenaga'!$D$63</f>
        <v>650000</v>
      </c>
      <c r="F69" s="36" t="n">
        <f aca="false">D69*E69</f>
        <v>19500</v>
      </c>
    </row>
    <row r="70" customFormat="false" ht="15" hidden="false" customHeight="false" outlineLevel="0" collapsed="false">
      <c r="B70" s="2" t="s">
        <v>1662</v>
      </c>
      <c r="F70" s="39" t="n">
        <f aca="false">SUM(F69:F69)</f>
        <v>19500</v>
      </c>
    </row>
    <row r="71" customFormat="false" ht="15" hidden="false" customHeight="false" outlineLevel="0" collapsed="false">
      <c r="B71" s="2" t="s">
        <v>1663</v>
      </c>
      <c r="F71" s="39" t="n">
        <f aca="false">F64+F67+F70</f>
        <v>192500</v>
      </c>
    </row>
    <row r="72" customFormat="false" ht="15" hidden="false" customHeight="false" outlineLevel="0" collapsed="false">
      <c r="B72" s="5" t="s">
        <v>1664</v>
      </c>
      <c r="D72" s="68" t="n">
        <f aca="false">'Informasi Proyek'!$C$20</f>
        <v>0.1</v>
      </c>
      <c r="F72" s="36" t="n">
        <f aca="false">F71*D72</f>
        <v>19250</v>
      </c>
    </row>
    <row r="73" customFormat="false" ht="15" hidden="false" customHeight="false" outlineLevel="0" collapsed="false">
      <c r="A73" s="57"/>
      <c r="B73" s="69" t="s">
        <v>1665</v>
      </c>
      <c r="C73" s="57"/>
      <c r="D73" s="57"/>
      <c r="E73" s="57"/>
      <c r="F73" s="34" t="n">
        <f aca="false">ROUND(F71+F72,0)</f>
        <v>211750</v>
      </c>
    </row>
    <row r="75" customFormat="false" ht="15" hidden="false" customHeight="false" outlineLevel="0" collapsed="false">
      <c r="A75" s="24" t="s">
        <v>316</v>
      </c>
      <c r="B75" s="24" t="s">
        <v>1679</v>
      </c>
      <c r="C75" s="59" t="s">
        <v>1647</v>
      </c>
      <c r="D75" s="23"/>
      <c r="E75" s="23"/>
      <c r="F75" s="23"/>
      <c r="G75" s="64" t="s">
        <v>1677</v>
      </c>
    </row>
    <row r="76" customFormat="false" ht="15" hidden="false" customHeight="false" outlineLevel="0" collapsed="false">
      <c r="A76" s="65" t="s">
        <v>69</v>
      </c>
      <c r="B76" s="65" t="s">
        <v>1649</v>
      </c>
      <c r="C76" s="65" t="s">
        <v>1650</v>
      </c>
      <c r="D76" s="65" t="s">
        <v>1651</v>
      </c>
      <c r="E76" s="65" t="s">
        <v>1652</v>
      </c>
      <c r="F76" s="65" t="s">
        <v>1653</v>
      </c>
    </row>
    <row r="77" customFormat="false" ht="15" hidden="false" customHeight="false" outlineLevel="0" collapsed="false">
      <c r="B77" s="2" t="s">
        <v>1654</v>
      </c>
    </row>
    <row r="78" customFormat="false" ht="15" hidden="false" customHeight="false" outlineLevel="0" collapsed="false">
      <c r="A78" s="66" t="n">
        <v>1</v>
      </c>
      <c r="B78" s="29" t="s">
        <v>1655</v>
      </c>
      <c r="C78" s="28" t="s">
        <v>1656</v>
      </c>
      <c r="D78" s="67" t="n">
        <v>0.1</v>
      </c>
      <c r="E78" s="30" t="n">
        <f aca="false">'Harga Bahan dan Tenaga'!$D$7</f>
        <v>135000</v>
      </c>
      <c r="F78" s="36" t="n">
        <f aca="false">D78*E78</f>
        <v>13500</v>
      </c>
    </row>
    <row r="79" customFormat="false" ht="15" hidden="false" customHeight="false" outlineLevel="0" collapsed="false">
      <c r="A79" s="66" t="n">
        <v>2</v>
      </c>
      <c r="B79" s="29" t="s">
        <v>1657</v>
      </c>
      <c r="C79" s="28" t="s">
        <v>1656</v>
      </c>
      <c r="D79" s="67" t="n">
        <v>0.005</v>
      </c>
      <c r="E79" s="30" t="n">
        <f aca="false">'Harga Bahan dan Tenaga'!$D$15</f>
        <v>200000</v>
      </c>
      <c r="F79" s="36" t="n">
        <f aca="false">D79*E79</f>
        <v>1000</v>
      </c>
    </row>
    <row r="80" customFormat="false" ht="15" hidden="false" customHeight="false" outlineLevel="0" collapsed="false">
      <c r="B80" s="2" t="s">
        <v>1658</v>
      </c>
      <c r="F80" s="39" t="n">
        <f aca="false">SUM(F78:F79)</f>
        <v>14500</v>
      </c>
    </row>
    <row r="81" customFormat="false" ht="15" hidden="false" customHeight="false" outlineLevel="0" collapsed="false">
      <c r="B81" s="2" t="s">
        <v>1673</v>
      </c>
    </row>
    <row r="82" customFormat="false" ht="15" hidden="false" customHeight="false" outlineLevel="0" collapsed="false">
      <c r="A82" s="66" t="n">
        <v>1</v>
      </c>
      <c r="B82" s="29" t="s">
        <v>1680</v>
      </c>
      <c r="C82" s="28" t="s">
        <v>1647</v>
      </c>
      <c r="D82" s="67" t="n">
        <v>0.05</v>
      </c>
      <c r="E82" s="30" t="n">
        <f aca="false">'Harga Bahan dan Tenaga'!$D$23</f>
        <v>35000</v>
      </c>
      <c r="F82" s="36" t="n">
        <f aca="false">D82*E82</f>
        <v>1750</v>
      </c>
    </row>
    <row r="83" customFormat="false" ht="15" hidden="false" customHeight="false" outlineLevel="0" collapsed="false">
      <c r="B83" s="2" t="s">
        <v>1675</v>
      </c>
      <c r="F83" s="39" t="n">
        <f aca="false">SUM(F82:F82)</f>
        <v>1750</v>
      </c>
    </row>
    <row r="84" customFormat="false" ht="15" hidden="false" customHeight="false" outlineLevel="0" collapsed="false">
      <c r="B84" s="2" t="s">
        <v>1659</v>
      </c>
    </row>
    <row r="85" customFormat="false" ht="15" hidden="false" customHeight="false" outlineLevel="0" collapsed="false">
      <c r="A85" s="66" t="n">
        <v>1</v>
      </c>
      <c r="B85" s="29" t="s">
        <v>1671</v>
      </c>
      <c r="C85" s="28" t="s">
        <v>1661</v>
      </c>
      <c r="D85" s="67" t="n">
        <v>0.08</v>
      </c>
      <c r="E85" s="30" t="n">
        <f aca="false">'Harga Bahan dan Tenaga'!$D$70</f>
        <v>85000</v>
      </c>
      <c r="F85" s="36" t="n">
        <f aca="false">D85*E85</f>
        <v>6800</v>
      </c>
    </row>
    <row r="86" customFormat="false" ht="15" hidden="false" customHeight="false" outlineLevel="0" collapsed="false">
      <c r="B86" s="2" t="s">
        <v>1662</v>
      </c>
      <c r="F86" s="39" t="n">
        <f aca="false">SUM(F85:F85)</f>
        <v>6800</v>
      </c>
    </row>
    <row r="87" customFormat="false" ht="15" hidden="false" customHeight="false" outlineLevel="0" collapsed="false">
      <c r="B87" s="2" t="s">
        <v>1663</v>
      </c>
      <c r="F87" s="39" t="n">
        <f aca="false">F80+F83+F86</f>
        <v>23050</v>
      </c>
    </row>
    <row r="88" customFormat="false" ht="15" hidden="false" customHeight="false" outlineLevel="0" collapsed="false">
      <c r="B88" s="5" t="s">
        <v>1664</v>
      </c>
      <c r="D88" s="68" t="n">
        <f aca="false">'Informasi Proyek'!$C$20</f>
        <v>0.1</v>
      </c>
      <c r="F88" s="36" t="n">
        <f aca="false">F87*D88</f>
        <v>2305</v>
      </c>
    </row>
    <row r="89" customFormat="false" ht="15" hidden="false" customHeight="false" outlineLevel="0" collapsed="false">
      <c r="A89" s="57"/>
      <c r="B89" s="69" t="s">
        <v>1665</v>
      </c>
      <c r="C89" s="57"/>
      <c r="D89" s="57"/>
      <c r="E89" s="57"/>
      <c r="F89" s="34" t="n">
        <f aca="false">ROUND(F87+F88,0)</f>
        <v>25355</v>
      </c>
    </row>
    <row r="91" customFormat="false" ht="15" hidden="false" customHeight="false" outlineLevel="0" collapsed="false">
      <c r="A91" s="24" t="s">
        <v>318</v>
      </c>
      <c r="B91" s="24" t="s">
        <v>1681</v>
      </c>
      <c r="C91" s="59" t="s">
        <v>1647</v>
      </c>
      <c r="D91" s="23"/>
      <c r="E91" s="23"/>
      <c r="F91" s="23"/>
      <c r="G91" s="64" t="s">
        <v>1677</v>
      </c>
    </row>
    <row r="92" customFormat="false" ht="15" hidden="false" customHeight="false" outlineLevel="0" collapsed="false">
      <c r="A92" s="65" t="s">
        <v>69</v>
      </c>
      <c r="B92" s="65" t="s">
        <v>1649</v>
      </c>
      <c r="C92" s="65" t="s">
        <v>1650</v>
      </c>
      <c r="D92" s="65" t="s">
        <v>1651</v>
      </c>
      <c r="E92" s="65" t="s">
        <v>1652</v>
      </c>
      <c r="F92" s="65" t="s">
        <v>1653</v>
      </c>
    </row>
    <row r="93" customFormat="false" ht="15" hidden="false" customHeight="false" outlineLevel="0" collapsed="false">
      <c r="B93" s="2" t="s">
        <v>1654</v>
      </c>
    </row>
    <row r="94" customFormat="false" ht="15" hidden="false" customHeight="false" outlineLevel="0" collapsed="false">
      <c r="A94" s="66" t="n">
        <v>1</v>
      </c>
      <c r="B94" s="29" t="s">
        <v>1655</v>
      </c>
      <c r="C94" s="28" t="s">
        <v>1656</v>
      </c>
      <c r="D94" s="67" t="n">
        <v>0.3</v>
      </c>
      <c r="E94" s="30" t="n">
        <f aca="false">'Harga Bahan dan Tenaga'!$D$7</f>
        <v>135000</v>
      </c>
      <c r="F94" s="36" t="n">
        <f aca="false">D94*E94</f>
        <v>40500</v>
      </c>
    </row>
    <row r="95" customFormat="false" ht="15" hidden="false" customHeight="false" outlineLevel="0" collapsed="false">
      <c r="A95" s="66" t="n">
        <v>2</v>
      </c>
      <c r="B95" s="29" t="s">
        <v>1657</v>
      </c>
      <c r="C95" s="28" t="s">
        <v>1656</v>
      </c>
      <c r="D95" s="67" t="n">
        <v>0.015</v>
      </c>
      <c r="E95" s="30" t="n">
        <f aca="false">'Harga Bahan dan Tenaga'!$D$15</f>
        <v>200000</v>
      </c>
      <c r="F95" s="36" t="n">
        <f aca="false">D95*E95</f>
        <v>3000</v>
      </c>
    </row>
    <row r="96" customFormat="false" ht="15" hidden="false" customHeight="false" outlineLevel="0" collapsed="false">
      <c r="B96" s="2" t="s">
        <v>1658</v>
      </c>
      <c r="F96" s="39" t="n">
        <f aca="false">SUM(F94:F95)</f>
        <v>43500</v>
      </c>
    </row>
    <row r="97" customFormat="false" ht="15" hidden="false" customHeight="false" outlineLevel="0" collapsed="false">
      <c r="B97" s="2" t="s">
        <v>1673</v>
      </c>
    </row>
    <row r="98" customFormat="false" ht="15" hidden="false" customHeight="false" outlineLevel="0" collapsed="false">
      <c r="A98" s="66" t="n">
        <v>1</v>
      </c>
      <c r="B98" s="29" t="s">
        <v>1682</v>
      </c>
      <c r="C98" s="28" t="s">
        <v>1647</v>
      </c>
      <c r="D98" s="67" t="n">
        <v>1.15</v>
      </c>
      <c r="E98" s="30" t="n">
        <f aca="false">'Harga Bahan dan Tenaga'!$D$36</f>
        <v>150000</v>
      </c>
      <c r="F98" s="36" t="n">
        <f aca="false">D98*E98</f>
        <v>172500</v>
      </c>
    </row>
    <row r="99" customFormat="false" ht="15" hidden="false" customHeight="false" outlineLevel="0" collapsed="false">
      <c r="B99" s="2" t="s">
        <v>1675</v>
      </c>
      <c r="F99" s="39" t="n">
        <f aca="false">SUM(F98:F98)</f>
        <v>172500</v>
      </c>
    </row>
    <row r="100" customFormat="false" ht="15" hidden="false" customHeight="false" outlineLevel="0" collapsed="false">
      <c r="B100" s="2" t="s">
        <v>1663</v>
      </c>
      <c r="F100" s="39" t="n">
        <f aca="false">F96+F99</f>
        <v>216000</v>
      </c>
    </row>
    <row r="101" customFormat="false" ht="15" hidden="false" customHeight="false" outlineLevel="0" collapsed="false">
      <c r="B101" s="5" t="s">
        <v>1664</v>
      </c>
      <c r="D101" s="68" t="n">
        <f aca="false">'Informasi Proyek'!$C$20</f>
        <v>0.1</v>
      </c>
      <c r="F101" s="36" t="n">
        <f aca="false">F100*D101</f>
        <v>21600</v>
      </c>
    </row>
    <row r="102" customFormat="false" ht="15" hidden="false" customHeight="false" outlineLevel="0" collapsed="false">
      <c r="A102" s="57"/>
      <c r="B102" s="69" t="s">
        <v>1665</v>
      </c>
      <c r="C102" s="57"/>
      <c r="D102" s="57"/>
      <c r="E102" s="57"/>
      <c r="F102" s="34" t="n">
        <f aca="false">ROUND(F100+F101,0)</f>
        <v>237600</v>
      </c>
    </row>
    <row r="104" customFormat="false" ht="15" hidden="false" customHeight="false" outlineLevel="0" collapsed="false">
      <c r="A104" s="24" t="s">
        <v>1433</v>
      </c>
      <c r="B104" s="24" t="s">
        <v>1683</v>
      </c>
      <c r="C104" s="59" t="s">
        <v>1647</v>
      </c>
      <c r="D104" s="23"/>
      <c r="E104" s="23"/>
      <c r="F104" s="23"/>
      <c r="G104" s="64" t="s">
        <v>1667</v>
      </c>
    </row>
    <row r="105" customFormat="false" ht="15" hidden="false" customHeight="false" outlineLevel="0" collapsed="false">
      <c r="A105" s="65" t="s">
        <v>69</v>
      </c>
      <c r="B105" s="65" t="s">
        <v>1649</v>
      </c>
      <c r="C105" s="65" t="s">
        <v>1650</v>
      </c>
      <c r="D105" s="65" t="s">
        <v>1651</v>
      </c>
      <c r="E105" s="65" t="s">
        <v>1652</v>
      </c>
      <c r="F105" s="65" t="s">
        <v>1653</v>
      </c>
    </row>
    <row r="106" customFormat="false" ht="15" hidden="false" customHeight="false" outlineLevel="0" collapsed="false">
      <c r="B106" s="2" t="s">
        <v>1654</v>
      </c>
    </row>
    <row r="107" customFormat="false" ht="15" hidden="false" customHeight="false" outlineLevel="0" collapsed="false">
      <c r="A107" s="66" t="n">
        <v>1</v>
      </c>
      <c r="B107" s="29" t="s">
        <v>1655</v>
      </c>
      <c r="C107" s="28" t="s">
        <v>1656</v>
      </c>
      <c r="D107" s="67" t="n">
        <v>0.02</v>
      </c>
      <c r="E107" s="30" t="n">
        <f aca="false">'Harga Bahan dan Tenaga'!$D$7</f>
        <v>135000</v>
      </c>
      <c r="F107" s="36" t="n">
        <f aca="false">D107*E107</f>
        <v>2700</v>
      </c>
    </row>
    <row r="108" customFormat="false" ht="15" hidden="false" customHeight="false" outlineLevel="0" collapsed="false">
      <c r="B108" s="2" t="s">
        <v>1658</v>
      </c>
      <c r="F108" s="39" t="n">
        <f aca="false">SUM(F107:F107)</f>
        <v>2700</v>
      </c>
    </row>
    <row r="109" customFormat="false" ht="15" hidden="false" customHeight="false" outlineLevel="0" collapsed="false">
      <c r="B109" s="2" t="s">
        <v>1659</v>
      </c>
    </row>
    <row r="110" customFormat="false" ht="15" hidden="false" customHeight="false" outlineLevel="0" collapsed="false">
      <c r="A110" s="66" t="n">
        <v>1</v>
      </c>
      <c r="B110" s="29" t="s">
        <v>1660</v>
      </c>
      <c r="C110" s="28" t="s">
        <v>1661</v>
      </c>
      <c r="D110" s="67" t="n">
        <v>0.025</v>
      </c>
      <c r="E110" s="30" t="n">
        <f aca="false">'Harga Bahan dan Tenaga'!$D$63</f>
        <v>650000</v>
      </c>
      <c r="F110" s="36" t="n">
        <f aca="false">D110*E110</f>
        <v>16250</v>
      </c>
    </row>
    <row r="111" customFormat="false" ht="15" hidden="false" customHeight="false" outlineLevel="0" collapsed="false">
      <c r="A111" s="66" t="n">
        <v>2</v>
      </c>
      <c r="B111" s="29" t="s">
        <v>1684</v>
      </c>
      <c r="C111" s="28" t="s">
        <v>1661</v>
      </c>
      <c r="D111" s="67" t="n">
        <v>0.02</v>
      </c>
      <c r="E111" s="30" t="n">
        <f aca="false">'Harga Bahan dan Tenaga'!$D$65</f>
        <v>750000</v>
      </c>
      <c r="F111" s="36" t="n">
        <f aca="false">D111*E111</f>
        <v>15000</v>
      </c>
    </row>
    <row r="112" customFormat="false" ht="15" hidden="false" customHeight="false" outlineLevel="0" collapsed="false">
      <c r="A112" s="66" t="n">
        <v>3</v>
      </c>
      <c r="B112" s="29" t="s">
        <v>1668</v>
      </c>
      <c r="C112" s="28" t="s">
        <v>1661</v>
      </c>
      <c r="D112" s="67" t="n">
        <v>0.05</v>
      </c>
      <c r="E112" s="30" t="n">
        <f aca="false">'Harga Bahan dan Tenaga'!$D$64</f>
        <v>450000</v>
      </c>
      <c r="F112" s="36" t="n">
        <f aca="false">D112*E112</f>
        <v>22500</v>
      </c>
    </row>
    <row r="113" customFormat="false" ht="15" hidden="false" customHeight="false" outlineLevel="0" collapsed="false">
      <c r="A113" s="66" t="n">
        <v>4</v>
      </c>
      <c r="B113" s="29" t="s">
        <v>1685</v>
      </c>
      <c r="C113" s="28" t="s">
        <v>1661</v>
      </c>
      <c r="D113" s="67" t="n">
        <v>0.01</v>
      </c>
      <c r="E113" s="30" t="n">
        <f aca="false">'Harga Bahan dan Tenaga'!$D$66</f>
        <v>420000</v>
      </c>
      <c r="F113" s="36" t="n">
        <f aca="false">D113*E113</f>
        <v>4200</v>
      </c>
    </row>
    <row r="114" customFormat="false" ht="15" hidden="false" customHeight="false" outlineLevel="0" collapsed="false">
      <c r="B114" s="2" t="s">
        <v>1662</v>
      </c>
      <c r="F114" s="39" t="n">
        <f aca="false">SUM(F110:F113)</f>
        <v>57950</v>
      </c>
    </row>
    <row r="115" customFormat="false" ht="15" hidden="false" customHeight="false" outlineLevel="0" collapsed="false">
      <c r="B115" s="2" t="s">
        <v>1663</v>
      </c>
      <c r="F115" s="39" t="n">
        <f aca="false">F108+F114</f>
        <v>60650</v>
      </c>
    </row>
    <row r="116" customFormat="false" ht="15" hidden="false" customHeight="false" outlineLevel="0" collapsed="false">
      <c r="B116" s="5" t="s">
        <v>1664</v>
      </c>
      <c r="D116" s="68" t="n">
        <f aca="false">'Informasi Proyek'!$C$20</f>
        <v>0.1</v>
      </c>
      <c r="F116" s="36" t="n">
        <f aca="false">F115*D116</f>
        <v>6065</v>
      </c>
    </row>
    <row r="117" customFormat="false" ht="15" hidden="false" customHeight="false" outlineLevel="0" collapsed="false">
      <c r="A117" s="57"/>
      <c r="B117" s="69" t="s">
        <v>1665</v>
      </c>
      <c r="C117" s="57"/>
      <c r="D117" s="57"/>
      <c r="E117" s="57"/>
      <c r="F117" s="34" t="n">
        <f aca="false">ROUND(F115+F116,0)</f>
        <v>66715</v>
      </c>
    </row>
    <row r="119" customFormat="false" ht="15" hidden="false" customHeight="false" outlineLevel="0" collapsed="false">
      <c r="A119" s="24" t="s">
        <v>1450</v>
      </c>
      <c r="B119" s="24" t="s">
        <v>1686</v>
      </c>
      <c r="C119" s="59" t="s">
        <v>1647</v>
      </c>
      <c r="D119" s="23"/>
      <c r="E119" s="23"/>
      <c r="F119" s="23"/>
      <c r="G119" s="64" t="s">
        <v>1667</v>
      </c>
    </row>
    <row r="120" customFormat="false" ht="15" hidden="false" customHeight="false" outlineLevel="0" collapsed="false">
      <c r="A120" s="65" t="s">
        <v>69</v>
      </c>
      <c r="B120" s="65" t="s">
        <v>1649</v>
      </c>
      <c r="C120" s="65" t="s">
        <v>1650</v>
      </c>
      <c r="D120" s="65" t="s">
        <v>1651</v>
      </c>
      <c r="E120" s="65" t="s">
        <v>1652</v>
      </c>
      <c r="F120" s="65" t="s">
        <v>1653</v>
      </c>
    </row>
    <row r="121" customFormat="false" ht="15" hidden="false" customHeight="false" outlineLevel="0" collapsed="false">
      <c r="B121" s="2" t="s">
        <v>1654</v>
      </c>
    </row>
    <row r="122" customFormat="false" ht="15" hidden="false" customHeight="false" outlineLevel="0" collapsed="false">
      <c r="A122" s="66" t="n">
        <v>1</v>
      </c>
      <c r="B122" s="29" t="s">
        <v>1655</v>
      </c>
      <c r="C122" s="28" t="s">
        <v>1656</v>
      </c>
      <c r="D122" s="67" t="n">
        <v>0.1</v>
      </c>
      <c r="E122" s="30" t="n">
        <f aca="false">'Harga Bahan dan Tenaga'!$D$7</f>
        <v>135000</v>
      </c>
      <c r="F122" s="36" t="n">
        <f aca="false">D122*E122</f>
        <v>13500</v>
      </c>
    </row>
    <row r="123" customFormat="false" ht="15" hidden="false" customHeight="false" outlineLevel="0" collapsed="false">
      <c r="A123" s="66" t="n">
        <v>2</v>
      </c>
      <c r="B123" s="29" t="s">
        <v>1657</v>
      </c>
      <c r="C123" s="28" t="s">
        <v>1656</v>
      </c>
      <c r="D123" s="67" t="n">
        <v>0.005</v>
      </c>
      <c r="E123" s="30" t="n">
        <f aca="false">'Harga Bahan dan Tenaga'!$D$15</f>
        <v>200000</v>
      </c>
      <c r="F123" s="36" t="n">
        <f aca="false">D123*E123</f>
        <v>1000</v>
      </c>
    </row>
    <row r="124" customFormat="false" ht="15" hidden="false" customHeight="false" outlineLevel="0" collapsed="false">
      <c r="B124" s="2" t="s">
        <v>1658</v>
      </c>
      <c r="F124" s="39" t="n">
        <f aca="false">SUM(F122:F123)</f>
        <v>14500</v>
      </c>
    </row>
    <row r="125" customFormat="false" ht="15" hidden="false" customHeight="false" outlineLevel="0" collapsed="false">
      <c r="B125" s="2" t="s">
        <v>1659</v>
      </c>
    </row>
    <row r="126" customFormat="false" ht="15" hidden="false" customHeight="false" outlineLevel="0" collapsed="false">
      <c r="A126" s="66" t="n">
        <v>1</v>
      </c>
      <c r="B126" s="29" t="s">
        <v>1660</v>
      </c>
      <c r="C126" s="28" t="s">
        <v>1661</v>
      </c>
      <c r="D126" s="67" t="n">
        <v>0.03</v>
      </c>
      <c r="E126" s="30" t="n">
        <f aca="false">'Harga Bahan dan Tenaga'!$D$63</f>
        <v>650000</v>
      </c>
      <c r="F126" s="36" t="n">
        <f aca="false">D126*E126</f>
        <v>19500</v>
      </c>
    </row>
    <row r="127" customFormat="false" ht="15" hidden="false" customHeight="false" outlineLevel="0" collapsed="false">
      <c r="A127" s="66" t="n">
        <v>2</v>
      </c>
      <c r="B127" s="29" t="s">
        <v>1668</v>
      </c>
      <c r="C127" s="28" t="s">
        <v>1661</v>
      </c>
      <c r="D127" s="67" t="n">
        <v>0.06</v>
      </c>
      <c r="E127" s="30" t="n">
        <f aca="false">'Harga Bahan dan Tenaga'!$D$64</f>
        <v>450000</v>
      </c>
      <c r="F127" s="36" t="n">
        <f aca="false">D127*E127</f>
        <v>27000</v>
      </c>
    </row>
    <row r="128" customFormat="false" ht="15" hidden="false" customHeight="false" outlineLevel="0" collapsed="false">
      <c r="A128" s="66" t="n">
        <v>3</v>
      </c>
      <c r="B128" s="29" t="s">
        <v>1685</v>
      </c>
      <c r="C128" s="28" t="s">
        <v>1661</v>
      </c>
      <c r="D128" s="67" t="n">
        <v>0.02</v>
      </c>
      <c r="E128" s="30" t="n">
        <f aca="false">'Harga Bahan dan Tenaga'!$D$66</f>
        <v>420000</v>
      </c>
      <c r="F128" s="36" t="n">
        <f aca="false">D128*E128</f>
        <v>8400</v>
      </c>
    </row>
    <row r="129" customFormat="false" ht="15" hidden="false" customHeight="false" outlineLevel="0" collapsed="false">
      <c r="B129" s="2" t="s">
        <v>1662</v>
      </c>
      <c r="F129" s="39" t="n">
        <f aca="false">SUM(F126:F128)</f>
        <v>54900</v>
      </c>
    </row>
    <row r="130" customFormat="false" ht="15" hidden="false" customHeight="false" outlineLevel="0" collapsed="false">
      <c r="B130" s="2" t="s">
        <v>1663</v>
      </c>
      <c r="F130" s="39" t="n">
        <f aca="false">F124+F129</f>
        <v>69400</v>
      </c>
    </row>
    <row r="131" customFormat="false" ht="15" hidden="false" customHeight="false" outlineLevel="0" collapsed="false">
      <c r="B131" s="5" t="s">
        <v>1664</v>
      </c>
      <c r="D131" s="68" t="n">
        <f aca="false">'Informasi Proyek'!$C$20</f>
        <v>0.1</v>
      </c>
      <c r="F131" s="36" t="n">
        <f aca="false">F130*D131</f>
        <v>6940</v>
      </c>
    </row>
    <row r="132" customFormat="false" ht="15" hidden="false" customHeight="false" outlineLevel="0" collapsed="false">
      <c r="A132" s="57"/>
      <c r="B132" s="69" t="s">
        <v>1665</v>
      </c>
      <c r="C132" s="57"/>
      <c r="D132" s="57"/>
      <c r="E132" s="57"/>
      <c r="F132" s="34" t="n">
        <f aca="false">ROUND(F130+F131,0)</f>
        <v>76340</v>
      </c>
    </row>
    <row r="134" customFormat="false" ht="15" hidden="false" customHeight="false" outlineLevel="0" collapsed="false">
      <c r="A134" s="24" t="s">
        <v>1448</v>
      </c>
      <c r="B134" s="24" t="s">
        <v>1687</v>
      </c>
      <c r="C134" s="59" t="s">
        <v>219</v>
      </c>
      <c r="D134" s="23"/>
      <c r="E134" s="23"/>
      <c r="F134" s="23"/>
      <c r="G134" s="64" t="s">
        <v>1667</v>
      </c>
    </row>
    <row r="135" customFormat="false" ht="15" hidden="false" customHeight="false" outlineLevel="0" collapsed="false">
      <c r="A135" s="65" t="s">
        <v>69</v>
      </c>
      <c r="B135" s="65" t="s">
        <v>1649</v>
      </c>
      <c r="C135" s="65" t="s">
        <v>1650</v>
      </c>
      <c r="D135" s="65" t="s">
        <v>1651</v>
      </c>
      <c r="E135" s="65" t="s">
        <v>1652</v>
      </c>
      <c r="F135" s="65" t="s">
        <v>1653</v>
      </c>
    </row>
    <row r="136" customFormat="false" ht="15" hidden="false" customHeight="false" outlineLevel="0" collapsed="false">
      <c r="B136" s="2" t="s">
        <v>1654</v>
      </c>
    </row>
    <row r="137" customFormat="false" ht="15" hidden="false" customHeight="false" outlineLevel="0" collapsed="false">
      <c r="A137" s="66" t="n">
        <v>1</v>
      </c>
      <c r="B137" s="29" t="s">
        <v>1655</v>
      </c>
      <c r="C137" s="28" t="s">
        <v>1656</v>
      </c>
      <c r="D137" s="67" t="n">
        <v>0.05</v>
      </c>
      <c r="E137" s="30" t="n">
        <f aca="false">'Harga Bahan dan Tenaga'!$D$7</f>
        <v>135000</v>
      </c>
      <c r="F137" s="36" t="n">
        <f aca="false">D137*E137</f>
        <v>6750</v>
      </c>
    </row>
    <row r="138" customFormat="false" ht="15" hidden="false" customHeight="false" outlineLevel="0" collapsed="false">
      <c r="A138" s="66" t="n">
        <v>2</v>
      </c>
      <c r="B138" s="29" t="s">
        <v>1657</v>
      </c>
      <c r="C138" s="28" t="s">
        <v>1656</v>
      </c>
      <c r="D138" s="67" t="n">
        <v>0.003</v>
      </c>
      <c r="E138" s="30" t="n">
        <f aca="false">'Harga Bahan dan Tenaga'!$D$15</f>
        <v>200000</v>
      </c>
      <c r="F138" s="36" t="n">
        <f aca="false">D138*E138</f>
        <v>600</v>
      </c>
    </row>
    <row r="139" customFormat="false" ht="15" hidden="false" customHeight="false" outlineLevel="0" collapsed="false">
      <c r="B139" s="2" t="s">
        <v>1658</v>
      </c>
      <c r="F139" s="39" t="n">
        <f aca="false">SUM(F137:F138)</f>
        <v>7350</v>
      </c>
    </row>
    <row r="140" customFormat="false" ht="15" hidden="false" customHeight="false" outlineLevel="0" collapsed="false">
      <c r="B140" s="2" t="s">
        <v>1659</v>
      </c>
    </row>
    <row r="141" customFormat="false" ht="15" hidden="false" customHeight="false" outlineLevel="0" collapsed="false">
      <c r="A141" s="66" t="n">
        <v>1</v>
      </c>
      <c r="B141" s="29" t="s">
        <v>1688</v>
      </c>
      <c r="C141" s="28" t="s">
        <v>1661</v>
      </c>
      <c r="D141" s="67" t="n">
        <v>0.01</v>
      </c>
      <c r="E141" s="30" t="n">
        <f aca="false">'Harga Bahan dan Tenaga'!$D$67</f>
        <v>600000</v>
      </c>
      <c r="F141" s="36" t="n">
        <f aca="false">D141*E141</f>
        <v>6000</v>
      </c>
    </row>
    <row r="142" customFormat="false" ht="15" hidden="false" customHeight="false" outlineLevel="0" collapsed="false">
      <c r="A142" s="66" t="n">
        <v>2</v>
      </c>
      <c r="B142" s="29" t="s">
        <v>1685</v>
      </c>
      <c r="C142" s="28" t="s">
        <v>1661</v>
      </c>
      <c r="D142" s="67" t="n">
        <v>0.01</v>
      </c>
      <c r="E142" s="30" t="n">
        <f aca="false">'Harga Bahan dan Tenaga'!$D$66</f>
        <v>420000</v>
      </c>
      <c r="F142" s="36" t="n">
        <f aca="false">D142*E142</f>
        <v>4200</v>
      </c>
    </row>
    <row r="143" customFormat="false" ht="15" hidden="false" customHeight="false" outlineLevel="0" collapsed="false">
      <c r="B143" s="2" t="s">
        <v>1662</v>
      </c>
      <c r="F143" s="39" t="n">
        <f aca="false">SUM(F141:F142)</f>
        <v>10200</v>
      </c>
    </row>
    <row r="144" customFormat="false" ht="15" hidden="false" customHeight="false" outlineLevel="0" collapsed="false">
      <c r="B144" s="2" t="s">
        <v>1663</v>
      </c>
      <c r="F144" s="39" t="n">
        <f aca="false">F139+F143</f>
        <v>17550</v>
      </c>
    </row>
    <row r="145" customFormat="false" ht="15" hidden="false" customHeight="false" outlineLevel="0" collapsed="false">
      <c r="B145" s="5" t="s">
        <v>1664</v>
      </c>
      <c r="D145" s="68" t="n">
        <f aca="false">'Informasi Proyek'!$C$20</f>
        <v>0.1</v>
      </c>
      <c r="F145" s="36" t="n">
        <f aca="false">F144*D145</f>
        <v>1755</v>
      </c>
    </row>
    <row r="146" customFormat="false" ht="15" hidden="false" customHeight="false" outlineLevel="0" collapsed="false">
      <c r="A146" s="57"/>
      <c r="B146" s="69" t="s">
        <v>1689</v>
      </c>
      <c r="C146" s="57"/>
      <c r="D146" s="57"/>
      <c r="E146" s="57"/>
      <c r="F146" s="34" t="n">
        <f aca="false">ROUND(F144+F145,0)</f>
        <v>19305</v>
      </c>
    </row>
    <row r="148" customFormat="false" ht="15" hidden="false" customHeight="false" outlineLevel="0" collapsed="false">
      <c r="A148" s="24" t="s">
        <v>1444</v>
      </c>
      <c r="B148" s="24" t="s">
        <v>1690</v>
      </c>
      <c r="C148" s="59" t="s">
        <v>1647</v>
      </c>
      <c r="D148" s="23"/>
      <c r="E148" s="23"/>
      <c r="F148" s="23"/>
      <c r="G148" s="64" t="s">
        <v>1670</v>
      </c>
    </row>
    <row r="149" customFormat="false" ht="15" hidden="false" customHeight="false" outlineLevel="0" collapsed="false">
      <c r="A149" s="65" t="s">
        <v>69</v>
      </c>
      <c r="B149" s="65" t="s">
        <v>1649</v>
      </c>
      <c r="C149" s="65" t="s">
        <v>1650</v>
      </c>
      <c r="D149" s="65" t="s">
        <v>1651</v>
      </c>
      <c r="E149" s="65" t="s">
        <v>1652</v>
      </c>
      <c r="F149" s="65" t="s">
        <v>1653</v>
      </c>
    </row>
    <row r="150" customFormat="false" ht="15" hidden="false" customHeight="false" outlineLevel="0" collapsed="false">
      <c r="B150" s="2" t="s">
        <v>1654</v>
      </c>
    </row>
    <row r="151" customFormat="false" ht="15" hidden="false" customHeight="false" outlineLevel="0" collapsed="false">
      <c r="A151" s="66" t="n">
        <v>1</v>
      </c>
      <c r="B151" s="29" t="s">
        <v>1655</v>
      </c>
      <c r="C151" s="28" t="s">
        <v>1656</v>
      </c>
      <c r="D151" s="67" t="n">
        <v>0.9</v>
      </c>
      <c r="E151" s="30" t="n">
        <f aca="false">'Harga Bahan dan Tenaga'!$D$7</f>
        <v>135000</v>
      </c>
      <c r="F151" s="36" t="n">
        <f aca="false">D151*E151</f>
        <v>121500</v>
      </c>
    </row>
    <row r="152" customFormat="false" ht="15" hidden="false" customHeight="false" outlineLevel="0" collapsed="false">
      <c r="A152" s="66" t="n">
        <v>2</v>
      </c>
      <c r="B152" s="29" t="s">
        <v>1657</v>
      </c>
      <c r="C152" s="28" t="s">
        <v>1656</v>
      </c>
      <c r="D152" s="67" t="n">
        <v>0.045</v>
      </c>
      <c r="E152" s="30" t="n">
        <f aca="false">'Harga Bahan dan Tenaga'!$D$15</f>
        <v>200000</v>
      </c>
      <c r="F152" s="36" t="n">
        <f aca="false">D152*E152</f>
        <v>9000</v>
      </c>
    </row>
    <row r="153" customFormat="false" ht="15" hidden="false" customHeight="false" outlineLevel="0" collapsed="false">
      <c r="B153" s="2" t="s">
        <v>1658</v>
      </c>
      <c r="F153" s="39" t="n">
        <f aca="false">SUM(F151:F152)</f>
        <v>130500</v>
      </c>
    </row>
    <row r="154" customFormat="false" ht="15" hidden="false" customHeight="false" outlineLevel="0" collapsed="false">
      <c r="B154" s="2" t="s">
        <v>1663</v>
      </c>
      <c r="F154" s="39" t="n">
        <f aca="false">F153</f>
        <v>130500</v>
      </c>
    </row>
    <row r="155" customFormat="false" ht="15" hidden="false" customHeight="false" outlineLevel="0" collapsed="false">
      <c r="B155" s="5" t="s">
        <v>1664</v>
      </c>
      <c r="D155" s="68" t="n">
        <f aca="false">'Informasi Proyek'!$C$20</f>
        <v>0.1</v>
      </c>
      <c r="F155" s="36" t="n">
        <f aca="false">F154*D155</f>
        <v>13050</v>
      </c>
    </row>
    <row r="156" customFormat="false" ht="15" hidden="false" customHeight="false" outlineLevel="0" collapsed="false">
      <c r="A156" s="57"/>
      <c r="B156" s="69" t="s">
        <v>1665</v>
      </c>
      <c r="C156" s="57"/>
      <c r="D156" s="57"/>
      <c r="E156" s="57"/>
      <c r="F156" s="34" t="n">
        <f aca="false">ROUND(F154+F155,0)</f>
        <v>143550</v>
      </c>
    </row>
    <row r="158" customFormat="false" ht="15" hidden="false" customHeight="false" outlineLevel="0" collapsed="false">
      <c r="A158" s="24" t="s">
        <v>1348</v>
      </c>
      <c r="B158" s="24" t="s">
        <v>1691</v>
      </c>
      <c r="C158" s="59" t="s">
        <v>1647</v>
      </c>
      <c r="D158" s="23"/>
      <c r="E158" s="23"/>
      <c r="F158" s="23"/>
      <c r="G158" s="64" t="s">
        <v>1692</v>
      </c>
    </row>
    <row r="159" customFormat="false" ht="15" hidden="false" customHeight="false" outlineLevel="0" collapsed="false">
      <c r="A159" s="65" t="s">
        <v>69</v>
      </c>
      <c r="B159" s="65" t="s">
        <v>1649</v>
      </c>
      <c r="C159" s="65" t="s">
        <v>1650</v>
      </c>
      <c r="D159" s="65" t="s">
        <v>1651</v>
      </c>
      <c r="E159" s="65" t="s">
        <v>1652</v>
      </c>
      <c r="F159" s="65" t="s">
        <v>1653</v>
      </c>
    </row>
    <row r="160" customFormat="false" ht="15" hidden="false" customHeight="false" outlineLevel="0" collapsed="false">
      <c r="B160" s="2" t="s">
        <v>1654</v>
      </c>
    </row>
    <row r="161" customFormat="false" ht="15" hidden="false" customHeight="false" outlineLevel="0" collapsed="false">
      <c r="A161" s="66" t="n">
        <v>1</v>
      </c>
      <c r="B161" s="29" t="s">
        <v>1655</v>
      </c>
      <c r="C161" s="28" t="s">
        <v>1656</v>
      </c>
      <c r="D161" s="67" t="n">
        <v>0.78</v>
      </c>
      <c r="E161" s="30" t="n">
        <f aca="false">'Harga Bahan dan Tenaga'!$D$7</f>
        <v>135000</v>
      </c>
      <c r="F161" s="36" t="n">
        <f aca="false">D161*E161</f>
        <v>105300</v>
      </c>
    </row>
    <row r="162" customFormat="false" ht="15" hidden="false" customHeight="false" outlineLevel="0" collapsed="false">
      <c r="A162" s="66" t="n">
        <v>2</v>
      </c>
      <c r="B162" s="29" t="s">
        <v>1693</v>
      </c>
      <c r="C162" s="28" t="s">
        <v>1656</v>
      </c>
      <c r="D162" s="67" t="n">
        <v>0.26</v>
      </c>
      <c r="E162" s="30" t="n">
        <f aca="false">'Harga Bahan dan Tenaga'!$D$8</f>
        <v>170000</v>
      </c>
      <c r="F162" s="36" t="n">
        <f aca="false">D162*E162</f>
        <v>44200</v>
      </c>
    </row>
    <row r="163" customFormat="false" ht="15" hidden="false" customHeight="false" outlineLevel="0" collapsed="false">
      <c r="A163" s="66" t="n">
        <v>3</v>
      </c>
      <c r="B163" s="29" t="s">
        <v>1694</v>
      </c>
      <c r="C163" s="28" t="s">
        <v>1656</v>
      </c>
      <c r="D163" s="67" t="n">
        <v>0.026</v>
      </c>
      <c r="E163" s="30" t="n">
        <f aca="false">'Harga Bahan dan Tenaga'!$D$14</f>
        <v>190000</v>
      </c>
      <c r="F163" s="36" t="n">
        <f aca="false">D163*E163</f>
        <v>4940</v>
      </c>
    </row>
    <row r="164" customFormat="false" ht="15" hidden="false" customHeight="false" outlineLevel="0" collapsed="false">
      <c r="A164" s="66" t="n">
        <v>4</v>
      </c>
      <c r="B164" s="29" t="s">
        <v>1657</v>
      </c>
      <c r="C164" s="28" t="s">
        <v>1656</v>
      </c>
      <c r="D164" s="67" t="n">
        <v>0.039</v>
      </c>
      <c r="E164" s="30" t="n">
        <f aca="false">'Harga Bahan dan Tenaga'!$D$15</f>
        <v>200000</v>
      </c>
      <c r="F164" s="36" t="n">
        <f aca="false">D164*E164</f>
        <v>7800</v>
      </c>
    </row>
    <row r="165" customFormat="false" ht="15" hidden="false" customHeight="false" outlineLevel="0" collapsed="false">
      <c r="B165" s="2" t="s">
        <v>1658</v>
      </c>
      <c r="F165" s="39" t="n">
        <f aca="false">SUM(F161:F164)</f>
        <v>162240</v>
      </c>
    </row>
    <row r="166" customFormat="false" ht="15" hidden="false" customHeight="false" outlineLevel="0" collapsed="false">
      <c r="B166" s="2" t="s">
        <v>1673</v>
      </c>
    </row>
    <row r="167" customFormat="false" ht="15" hidden="false" customHeight="false" outlineLevel="0" collapsed="false">
      <c r="A167" s="66" t="n">
        <v>1</v>
      </c>
      <c r="B167" s="29" t="s">
        <v>1695</v>
      </c>
      <c r="C167" s="28" t="s">
        <v>1647</v>
      </c>
      <c r="D167" s="67" t="n">
        <v>1.2</v>
      </c>
      <c r="E167" s="30" t="n">
        <f aca="false">'Harga Bahan dan Tenaga'!$D$22</f>
        <v>380000</v>
      </c>
      <c r="F167" s="36" t="n">
        <f aca="false">D167*E167</f>
        <v>456000</v>
      </c>
    </row>
    <row r="168" customFormat="false" ht="15" hidden="false" customHeight="false" outlineLevel="0" collapsed="false">
      <c r="A168" s="66" t="n">
        <v>2</v>
      </c>
      <c r="B168" s="29" t="s">
        <v>1674</v>
      </c>
      <c r="C168" s="28" t="s">
        <v>1647</v>
      </c>
      <c r="D168" s="67" t="n">
        <v>0.432</v>
      </c>
      <c r="E168" s="30" t="n">
        <f aca="false">'Harga Bahan dan Tenaga'!$D$19</f>
        <v>320000</v>
      </c>
      <c r="F168" s="36" t="n">
        <f aca="false">D168*E168</f>
        <v>138240</v>
      </c>
    </row>
    <row r="169" customFormat="false" ht="15" hidden="false" customHeight="false" outlineLevel="0" collapsed="false">
      <c r="B169" s="2" t="s">
        <v>1675</v>
      </c>
      <c r="F169" s="39" t="n">
        <f aca="false">SUM(F167:F168)</f>
        <v>594240</v>
      </c>
    </row>
    <row r="170" customFormat="false" ht="15" hidden="false" customHeight="false" outlineLevel="0" collapsed="false">
      <c r="B170" s="2" t="s">
        <v>1663</v>
      </c>
      <c r="F170" s="39" t="n">
        <f aca="false">F165+F169</f>
        <v>756480</v>
      </c>
    </row>
    <row r="171" customFormat="false" ht="15" hidden="false" customHeight="false" outlineLevel="0" collapsed="false">
      <c r="B171" s="5" t="s">
        <v>1664</v>
      </c>
      <c r="D171" s="68" t="n">
        <f aca="false">'Informasi Proyek'!$C$20</f>
        <v>0.1</v>
      </c>
      <c r="F171" s="36" t="n">
        <f aca="false">F170*D171</f>
        <v>75648</v>
      </c>
    </row>
    <row r="172" customFormat="false" ht="15" hidden="false" customHeight="false" outlineLevel="0" collapsed="false">
      <c r="A172" s="57"/>
      <c r="B172" s="69" t="s">
        <v>1665</v>
      </c>
      <c r="C172" s="57"/>
      <c r="D172" s="57"/>
      <c r="E172" s="57"/>
      <c r="F172" s="34" t="n">
        <f aca="false">ROUND(F170+F171,0)</f>
        <v>832128</v>
      </c>
    </row>
    <row r="174" customFormat="false" ht="15" hidden="false" customHeight="false" outlineLevel="0" collapsed="false">
      <c r="A174" s="24" t="s">
        <v>339</v>
      </c>
      <c r="B174" s="24" t="s">
        <v>1696</v>
      </c>
      <c r="C174" s="59" t="s">
        <v>1647</v>
      </c>
      <c r="D174" s="23"/>
      <c r="E174" s="23"/>
      <c r="F174" s="23"/>
      <c r="G174" s="64" t="s">
        <v>1692</v>
      </c>
    </row>
    <row r="175" customFormat="false" ht="15" hidden="false" customHeight="false" outlineLevel="0" collapsed="false">
      <c r="A175" s="65" t="s">
        <v>69</v>
      </c>
      <c r="B175" s="65" t="s">
        <v>1649</v>
      </c>
      <c r="C175" s="65" t="s">
        <v>1650</v>
      </c>
      <c r="D175" s="65" t="s">
        <v>1651</v>
      </c>
      <c r="E175" s="65" t="s">
        <v>1652</v>
      </c>
      <c r="F175" s="65" t="s">
        <v>1653</v>
      </c>
    </row>
    <row r="176" customFormat="false" ht="15" hidden="false" customHeight="false" outlineLevel="0" collapsed="false">
      <c r="B176" s="2" t="s">
        <v>1654</v>
      </c>
    </row>
    <row r="177" customFormat="false" ht="15" hidden="false" customHeight="false" outlineLevel="0" collapsed="false">
      <c r="A177" s="66" t="n">
        <v>1</v>
      </c>
      <c r="B177" s="29" t="s">
        <v>1655</v>
      </c>
      <c r="C177" s="28" t="s">
        <v>1656</v>
      </c>
      <c r="D177" s="67" t="n">
        <v>1.5</v>
      </c>
      <c r="E177" s="30" t="n">
        <f aca="false">'Harga Bahan dan Tenaga'!$D$7</f>
        <v>135000</v>
      </c>
      <c r="F177" s="36" t="n">
        <f aca="false">D177*E177</f>
        <v>202500</v>
      </c>
    </row>
    <row r="178" customFormat="false" ht="15" hidden="false" customHeight="false" outlineLevel="0" collapsed="false">
      <c r="A178" s="66" t="n">
        <v>2</v>
      </c>
      <c r="B178" s="29" t="s">
        <v>1693</v>
      </c>
      <c r="C178" s="28" t="s">
        <v>1656</v>
      </c>
      <c r="D178" s="67" t="n">
        <v>0.75</v>
      </c>
      <c r="E178" s="30" t="n">
        <f aca="false">'Harga Bahan dan Tenaga'!$D$8</f>
        <v>170000</v>
      </c>
      <c r="F178" s="36" t="n">
        <f aca="false">D178*E178</f>
        <v>127500</v>
      </c>
    </row>
    <row r="179" customFormat="false" ht="15" hidden="false" customHeight="false" outlineLevel="0" collapsed="false">
      <c r="A179" s="66" t="n">
        <v>3</v>
      </c>
      <c r="B179" s="29" t="s">
        <v>1694</v>
      </c>
      <c r="C179" s="28" t="s">
        <v>1656</v>
      </c>
      <c r="D179" s="67" t="n">
        <v>0.075</v>
      </c>
      <c r="E179" s="30" t="n">
        <f aca="false">'Harga Bahan dan Tenaga'!$D$14</f>
        <v>190000</v>
      </c>
      <c r="F179" s="36" t="n">
        <f aca="false">D179*E179</f>
        <v>14250</v>
      </c>
    </row>
    <row r="180" customFormat="false" ht="15" hidden="false" customHeight="false" outlineLevel="0" collapsed="false">
      <c r="A180" s="66" t="n">
        <v>4</v>
      </c>
      <c r="B180" s="29" t="s">
        <v>1657</v>
      </c>
      <c r="C180" s="28" t="s">
        <v>1656</v>
      </c>
      <c r="D180" s="67" t="n">
        <v>0.075</v>
      </c>
      <c r="E180" s="30" t="n">
        <f aca="false">'Harga Bahan dan Tenaga'!$D$15</f>
        <v>200000</v>
      </c>
      <c r="F180" s="36" t="n">
        <f aca="false">D180*E180</f>
        <v>15000</v>
      </c>
    </row>
    <row r="181" customFormat="false" ht="15" hidden="false" customHeight="false" outlineLevel="0" collapsed="false">
      <c r="B181" s="2" t="s">
        <v>1658</v>
      </c>
      <c r="F181" s="39" t="n">
        <f aca="false">SUM(F177:F180)</f>
        <v>359250</v>
      </c>
    </row>
    <row r="182" customFormat="false" ht="15" hidden="false" customHeight="false" outlineLevel="0" collapsed="false">
      <c r="B182" s="2" t="s">
        <v>1673</v>
      </c>
    </row>
    <row r="183" customFormat="false" ht="15" hidden="false" customHeight="false" outlineLevel="0" collapsed="false">
      <c r="A183" s="66" t="n">
        <v>1</v>
      </c>
      <c r="B183" s="29" t="s">
        <v>1697</v>
      </c>
      <c r="C183" s="28" t="s">
        <v>1647</v>
      </c>
      <c r="D183" s="67" t="n">
        <v>1.2</v>
      </c>
      <c r="E183" s="30" t="n">
        <f aca="false">'Harga Bahan dan Tenaga'!$D$21</f>
        <v>400000</v>
      </c>
      <c r="F183" s="36" t="n">
        <f aca="false">D183*E183</f>
        <v>480000</v>
      </c>
    </row>
    <row r="184" customFormat="false" ht="15" hidden="false" customHeight="false" outlineLevel="0" collapsed="false">
      <c r="A184" s="66" t="n">
        <v>2</v>
      </c>
      <c r="B184" s="29" t="s">
        <v>1698</v>
      </c>
      <c r="C184" s="28" t="s">
        <v>976</v>
      </c>
      <c r="D184" s="67" t="n">
        <v>163</v>
      </c>
      <c r="E184" s="30" t="n">
        <f aca="false">'Harga Bahan dan Tenaga'!$D$17</f>
        <v>1760</v>
      </c>
      <c r="F184" s="36" t="n">
        <f aca="false">D184*E184</f>
        <v>286880</v>
      </c>
    </row>
    <row r="185" customFormat="false" ht="15" hidden="false" customHeight="false" outlineLevel="0" collapsed="false">
      <c r="A185" s="66" t="n">
        <v>3</v>
      </c>
      <c r="B185" s="29" t="s">
        <v>1699</v>
      </c>
      <c r="C185" s="28" t="s">
        <v>1647</v>
      </c>
      <c r="D185" s="67" t="n">
        <v>0.52</v>
      </c>
      <c r="E185" s="30" t="n">
        <f aca="false">'Harga Bahan dan Tenaga'!$D$18</f>
        <v>380000</v>
      </c>
      <c r="F185" s="36" t="n">
        <f aca="false">D185*E185</f>
        <v>197600</v>
      </c>
    </row>
    <row r="186" customFormat="false" ht="15" hidden="false" customHeight="false" outlineLevel="0" collapsed="false">
      <c r="B186" s="2" t="s">
        <v>1675</v>
      </c>
      <c r="F186" s="39" t="n">
        <f aca="false">SUM(F183:F185)</f>
        <v>964480</v>
      </c>
    </row>
    <row r="187" customFormat="false" ht="15" hidden="false" customHeight="false" outlineLevel="0" collapsed="false">
      <c r="B187" s="2" t="s">
        <v>1663</v>
      </c>
      <c r="F187" s="39" t="n">
        <f aca="false">F181+F186</f>
        <v>1323730</v>
      </c>
    </row>
    <row r="188" customFormat="false" ht="15" hidden="false" customHeight="false" outlineLevel="0" collapsed="false">
      <c r="B188" s="5" t="s">
        <v>1664</v>
      </c>
      <c r="D188" s="68" t="n">
        <f aca="false">'Informasi Proyek'!$C$20</f>
        <v>0.1</v>
      </c>
      <c r="F188" s="36" t="n">
        <f aca="false">F187*D188</f>
        <v>132373</v>
      </c>
    </row>
    <row r="189" customFormat="false" ht="15" hidden="false" customHeight="false" outlineLevel="0" collapsed="false">
      <c r="A189" s="57"/>
      <c r="B189" s="69" t="s">
        <v>1665</v>
      </c>
      <c r="C189" s="57"/>
      <c r="D189" s="57"/>
      <c r="E189" s="57"/>
      <c r="F189" s="34" t="n">
        <f aca="false">ROUND(F187+F188,0)</f>
        <v>1456103</v>
      </c>
    </row>
    <row r="191" customFormat="false" ht="15" hidden="false" customHeight="false" outlineLevel="0" collapsed="false">
      <c r="A191" s="24" t="s">
        <v>1437</v>
      </c>
      <c r="B191" s="24" t="s">
        <v>1700</v>
      </c>
      <c r="C191" s="59" t="s">
        <v>1647</v>
      </c>
      <c r="D191" s="23"/>
      <c r="E191" s="23"/>
      <c r="F191" s="23"/>
      <c r="G191" s="64" t="s">
        <v>1692</v>
      </c>
    </row>
    <row r="192" customFormat="false" ht="15" hidden="false" customHeight="false" outlineLevel="0" collapsed="false">
      <c r="A192" s="65" t="s">
        <v>69</v>
      </c>
      <c r="B192" s="65" t="s">
        <v>1649</v>
      </c>
      <c r="C192" s="65" t="s">
        <v>1650</v>
      </c>
      <c r="D192" s="65" t="s">
        <v>1651</v>
      </c>
      <c r="E192" s="65" t="s">
        <v>1652</v>
      </c>
      <c r="F192" s="65" t="s">
        <v>1653</v>
      </c>
    </row>
    <row r="193" customFormat="false" ht="15" hidden="false" customHeight="false" outlineLevel="0" collapsed="false">
      <c r="B193" s="2" t="s">
        <v>1654</v>
      </c>
    </row>
    <row r="194" customFormat="false" ht="15" hidden="false" customHeight="false" outlineLevel="0" collapsed="false">
      <c r="A194" s="66" t="n">
        <v>1</v>
      </c>
      <c r="B194" s="29" t="s">
        <v>1655</v>
      </c>
      <c r="C194" s="28" t="s">
        <v>1656</v>
      </c>
      <c r="D194" s="67" t="n">
        <v>1.5</v>
      </c>
      <c r="E194" s="30" t="n">
        <f aca="false">'Harga Bahan dan Tenaga'!$D$7</f>
        <v>135000</v>
      </c>
      <c r="F194" s="36" t="n">
        <f aca="false">D194*E194</f>
        <v>202500</v>
      </c>
    </row>
    <row r="195" customFormat="false" ht="15" hidden="false" customHeight="false" outlineLevel="0" collapsed="false">
      <c r="A195" s="66" t="n">
        <v>2</v>
      </c>
      <c r="B195" s="29" t="s">
        <v>1693</v>
      </c>
      <c r="C195" s="28" t="s">
        <v>1656</v>
      </c>
      <c r="D195" s="67" t="n">
        <v>0.75</v>
      </c>
      <c r="E195" s="30" t="n">
        <f aca="false">'Harga Bahan dan Tenaga'!$D$8</f>
        <v>170000</v>
      </c>
      <c r="F195" s="36" t="n">
        <f aca="false">D195*E195</f>
        <v>127500</v>
      </c>
    </row>
    <row r="196" customFormat="false" ht="15" hidden="false" customHeight="false" outlineLevel="0" collapsed="false">
      <c r="A196" s="66" t="n">
        <v>3</v>
      </c>
      <c r="B196" s="29" t="s">
        <v>1694</v>
      </c>
      <c r="C196" s="28" t="s">
        <v>1656</v>
      </c>
      <c r="D196" s="67" t="n">
        <v>0.075</v>
      </c>
      <c r="E196" s="30" t="n">
        <f aca="false">'Harga Bahan dan Tenaga'!$D$14</f>
        <v>190000</v>
      </c>
      <c r="F196" s="36" t="n">
        <f aca="false">D196*E196</f>
        <v>14250</v>
      </c>
    </row>
    <row r="197" customFormat="false" ht="15" hidden="false" customHeight="false" outlineLevel="0" collapsed="false">
      <c r="A197" s="66" t="n">
        <v>4</v>
      </c>
      <c r="B197" s="29" t="s">
        <v>1657</v>
      </c>
      <c r="C197" s="28" t="s">
        <v>1656</v>
      </c>
      <c r="D197" s="67" t="n">
        <v>0.075</v>
      </c>
      <c r="E197" s="30" t="n">
        <f aca="false">'Harga Bahan dan Tenaga'!$D$15</f>
        <v>200000</v>
      </c>
      <c r="F197" s="36" t="n">
        <f aca="false">D197*E197</f>
        <v>15000</v>
      </c>
    </row>
    <row r="198" customFormat="false" ht="15" hidden="false" customHeight="false" outlineLevel="0" collapsed="false">
      <c r="B198" s="2" t="s">
        <v>1658</v>
      </c>
      <c r="F198" s="39" t="n">
        <f aca="false">SUM(F194:F197)</f>
        <v>359250</v>
      </c>
    </row>
    <row r="199" customFormat="false" ht="15" hidden="false" customHeight="false" outlineLevel="0" collapsed="false">
      <c r="B199" s="2" t="s">
        <v>1673</v>
      </c>
    </row>
    <row r="200" customFormat="false" ht="15" hidden="false" customHeight="false" outlineLevel="0" collapsed="false">
      <c r="A200" s="66" t="n">
        <v>1</v>
      </c>
      <c r="B200" s="29" t="s">
        <v>1697</v>
      </c>
      <c r="C200" s="28" t="s">
        <v>1647</v>
      </c>
      <c r="D200" s="67" t="n">
        <v>1.2</v>
      </c>
      <c r="E200" s="30" t="n">
        <f aca="false">'Harga Bahan dan Tenaga'!$D$21</f>
        <v>400000</v>
      </c>
      <c r="F200" s="36" t="n">
        <f aca="false">D200*E200</f>
        <v>480000</v>
      </c>
    </row>
    <row r="201" customFormat="false" ht="15" hidden="false" customHeight="false" outlineLevel="0" collapsed="false">
      <c r="A201" s="66" t="n">
        <v>2</v>
      </c>
      <c r="B201" s="29" t="s">
        <v>1698</v>
      </c>
      <c r="C201" s="28" t="s">
        <v>976</v>
      </c>
      <c r="D201" s="67" t="n">
        <v>202</v>
      </c>
      <c r="E201" s="30" t="n">
        <f aca="false">'Harga Bahan dan Tenaga'!$D$17</f>
        <v>1760</v>
      </c>
      <c r="F201" s="36" t="n">
        <f aca="false">D201*E201</f>
        <v>355520</v>
      </c>
    </row>
    <row r="202" customFormat="false" ht="15" hidden="false" customHeight="false" outlineLevel="0" collapsed="false">
      <c r="A202" s="66" t="n">
        <v>3</v>
      </c>
      <c r="B202" s="29" t="s">
        <v>1699</v>
      </c>
      <c r="C202" s="28" t="s">
        <v>1647</v>
      </c>
      <c r="D202" s="67" t="n">
        <v>0.485</v>
      </c>
      <c r="E202" s="30" t="n">
        <f aca="false">'Harga Bahan dan Tenaga'!$D$18</f>
        <v>380000</v>
      </c>
      <c r="F202" s="36" t="n">
        <f aca="false">D202*E202</f>
        <v>184300</v>
      </c>
    </row>
    <row r="203" customFormat="false" ht="15" hidden="false" customHeight="false" outlineLevel="0" collapsed="false">
      <c r="B203" s="2" t="s">
        <v>1675</v>
      </c>
      <c r="F203" s="39" t="n">
        <f aca="false">SUM(F200:F202)</f>
        <v>1019820</v>
      </c>
    </row>
    <row r="204" customFormat="false" ht="15" hidden="false" customHeight="false" outlineLevel="0" collapsed="false">
      <c r="B204" s="2" t="s">
        <v>1663</v>
      </c>
      <c r="F204" s="39" t="n">
        <f aca="false">F198+F203</f>
        <v>1379070</v>
      </c>
    </row>
    <row r="205" customFormat="false" ht="15" hidden="false" customHeight="false" outlineLevel="0" collapsed="false">
      <c r="B205" s="5" t="s">
        <v>1664</v>
      </c>
      <c r="D205" s="68" t="n">
        <f aca="false">'Informasi Proyek'!$C$20</f>
        <v>0.1</v>
      </c>
      <c r="F205" s="36" t="n">
        <f aca="false">F204*D205</f>
        <v>137907</v>
      </c>
    </row>
    <row r="206" customFormat="false" ht="15" hidden="false" customHeight="false" outlineLevel="0" collapsed="false">
      <c r="A206" s="57"/>
      <c r="B206" s="69" t="s">
        <v>1665</v>
      </c>
      <c r="C206" s="57"/>
      <c r="D206" s="57"/>
      <c r="E206" s="57"/>
      <c r="F206" s="34" t="n">
        <f aca="false">ROUND(F204+F205,0)</f>
        <v>1516977</v>
      </c>
    </row>
    <row r="208" customFormat="false" ht="15" hidden="false" customHeight="false" outlineLevel="0" collapsed="false">
      <c r="A208" s="24" t="s">
        <v>324</v>
      </c>
      <c r="B208" s="24" t="s">
        <v>1701</v>
      </c>
      <c r="C208" s="59" t="s">
        <v>1647</v>
      </c>
      <c r="D208" s="23"/>
      <c r="E208" s="23"/>
      <c r="F208" s="23"/>
      <c r="G208" s="64" t="s">
        <v>1702</v>
      </c>
    </row>
    <row r="209" customFormat="false" ht="15" hidden="false" customHeight="false" outlineLevel="0" collapsed="false">
      <c r="A209" s="65" t="s">
        <v>69</v>
      </c>
      <c r="B209" s="65" t="s">
        <v>1649</v>
      </c>
      <c r="C209" s="65" t="s">
        <v>1650</v>
      </c>
      <c r="D209" s="65" t="s">
        <v>1651</v>
      </c>
      <c r="E209" s="65" t="s">
        <v>1652</v>
      </c>
      <c r="F209" s="65" t="s">
        <v>1653</v>
      </c>
    </row>
    <row r="210" customFormat="false" ht="15" hidden="false" customHeight="false" outlineLevel="0" collapsed="false">
      <c r="B210" s="2" t="s">
        <v>1654</v>
      </c>
    </row>
    <row r="211" customFormat="false" ht="15" hidden="false" customHeight="false" outlineLevel="0" collapsed="false">
      <c r="A211" s="66" t="n">
        <v>1</v>
      </c>
      <c r="B211" s="29" t="s">
        <v>1655</v>
      </c>
      <c r="C211" s="28" t="s">
        <v>1656</v>
      </c>
      <c r="D211" s="67" t="n">
        <v>1.2</v>
      </c>
      <c r="E211" s="30" t="n">
        <f aca="false">'Harga Bahan dan Tenaga'!$D$7</f>
        <v>135000</v>
      </c>
      <c r="F211" s="36" t="n">
        <f aca="false">D211*E211</f>
        <v>162000</v>
      </c>
    </row>
    <row r="212" customFormat="false" ht="15" hidden="false" customHeight="false" outlineLevel="0" collapsed="false">
      <c r="A212" s="66" t="n">
        <v>2</v>
      </c>
      <c r="B212" s="29" t="s">
        <v>1693</v>
      </c>
      <c r="C212" s="28" t="s">
        <v>1656</v>
      </c>
      <c r="D212" s="67" t="n">
        <v>0.2</v>
      </c>
      <c r="E212" s="30" t="n">
        <f aca="false">'Harga Bahan dan Tenaga'!$D$8</f>
        <v>170000</v>
      </c>
      <c r="F212" s="36" t="n">
        <f aca="false">D212*E212</f>
        <v>34000</v>
      </c>
    </row>
    <row r="213" customFormat="false" ht="15" hidden="false" customHeight="false" outlineLevel="0" collapsed="false">
      <c r="A213" s="66" t="n">
        <v>3</v>
      </c>
      <c r="B213" s="29" t="s">
        <v>1694</v>
      </c>
      <c r="C213" s="28" t="s">
        <v>1656</v>
      </c>
      <c r="D213" s="67" t="n">
        <v>0.02</v>
      </c>
      <c r="E213" s="30" t="n">
        <f aca="false">'Harga Bahan dan Tenaga'!$D$14</f>
        <v>190000</v>
      </c>
      <c r="F213" s="36" t="n">
        <f aca="false">D213*E213</f>
        <v>3800</v>
      </c>
    </row>
    <row r="214" customFormat="false" ht="15" hidden="false" customHeight="false" outlineLevel="0" collapsed="false">
      <c r="A214" s="66" t="n">
        <v>4</v>
      </c>
      <c r="B214" s="29" t="s">
        <v>1657</v>
      </c>
      <c r="C214" s="28" t="s">
        <v>1656</v>
      </c>
      <c r="D214" s="67" t="n">
        <v>0.06</v>
      </c>
      <c r="E214" s="30" t="n">
        <f aca="false">'Harga Bahan dan Tenaga'!$D$15</f>
        <v>200000</v>
      </c>
      <c r="F214" s="36" t="n">
        <f aca="false">D214*E214</f>
        <v>12000</v>
      </c>
    </row>
    <row r="215" customFormat="false" ht="15" hidden="false" customHeight="false" outlineLevel="0" collapsed="false">
      <c r="B215" s="2" t="s">
        <v>1658</v>
      </c>
      <c r="F215" s="39" t="n">
        <f aca="false">SUM(F211:F214)</f>
        <v>211800</v>
      </c>
    </row>
    <row r="216" customFormat="false" ht="15" hidden="false" customHeight="false" outlineLevel="0" collapsed="false">
      <c r="B216" s="2" t="s">
        <v>1673</v>
      </c>
    </row>
    <row r="217" customFormat="false" ht="15" hidden="false" customHeight="false" outlineLevel="0" collapsed="false">
      <c r="A217" s="66" t="n">
        <v>1</v>
      </c>
      <c r="B217" s="29" t="s">
        <v>1698</v>
      </c>
      <c r="C217" s="28" t="s">
        <v>976</v>
      </c>
      <c r="D217" s="67" t="n">
        <v>247</v>
      </c>
      <c r="E217" s="30" t="n">
        <f aca="false">'Harga Bahan dan Tenaga'!$D$17</f>
        <v>1760</v>
      </c>
      <c r="F217" s="36" t="n">
        <f aca="false">D217*E217</f>
        <v>434720</v>
      </c>
    </row>
    <row r="218" customFormat="false" ht="15" hidden="false" customHeight="false" outlineLevel="0" collapsed="false">
      <c r="A218" s="66" t="n">
        <v>2</v>
      </c>
      <c r="B218" s="29" t="s">
        <v>1699</v>
      </c>
      <c r="C218" s="28" t="s">
        <v>1647</v>
      </c>
      <c r="D218" s="67" t="n">
        <v>0.621</v>
      </c>
      <c r="E218" s="30" t="n">
        <f aca="false">'Harga Bahan dan Tenaga'!$D$18</f>
        <v>380000</v>
      </c>
      <c r="F218" s="36" t="n">
        <f aca="false">D218*E218</f>
        <v>235980</v>
      </c>
    </row>
    <row r="219" customFormat="false" ht="15" hidden="false" customHeight="false" outlineLevel="0" collapsed="false">
      <c r="A219" s="66" t="n">
        <v>3</v>
      </c>
      <c r="B219" s="29" t="s">
        <v>1703</v>
      </c>
      <c r="C219" s="28" t="s">
        <v>1647</v>
      </c>
      <c r="D219" s="67" t="n">
        <v>0.689</v>
      </c>
      <c r="E219" s="30" t="n">
        <f aca="false">'Harga Bahan dan Tenaga'!$D$20</f>
        <v>480000</v>
      </c>
      <c r="F219" s="36" t="n">
        <f aca="false">D219*E219</f>
        <v>330720</v>
      </c>
    </row>
    <row r="220" customFormat="false" ht="15" hidden="false" customHeight="false" outlineLevel="0" collapsed="false">
      <c r="A220" s="66" t="n">
        <v>4</v>
      </c>
      <c r="B220" s="29" t="s">
        <v>1680</v>
      </c>
      <c r="C220" s="28" t="s">
        <v>1647</v>
      </c>
      <c r="D220" s="67" t="n">
        <v>0.215</v>
      </c>
      <c r="E220" s="30" t="n">
        <f aca="false">'Harga Bahan dan Tenaga'!$D$23</f>
        <v>35000</v>
      </c>
      <c r="F220" s="36" t="n">
        <f aca="false">D220*E220</f>
        <v>7525</v>
      </c>
    </row>
    <row r="221" customFormat="false" ht="15" hidden="false" customHeight="false" outlineLevel="0" collapsed="false">
      <c r="B221" s="2" t="s">
        <v>1675</v>
      </c>
      <c r="F221" s="39" t="n">
        <f aca="false">SUM(F217:F220)</f>
        <v>1008945</v>
      </c>
    </row>
    <row r="222" customFormat="false" ht="15" hidden="false" customHeight="false" outlineLevel="0" collapsed="false">
      <c r="B222" s="2" t="s">
        <v>1659</v>
      </c>
    </row>
    <row r="223" customFormat="false" ht="15" hidden="false" customHeight="false" outlineLevel="0" collapsed="false">
      <c r="A223" s="66" t="n">
        <v>1</v>
      </c>
      <c r="B223" s="29" t="s">
        <v>1704</v>
      </c>
      <c r="C223" s="28" t="s">
        <v>1661</v>
      </c>
      <c r="D223" s="67" t="n">
        <v>0.2</v>
      </c>
      <c r="E223" s="30" t="n">
        <f aca="false">'Harga Bahan dan Tenaga'!$D$68</f>
        <v>125000</v>
      </c>
      <c r="F223" s="36" t="n">
        <f aca="false">D223*E223</f>
        <v>25000</v>
      </c>
    </row>
    <row r="224" customFormat="false" ht="15" hidden="false" customHeight="false" outlineLevel="0" collapsed="false">
      <c r="A224" s="66" t="n">
        <v>2</v>
      </c>
      <c r="B224" s="29" t="s">
        <v>1705</v>
      </c>
      <c r="C224" s="28" t="s">
        <v>1661</v>
      </c>
      <c r="D224" s="67" t="n">
        <v>0.25</v>
      </c>
      <c r="E224" s="30" t="n">
        <f aca="false">'Harga Bahan dan Tenaga'!$D$69</f>
        <v>60000</v>
      </c>
      <c r="F224" s="36" t="n">
        <f aca="false">D224*E224</f>
        <v>15000</v>
      </c>
    </row>
    <row r="225" customFormat="false" ht="15" hidden="false" customHeight="false" outlineLevel="0" collapsed="false">
      <c r="B225" s="2" t="s">
        <v>1662</v>
      </c>
      <c r="F225" s="39" t="n">
        <f aca="false">SUM(F223:F224)</f>
        <v>40000</v>
      </c>
    </row>
    <row r="226" customFormat="false" ht="15" hidden="false" customHeight="false" outlineLevel="0" collapsed="false">
      <c r="B226" s="2" t="s">
        <v>1663</v>
      </c>
      <c r="F226" s="39" t="n">
        <f aca="false">F215+F221+F225</f>
        <v>1260745</v>
      </c>
    </row>
    <row r="227" customFormat="false" ht="15" hidden="false" customHeight="false" outlineLevel="0" collapsed="false">
      <c r="B227" s="5" t="s">
        <v>1664</v>
      </c>
      <c r="D227" s="68" t="n">
        <f aca="false">'Informasi Proyek'!$C$20</f>
        <v>0.1</v>
      </c>
      <c r="F227" s="36" t="n">
        <f aca="false">F226*D227</f>
        <v>126074.5</v>
      </c>
    </row>
    <row r="228" customFormat="false" ht="15" hidden="false" customHeight="false" outlineLevel="0" collapsed="false">
      <c r="A228" s="57"/>
      <c r="B228" s="69" t="s">
        <v>1665</v>
      </c>
      <c r="C228" s="57"/>
      <c r="D228" s="57"/>
      <c r="E228" s="57"/>
      <c r="F228" s="34" t="n">
        <f aca="false">ROUND(F226+F227,0)</f>
        <v>1386820</v>
      </c>
    </row>
    <row r="230" customFormat="false" ht="15" hidden="false" customHeight="false" outlineLevel="0" collapsed="false">
      <c r="A230" s="24" t="s">
        <v>362</v>
      </c>
      <c r="B230" s="24" t="s">
        <v>1706</v>
      </c>
      <c r="C230" s="59" t="s">
        <v>1647</v>
      </c>
      <c r="D230" s="23"/>
      <c r="E230" s="23"/>
      <c r="F230" s="23"/>
      <c r="G230" s="64" t="s">
        <v>1702</v>
      </c>
    </row>
    <row r="231" customFormat="false" ht="15" hidden="false" customHeight="false" outlineLevel="0" collapsed="false">
      <c r="A231" s="65" t="s">
        <v>69</v>
      </c>
      <c r="B231" s="65" t="s">
        <v>1649</v>
      </c>
      <c r="C231" s="65" t="s">
        <v>1650</v>
      </c>
      <c r="D231" s="65" t="s">
        <v>1651</v>
      </c>
      <c r="E231" s="65" t="s">
        <v>1652</v>
      </c>
      <c r="F231" s="65" t="s">
        <v>1653</v>
      </c>
    </row>
    <row r="232" customFormat="false" ht="15" hidden="false" customHeight="false" outlineLevel="0" collapsed="false">
      <c r="B232" s="2" t="s">
        <v>1654</v>
      </c>
    </row>
    <row r="233" customFormat="false" ht="15" hidden="false" customHeight="false" outlineLevel="0" collapsed="false">
      <c r="A233" s="66" t="n">
        <v>1</v>
      </c>
      <c r="B233" s="29" t="s">
        <v>1655</v>
      </c>
      <c r="C233" s="28" t="s">
        <v>1656</v>
      </c>
      <c r="D233" s="67" t="n">
        <v>1.65</v>
      </c>
      <c r="E233" s="30" t="n">
        <f aca="false">'Harga Bahan dan Tenaga'!$D$7</f>
        <v>135000</v>
      </c>
      <c r="F233" s="36" t="n">
        <f aca="false">D233*E233</f>
        <v>222750</v>
      </c>
    </row>
    <row r="234" customFormat="false" ht="15" hidden="false" customHeight="false" outlineLevel="0" collapsed="false">
      <c r="A234" s="66" t="n">
        <v>2</v>
      </c>
      <c r="B234" s="29" t="s">
        <v>1693</v>
      </c>
      <c r="C234" s="28" t="s">
        <v>1656</v>
      </c>
      <c r="D234" s="67" t="n">
        <v>0.275</v>
      </c>
      <c r="E234" s="30" t="n">
        <f aca="false">'Harga Bahan dan Tenaga'!$D$8</f>
        <v>170000</v>
      </c>
      <c r="F234" s="36" t="n">
        <f aca="false">D234*E234</f>
        <v>46750</v>
      </c>
    </row>
    <row r="235" customFormat="false" ht="15" hidden="false" customHeight="false" outlineLevel="0" collapsed="false">
      <c r="A235" s="66" t="n">
        <v>3</v>
      </c>
      <c r="B235" s="29" t="s">
        <v>1694</v>
      </c>
      <c r="C235" s="28" t="s">
        <v>1656</v>
      </c>
      <c r="D235" s="67" t="n">
        <v>0.028</v>
      </c>
      <c r="E235" s="30" t="n">
        <f aca="false">'Harga Bahan dan Tenaga'!$D$14</f>
        <v>190000</v>
      </c>
      <c r="F235" s="36" t="n">
        <f aca="false">D235*E235</f>
        <v>5320</v>
      </c>
    </row>
    <row r="236" customFormat="false" ht="15" hidden="false" customHeight="false" outlineLevel="0" collapsed="false">
      <c r="A236" s="66" t="n">
        <v>4</v>
      </c>
      <c r="B236" s="29" t="s">
        <v>1657</v>
      </c>
      <c r="C236" s="28" t="s">
        <v>1656</v>
      </c>
      <c r="D236" s="67" t="n">
        <v>0.082</v>
      </c>
      <c r="E236" s="30" t="n">
        <f aca="false">'Harga Bahan dan Tenaga'!$D$15</f>
        <v>200000</v>
      </c>
      <c r="F236" s="36" t="n">
        <f aca="false">D236*E236</f>
        <v>16400</v>
      </c>
    </row>
    <row r="237" customFormat="false" ht="15" hidden="false" customHeight="false" outlineLevel="0" collapsed="false">
      <c r="B237" s="2" t="s">
        <v>1658</v>
      </c>
      <c r="F237" s="39" t="n">
        <f aca="false">SUM(F233:F236)</f>
        <v>291220</v>
      </c>
    </row>
    <row r="238" customFormat="false" ht="15" hidden="false" customHeight="false" outlineLevel="0" collapsed="false">
      <c r="B238" s="2" t="s">
        <v>1673</v>
      </c>
    </row>
    <row r="239" customFormat="false" ht="15" hidden="false" customHeight="false" outlineLevel="0" collapsed="false">
      <c r="A239" s="66" t="n">
        <v>1</v>
      </c>
      <c r="B239" s="29" t="s">
        <v>1698</v>
      </c>
      <c r="C239" s="28" t="s">
        <v>976</v>
      </c>
      <c r="D239" s="67" t="n">
        <v>326</v>
      </c>
      <c r="E239" s="30" t="n">
        <f aca="false">'Harga Bahan dan Tenaga'!$D$17</f>
        <v>1760</v>
      </c>
      <c r="F239" s="36" t="n">
        <f aca="false">D239*E239</f>
        <v>573760</v>
      </c>
    </row>
    <row r="240" customFormat="false" ht="15" hidden="false" customHeight="false" outlineLevel="0" collapsed="false">
      <c r="A240" s="66" t="n">
        <v>2</v>
      </c>
      <c r="B240" s="29" t="s">
        <v>1699</v>
      </c>
      <c r="C240" s="28" t="s">
        <v>1647</v>
      </c>
      <c r="D240" s="67" t="n">
        <v>0.543</v>
      </c>
      <c r="E240" s="30" t="n">
        <f aca="false">'Harga Bahan dan Tenaga'!$D$18</f>
        <v>380000</v>
      </c>
      <c r="F240" s="36" t="n">
        <f aca="false">D240*E240</f>
        <v>206340</v>
      </c>
    </row>
    <row r="241" customFormat="false" ht="15" hidden="false" customHeight="false" outlineLevel="0" collapsed="false">
      <c r="A241" s="66" t="n">
        <v>3</v>
      </c>
      <c r="B241" s="29" t="s">
        <v>1703</v>
      </c>
      <c r="C241" s="28" t="s">
        <v>1647</v>
      </c>
      <c r="D241" s="67" t="n">
        <v>0.71</v>
      </c>
      <c r="E241" s="30" t="n">
        <f aca="false">'Harga Bahan dan Tenaga'!$D$20</f>
        <v>480000</v>
      </c>
      <c r="F241" s="36" t="n">
        <f aca="false">D241*E241</f>
        <v>340800</v>
      </c>
    </row>
    <row r="242" customFormat="false" ht="15" hidden="false" customHeight="false" outlineLevel="0" collapsed="false">
      <c r="A242" s="66" t="n">
        <v>4</v>
      </c>
      <c r="B242" s="29" t="s">
        <v>1680</v>
      </c>
      <c r="C242" s="28" t="s">
        <v>1647</v>
      </c>
      <c r="D242" s="67" t="n">
        <v>0.215</v>
      </c>
      <c r="E242" s="30" t="n">
        <f aca="false">'Harga Bahan dan Tenaga'!$D$23</f>
        <v>35000</v>
      </c>
      <c r="F242" s="36" t="n">
        <f aca="false">D242*E242</f>
        <v>7525</v>
      </c>
    </row>
    <row r="243" customFormat="false" ht="15" hidden="false" customHeight="false" outlineLevel="0" collapsed="false">
      <c r="B243" s="2" t="s">
        <v>1675</v>
      </c>
      <c r="F243" s="39" t="n">
        <f aca="false">SUM(F239:F242)</f>
        <v>1128425</v>
      </c>
    </row>
    <row r="244" customFormat="false" ht="15" hidden="false" customHeight="false" outlineLevel="0" collapsed="false">
      <c r="B244" s="2" t="s">
        <v>1659</v>
      </c>
    </row>
    <row r="245" customFormat="false" ht="15" hidden="false" customHeight="false" outlineLevel="0" collapsed="false">
      <c r="A245" s="66" t="n">
        <v>1</v>
      </c>
      <c r="B245" s="29" t="s">
        <v>1704</v>
      </c>
      <c r="C245" s="28" t="s">
        <v>1661</v>
      </c>
      <c r="D245" s="67" t="n">
        <v>0.2</v>
      </c>
      <c r="E245" s="30" t="n">
        <f aca="false">'Harga Bahan dan Tenaga'!$D$68</f>
        <v>125000</v>
      </c>
      <c r="F245" s="36" t="n">
        <f aca="false">D245*E245</f>
        <v>25000</v>
      </c>
    </row>
    <row r="246" customFormat="false" ht="15" hidden="false" customHeight="false" outlineLevel="0" collapsed="false">
      <c r="A246" s="66" t="n">
        <v>2</v>
      </c>
      <c r="B246" s="29" t="s">
        <v>1705</v>
      </c>
      <c r="C246" s="28" t="s">
        <v>1661</v>
      </c>
      <c r="D246" s="67" t="n">
        <v>0.25</v>
      </c>
      <c r="E246" s="30" t="n">
        <f aca="false">'Harga Bahan dan Tenaga'!$D$69</f>
        <v>60000</v>
      </c>
      <c r="F246" s="36" t="n">
        <f aca="false">D246*E246</f>
        <v>15000</v>
      </c>
    </row>
    <row r="247" customFormat="false" ht="15" hidden="false" customHeight="false" outlineLevel="0" collapsed="false">
      <c r="B247" s="2" t="s">
        <v>1662</v>
      </c>
      <c r="F247" s="39" t="n">
        <f aca="false">SUM(F245:F246)</f>
        <v>40000</v>
      </c>
    </row>
    <row r="248" customFormat="false" ht="15" hidden="false" customHeight="false" outlineLevel="0" collapsed="false">
      <c r="B248" s="2" t="s">
        <v>1663</v>
      </c>
      <c r="F248" s="39" t="n">
        <f aca="false">F237+F243+F247</f>
        <v>1459645</v>
      </c>
    </row>
    <row r="249" customFormat="false" ht="15" hidden="false" customHeight="false" outlineLevel="0" collapsed="false">
      <c r="B249" s="5" t="s">
        <v>1664</v>
      </c>
      <c r="D249" s="68" t="n">
        <f aca="false">'Informasi Proyek'!$C$20</f>
        <v>0.1</v>
      </c>
      <c r="F249" s="36" t="n">
        <f aca="false">F248*D249</f>
        <v>145964.5</v>
      </c>
    </row>
    <row r="250" customFormat="false" ht="15" hidden="false" customHeight="false" outlineLevel="0" collapsed="false">
      <c r="A250" s="57"/>
      <c r="B250" s="69" t="s">
        <v>1665</v>
      </c>
      <c r="C250" s="57"/>
      <c r="D250" s="57"/>
      <c r="E250" s="57"/>
      <c r="F250" s="34" t="n">
        <f aca="false">ROUND(F248+F249,0)</f>
        <v>1605610</v>
      </c>
    </row>
    <row r="252" customFormat="false" ht="15" hidden="false" customHeight="false" outlineLevel="0" collapsed="false">
      <c r="A252" s="24" t="s">
        <v>351</v>
      </c>
      <c r="B252" s="24" t="s">
        <v>1707</v>
      </c>
      <c r="C252" s="59" t="s">
        <v>1647</v>
      </c>
      <c r="D252" s="23"/>
      <c r="E252" s="23"/>
      <c r="F252" s="23"/>
      <c r="G252" s="64" t="s">
        <v>1702</v>
      </c>
    </row>
    <row r="253" customFormat="false" ht="15" hidden="false" customHeight="false" outlineLevel="0" collapsed="false">
      <c r="A253" s="65" t="s">
        <v>69</v>
      </c>
      <c r="B253" s="65" t="s">
        <v>1649</v>
      </c>
      <c r="C253" s="65" t="s">
        <v>1650</v>
      </c>
      <c r="D253" s="65" t="s">
        <v>1651</v>
      </c>
      <c r="E253" s="65" t="s">
        <v>1652</v>
      </c>
      <c r="F253" s="65" t="s">
        <v>1653</v>
      </c>
    </row>
    <row r="254" customFormat="false" ht="15" hidden="false" customHeight="false" outlineLevel="0" collapsed="false">
      <c r="B254" s="2" t="s">
        <v>1654</v>
      </c>
    </row>
    <row r="255" customFormat="false" ht="15" hidden="false" customHeight="false" outlineLevel="0" collapsed="false">
      <c r="A255" s="66" t="n">
        <v>1</v>
      </c>
      <c r="B255" s="29" t="s">
        <v>1655</v>
      </c>
      <c r="C255" s="28" t="s">
        <v>1656</v>
      </c>
      <c r="D255" s="67" t="n">
        <v>1.65</v>
      </c>
      <c r="E255" s="30" t="n">
        <f aca="false">'Harga Bahan dan Tenaga'!$D$7</f>
        <v>135000</v>
      </c>
      <c r="F255" s="36" t="n">
        <f aca="false">D255*E255</f>
        <v>222750</v>
      </c>
    </row>
    <row r="256" customFormat="false" ht="15" hidden="false" customHeight="false" outlineLevel="0" collapsed="false">
      <c r="A256" s="66" t="n">
        <v>2</v>
      </c>
      <c r="B256" s="29" t="s">
        <v>1693</v>
      </c>
      <c r="C256" s="28" t="s">
        <v>1656</v>
      </c>
      <c r="D256" s="67" t="n">
        <v>0.275</v>
      </c>
      <c r="E256" s="30" t="n">
        <f aca="false">'Harga Bahan dan Tenaga'!$D$8</f>
        <v>170000</v>
      </c>
      <c r="F256" s="36" t="n">
        <f aca="false">D256*E256</f>
        <v>46750</v>
      </c>
    </row>
    <row r="257" customFormat="false" ht="15" hidden="false" customHeight="false" outlineLevel="0" collapsed="false">
      <c r="A257" s="66" t="n">
        <v>3</v>
      </c>
      <c r="B257" s="29" t="s">
        <v>1694</v>
      </c>
      <c r="C257" s="28" t="s">
        <v>1656</v>
      </c>
      <c r="D257" s="67" t="n">
        <v>0.028</v>
      </c>
      <c r="E257" s="30" t="n">
        <f aca="false">'Harga Bahan dan Tenaga'!$D$14</f>
        <v>190000</v>
      </c>
      <c r="F257" s="36" t="n">
        <f aca="false">D257*E257</f>
        <v>5320</v>
      </c>
    </row>
    <row r="258" customFormat="false" ht="15" hidden="false" customHeight="false" outlineLevel="0" collapsed="false">
      <c r="A258" s="66" t="n">
        <v>4</v>
      </c>
      <c r="B258" s="29" t="s">
        <v>1657</v>
      </c>
      <c r="C258" s="28" t="s">
        <v>1656</v>
      </c>
      <c r="D258" s="67" t="n">
        <v>0.082</v>
      </c>
      <c r="E258" s="30" t="n">
        <f aca="false">'Harga Bahan dan Tenaga'!$D$15</f>
        <v>200000</v>
      </c>
      <c r="F258" s="36" t="n">
        <f aca="false">D258*E258</f>
        <v>16400</v>
      </c>
    </row>
    <row r="259" customFormat="false" ht="15" hidden="false" customHeight="false" outlineLevel="0" collapsed="false">
      <c r="B259" s="2" t="s">
        <v>1658</v>
      </c>
      <c r="F259" s="39" t="n">
        <f aca="false">SUM(F255:F258)</f>
        <v>291220</v>
      </c>
    </row>
    <row r="260" customFormat="false" ht="15" hidden="false" customHeight="false" outlineLevel="0" collapsed="false">
      <c r="B260" s="2" t="s">
        <v>1673</v>
      </c>
    </row>
    <row r="261" customFormat="false" ht="15" hidden="false" customHeight="false" outlineLevel="0" collapsed="false">
      <c r="A261" s="66" t="n">
        <v>1</v>
      </c>
      <c r="B261" s="29" t="s">
        <v>1698</v>
      </c>
      <c r="C261" s="28" t="s">
        <v>976</v>
      </c>
      <c r="D261" s="67" t="n">
        <v>413</v>
      </c>
      <c r="E261" s="30" t="n">
        <f aca="false">'Harga Bahan dan Tenaga'!$D$17</f>
        <v>1760</v>
      </c>
      <c r="F261" s="36" t="n">
        <f aca="false">D261*E261</f>
        <v>726880</v>
      </c>
    </row>
    <row r="262" customFormat="false" ht="15" hidden="false" customHeight="false" outlineLevel="0" collapsed="false">
      <c r="A262" s="66" t="n">
        <v>2</v>
      </c>
      <c r="B262" s="29" t="s">
        <v>1699</v>
      </c>
      <c r="C262" s="28" t="s">
        <v>1647</v>
      </c>
      <c r="D262" s="67" t="n">
        <v>0.486</v>
      </c>
      <c r="E262" s="30" t="n">
        <f aca="false">'Harga Bahan dan Tenaga'!$D$18</f>
        <v>380000</v>
      </c>
      <c r="F262" s="36" t="n">
        <f aca="false">D262*E262</f>
        <v>184680</v>
      </c>
    </row>
    <row r="263" customFormat="false" ht="15" hidden="false" customHeight="false" outlineLevel="0" collapsed="false">
      <c r="A263" s="66" t="n">
        <v>3</v>
      </c>
      <c r="B263" s="29" t="s">
        <v>1703</v>
      </c>
      <c r="C263" s="28" t="s">
        <v>1647</v>
      </c>
      <c r="D263" s="67" t="n">
        <v>0.704</v>
      </c>
      <c r="E263" s="30" t="n">
        <f aca="false">'Harga Bahan dan Tenaga'!$D$20</f>
        <v>480000</v>
      </c>
      <c r="F263" s="36" t="n">
        <f aca="false">D263*E263</f>
        <v>337920</v>
      </c>
    </row>
    <row r="264" customFormat="false" ht="15" hidden="false" customHeight="false" outlineLevel="0" collapsed="false">
      <c r="A264" s="66" t="n">
        <v>4</v>
      </c>
      <c r="B264" s="29" t="s">
        <v>1680</v>
      </c>
      <c r="C264" s="28" t="s">
        <v>1647</v>
      </c>
      <c r="D264" s="67" t="n">
        <v>0.215</v>
      </c>
      <c r="E264" s="30" t="n">
        <f aca="false">'Harga Bahan dan Tenaga'!$D$23</f>
        <v>35000</v>
      </c>
      <c r="F264" s="36" t="n">
        <f aca="false">D264*E264</f>
        <v>7525</v>
      </c>
    </row>
    <row r="265" customFormat="false" ht="15" hidden="false" customHeight="false" outlineLevel="0" collapsed="false">
      <c r="B265" s="2" t="s">
        <v>1675</v>
      </c>
      <c r="F265" s="39" t="n">
        <f aca="false">SUM(F261:F264)</f>
        <v>1257005</v>
      </c>
    </row>
    <row r="266" customFormat="false" ht="15" hidden="false" customHeight="false" outlineLevel="0" collapsed="false">
      <c r="B266" s="2" t="s">
        <v>1659</v>
      </c>
    </row>
    <row r="267" customFormat="false" ht="15" hidden="false" customHeight="false" outlineLevel="0" collapsed="false">
      <c r="A267" s="66" t="n">
        <v>1</v>
      </c>
      <c r="B267" s="29" t="s">
        <v>1704</v>
      </c>
      <c r="C267" s="28" t="s">
        <v>1661</v>
      </c>
      <c r="D267" s="67" t="n">
        <v>0.2</v>
      </c>
      <c r="E267" s="30" t="n">
        <f aca="false">'Harga Bahan dan Tenaga'!$D$68</f>
        <v>125000</v>
      </c>
      <c r="F267" s="36" t="n">
        <f aca="false">D267*E267</f>
        <v>25000</v>
      </c>
    </row>
    <row r="268" customFormat="false" ht="15" hidden="false" customHeight="false" outlineLevel="0" collapsed="false">
      <c r="A268" s="66" t="n">
        <v>2</v>
      </c>
      <c r="B268" s="29" t="s">
        <v>1705</v>
      </c>
      <c r="C268" s="28" t="s">
        <v>1661</v>
      </c>
      <c r="D268" s="67" t="n">
        <v>0.25</v>
      </c>
      <c r="E268" s="30" t="n">
        <f aca="false">'Harga Bahan dan Tenaga'!$D$69</f>
        <v>60000</v>
      </c>
      <c r="F268" s="36" t="n">
        <f aca="false">D268*E268</f>
        <v>15000</v>
      </c>
    </row>
    <row r="269" customFormat="false" ht="15" hidden="false" customHeight="false" outlineLevel="0" collapsed="false">
      <c r="B269" s="2" t="s">
        <v>1662</v>
      </c>
      <c r="F269" s="39" t="n">
        <f aca="false">SUM(F267:F268)</f>
        <v>40000</v>
      </c>
    </row>
    <row r="270" customFormat="false" ht="15" hidden="false" customHeight="false" outlineLevel="0" collapsed="false">
      <c r="B270" s="2" t="s">
        <v>1663</v>
      </c>
      <c r="F270" s="39" t="n">
        <f aca="false">F259+F265+F269</f>
        <v>1588225</v>
      </c>
    </row>
    <row r="271" customFormat="false" ht="15" hidden="false" customHeight="false" outlineLevel="0" collapsed="false">
      <c r="B271" s="5" t="s">
        <v>1664</v>
      </c>
      <c r="D271" s="68" t="n">
        <f aca="false">'Informasi Proyek'!$C$20</f>
        <v>0.1</v>
      </c>
      <c r="F271" s="36" t="n">
        <f aca="false">F270*D271</f>
        <v>158822.5</v>
      </c>
    </row>
    <row r="272" customFormat="false" ht="15" hidden="false" customHeight="false" outlineLevel="0" collapsed="false">
      <c r="A272" s="57"/>
      <c r="B272" s="69" t="s">
        <v>1665</v>
      </c>
      <c r="C272" s="57"/>
      <c r="D272" s="57"/>
      <c r="E272" s="57"/>
      <c r="F272" s="34" t="n">
        <f aca="false">ROUND(F270+F271,0)</f>
        <v>1747048</v>
      </c>
    </row>
    <row r="274" customFormat="false" ht="15" hidden="false" customHeight="false" outlineLevel="0" collapsed="false">
      <c r="A274" s="24" t="s">
        <v>326</v>
      </c>
      <c r="B274" s="24" t="s">
        <v>1708</v>
      </c>
      <c r="C274" s="59" t="s">
        <v>1647</v>
      </c>
      <c r="D274" s="23"/>
      <c r="E274" s="23"/>
      <c r="F274" s="23"/>
      <c r="G274" s="64" t="s">
        <v>1702</v>
      </c>
    </row>
    <row r="275" customFormat="false" ht="15" hidden="false" customHeight="false" outlineLevel="0" collapsed="false">
      <c r="A275" s="65" t="s">
        <v>69</v>
      </c>
      <c r="B275" s="65" t="s">
        <v>1649</v>
      </c>
      <c r="C275" s="65" t="s">
        <v>1650</v>
      </c>
      <c r="D275" s="65" t="s">
        <v>1651</v>
      </c>
      <c r="E275" s="65" t="s">
        <v>1652</v>
      </c>
      <c r="F275" s="65" t="s">
        <v>1653</v>
      </c>
    </row>
    <row r="276" customFormat="false" ht="15" hidden="false" customHeight="false" outlineLevel="0" collapsed="false">
      <c r="B276" s="2" t="s">
        <v>1654</v>
      </c>
    </row>
    <row r="277" customFormat="false" ht="15" hidden="false" customHeight="false" outlineLevel="0" collapsed="false">
      <c r="A277" s="66" t="n">
        <v>1</v>
      </c>
      <c r="B277" s="29" t="s">
        <v>1655</v>
      </c>
      <c r="C277" s="28" t="s">
        <v>1656</v>
      </c>
      <c r="D277" s="67" t="n">
        <v>1.65</v>
      </c>
      <c r="E277" s="30" t="n">
        <f aca="false">'Harga Bahan dan Tenaga'!$D$7</f>
        <v>135000</v>
      </c>
      <c r="F277" s="36" t="n">
        <f aca="false">D277*E277</f>
        <v>222750</v>
      </c>
    </row>
    <row r="278" customFormat="false" ht="15" hidden="false" customHeight="false" outlineLevel="0" collapsed="false">
      <c r="A278" s="66" t="n">
        <v>2</v>
      </c>
      <c r="B278" s="29" t="s">
        <v>1693</v>
      </c>
      <c r="C278" s="28" t="s">
        <v>1656</v>
      </c>
      <c r="D278" s="67" t="n">
        <v>0.275</v>
      </c>
      <c r="E278" s="30" t="n">
        <f aca="false">'Harga Bahan dan Tenaga'!$D$8</f>
        <v>170000</v>
      </c>
      <c r="F278" s="36" t="n">
        <f aca="false">D278*E278</f>
        <v>46750</v>
      </c>
    </row>
    <row r="279" customFormat="false" ht="15" hidden="false" customHeight="false" outlineLevel="0" collapsed="false">
      <c r="A279" s="66" t="n">
        <v>3</v>
      </c>
      <c r="B279" s="29" t="s">
        <v>1694</v>
      </c>
      <c r="C279" s="28" t="s">
        <v>1656</v>
      </c>
      <c r="D279" s="67" t="n">
        <v>0.028</v>
      </c>
      <c r="E279" s="30" t="n">
        <f aca="false">'Harga Bahan dan Tenaga'!$D$14</f>
        <v>190000</v>
      </c>
      <c r="F279" s="36" t="n">
        <f aca="false">D279*E279</f>
        <v>5320</v>
      </c>
    </row>
    <row r="280" customFormat="false" ht="15" hidden="false" customHeight="false" outlineLevel="0" collapsed="false">
      <c r="A280" s="66" t="n">
        <v>4</v>
      </c>
      <c r="B280" s="29" t="s">
        <v>1657</v>
      </c>
      <c r="C280" s="28" t="s">
        <v>1656</v>
      </c>
      <c r="D280" s="67" t="n">
        <v>0.082</v>
      </c>
      <c r="E280" s="30" t="n">
        <f aca="false">'Harga Bahan dan Tenaga'!$D$15</f>
        <v>200000</v>
      </c>
      <c r="F280" s="36" t="n">
        <f aca="false">D280*E280</f>
        <v>16400</v>
      </c>
    </row>
    <row r="281" customFormat="false" ht="15" hidden="false" customHeight="false" outlineLevel="0" collapsed="false">
      <c r="B281" s="2" t="s">
        <v>1658</v>
      </c>
      <c r="F281" s="39" t="n">
        <f aca="false">SUM(F277:F280)</f>
        <v>291220</v>
      </c>
    </row>
    <row r="282" customFormat="false" ht="15" hidden="false" customHeight="false" outlineLevel="0" collapsed="false">
      <c r="B282" s="2" t="s">
        <v>1673</v>
      </c>
    </row>
    <row r="283" customFormat="false" ht="15" hidden="false" customHeight="false" outlineLevel="0" collapsed="false">
      <c r="A283" s="66" t="n">
        <v>1</v>
      </c>
      <c r="B283" s="29" t="s">
        <v>1698</v>
      </c>
      <c r="C283" s="28" t="s">
        <v>976</v>
      </c>
      <c r="D283" s="67" t="n">
        <v>448</v>
      </c>
      <c r="E283" s="30" t="n">
        <f aca="false">'Harga Bahan dan Tenaga'!$D$17</f>
        <v>1760</v>
      </c>
      <c r="F283" s="36" t="n">
        <f aca="false">D283*E283</f>
        <v>788480</v>
      </c>
    </row>
    <row r="284" customFormat="false" ht="15" hidden="false" customHeight="false" outlineLevel="0" collapsed="false">
      <c r="A284" s="66" t="n">
        <v>2</v>
      </c>
      <c r="B284" s="29" t="s">
        <v>1699</v>
      </c>
      <c r="C284" s="28" t="s">
        <v>1647</v>
      </c>
      <c r="D284" s="67" t="n">
        <v>0.476</v>
      </c>
      <c r="E284" s="30" t="n">
        <f aca="false">'Harga Bahan dan Tenaga'!$D$18</f>
        <v>380000</v>
      </c>
      <c r="F284" s="36" t="n">
        <f aca="false">D284*E284</f>
        <v>180880</v>
      </c>
    </row>
    <row r="285" customFormat="false" ht="15" hidden="false" customHeight="false" outlineLevel="0" collapsed="false">
      <c r="A285" s="66" t="n">
        <v>3</v>
      </c>
      <c r="B285" s="29" t="s">
        <v>1703</v>
      </c>
      <c r="C285" s="28" t="s">
        <v>1647</v>
      </c>
      <c r="D285" s="67" t="n">
        <v>0.69</v>
      </c>
      <c r="E285" s="30" t="n">
        <f aca="false">'Harga Bahan dan Tenaga'!$D$20</f>
        <v>480000</v>
      </c>
      <c r="F285" s="36" t="n">
        <f aca="false">D285*E285</f>
        <v>331200</v>
      </c>
    </row>
    <row r="286" customFormat="false" ht="15" hidden="false" customHeight="false" outlineLevel="0" collapsed="false">
      <c r="A286" s="66" t="n">
        <v>4</v>
      </c>
      <c r="B286" s="29" t="s">
        <v>1680</v>
      </c>
      <c r="C286" s="28" t="s">
        <v>1647</v>
      </c>
      <c r="D286" s="67" t="n">
        <v>0.215</v>
      </c>
      <c r="E286" s="30" t="n">
        <f aca="false">'Harga Bahan dan Tenaga'!$D$23</f>
        <v>35000</v>
      </c>
      <c r="F286" s="36" t="n">
        <f aca="false">D286*E286</f>
        <v>7525</v>
      </c>
    </row>
    <row r="287" customFormat="false" ht="15" hidden="false" customHeight="false" outlineLevel="0" collapsed="false">
      <c r="B287" s="2" t="s">
        <v>1675</v>
      </c>
      <c r="F287" s="39" t="n">
        <f aca="false">SUM(F283:F286)</f>
        <v>1308085</v>
      </c>
    </row>
    <row r="288" customFormat="false" ht="15" hidden="false" customHeight="false" outlineLevel="0" collapsed="false">
      <c r="B288" s="2" t="s">
        <v>1659</v>
      </c>
    </row>
    <row r="289" customFormat="false" ht="15" hidden="false" customHeight="false" outlineLevel="0" collapsed="false">
      <c r="A289" s="66" t="n">
        <v>1</v>
      </c>
      <c r="B289" s="29" t="s">
        <v>1704</v>
      </c>
      <c r="C289" s="28" t="s">
        <v>1661</v>
      </c>
      <c r="D289" s="67" t="n">
        <v>0.2</v>
      </c>
      <c r="E289" s="30" t="n">
        <f aca="false">'Harga Bahan dan Tenaga'!$D$68</f>
        <v>125000</v>
      </c>
      <c r="F289" s="36" t="n">
        <f aca="false">D289*E289</f>
        <v>25000</v>
      </c>
    </row>
    <row r="290" customFormat="false" ht="15" hidden="false" customHeight="false" outlineLevel="0" collapsed="false">
      <c r="A290" s="66" t="n">
        <v>2</v>
      </c>
      <c r="B290" s="29" t="s">
        <v>1705</v>
      </c>
      <c r="C290" s="28" t="s">
        <v>1661</v>
      </c>
      <c r="D290" s="67" t="n">
        <v>0.25</v>
      </c>
      <c r="E290" s="30" t="n">
        <f aca="false">'Harga Bahan dan Tenaga'!$D$69</f>
        <v>60000</v>
      </c>
      <c r="F290" s="36" t="n">
        <f aca="false">D290*E290</f>
        <v>15000</v>
      </c>
    </row>
    <row r="291" customFormat="false" ht="15" hidden="false" customHeight="false" outlineLevel="0" collapsed="false">
      <c r="B291" s="2" t="s">
        <v>1662</v>
      </c>
      <c r="F291" s="39" t="n">
        <f aca="false">SUM(F289:F290)</f>
        <v>40000</v>
      </c>
    </row>
    <row r="292" customFormat="false" ht="15" hidden="false" customHeight="false" outlineLevel="0" collapsed="false">
      <c r="B292" s="2" t="s">
        <v>1663</v>
      </c>
      <c r="F292" s="39" t="n">
        <f aca="false">F281+F287+F291</f>
        <v>1639305</v>
      </c>
    </row>
    <row r="293" customFormat="false" ht="15" hidden="false" customHeight="false" outlineLevel="0" collapsed="false">
      <c r="B293" s="5" t="s">
        <v>1664</v>
      </c>
      <c r="D293" s="68" t="n">
        <f aca="false">'Informasi Proyek'!$C$20</f>
        <v>0.1</v>
      </c>
      <c r="F293" s="36" t="n">
        <f aca="false">F292*D293</f>
        <v>163930.5</v>
      </c>
    </row>
    <row r="294" customFormat="false" ht="15" hidden="false" customHeight="false" outlineLevel="0" collapsed="false">
      <c r="A294" s="57"/>
      <c r="B294" s="69" t="s">
        <v>1665</v>
      </c>
      <c r="C294" s="57"/>
      <c r="D294" s="57"/>
      <c r="E294" s="57"/>
      <c r="F294" s="34" t="n">
        <f aca="false">ROUND(F292+F293,0)</f>
        <v>1803236</v>
      </c>
    </row>
    <row r="296" customFormat="false" ht="15" hidden="false" customHeight="false" outlineLevel="0" collapsed="false">
      <c r="A296" s="24" t="s">
        <v>329</v>
      </c>
      <c r="B296" s="24" t="s">
        <v>1709</v>
      </c>
      <c r="C296" s="59" t="s">
        <v>976</v>
      </c>
      <c r="D296" s="23"/>
      <c r="E296" s="23"/>
      <c r="F296" s="23"/>
      <c r="G296" s="64" t="s">
        <v>1692</v>
      </c>
    </row>
    <row r="297" customFormat="false" ht="15" hidden="false" customHeight="false" outlineLevel="0" collapsed="false">
      <c r="A297" s="65" t="s">
        <v>69</v>
      </c>
      <c r="B297" s="65" t="s">
        <v>1649</v>
      </c>
      <c r="C297" s="65" t="s">
        <v>1650</v>
      </c>
      <c r="D297" s="65" t="s">
        <v>1651</v>
      </c>
      <c r="E297" s="65" t="s">
        <v>1652</v>
      </c>
      <c r="F297" s="65" t="s">
        <v>1653</v>
      </c>
    </row>
    <row r="298" customFormat="false" ht="15" hidden="false" customHeight="false" outlineLevel="0" collapsed="false">
      <c r="B298" s="2" t="s">
        <v>1654</v>
      </c>
    </row>
    <row r="299" customFormat="false" ht="15" hidden="false" customHeight="false" outlineLevel="0" collapsed="false">
      <c r="A299" s="66" t="n">
        <v>1</v>
      </c>
      <c r="B299" s="29" t="s">
        <v>1655</v>
      </c>
      <c r="C299" s="28" t="s">
        <v>1656</v>
      </c>
      <c r="D299" s="67" t="n">
        <v>0.007</v>
      </c>
      <c r="E299" s="30" t="n">
        <f aca="false">'Harga Bahan dan Tenaga'!$D$7</f>
        <v>135000</v>
      </c>
      <c r="F299" s="36" t="n">
        <f aca="false">D299*E299</f>
        <v>945</v>
      </c>
    </row>
    <row r="300" customFormat="false" ht="15" hidden="false" customHeight="false" outlineLevel="0" collapsed="false">
      <c r="A300" s="66" t="n">
        <v>2</v>
      </c>
      <c r="B300" s="29" t="s">
        <v>1710</v>
      </c>
      <c r="C300" s="28" t="s">
        <v>1656</v>
      </c>
      <c r="D300" s="67" t="n">
        <v>0.007</v>
      </c>
      <c r="E300" s="30" t="n">
        <f aca="false">'Harga Bahan dan Tenaga'!$D$10</f>
        <v>170000</v>
      </c>
      <c r="F300" s="36" t="n">
        <f aca="false">D300*E300</f>
        <v>1190</v>
      </c>
    </row>
    <row r="301" customFormat="false" ht="15" hidden="false" customHeight="false" outlineLevel="0" collapsed="false">
      <c r="A301" s="66" t="n">
        <v>3</v>
      </c>
      <c r="B301" s="29" t="s">
        <v>1694</v>
      </c>
      <c r="C301" s="28" t="s">
        <v>1656</v>
      </c>
      <c r="D301" s="67" t="n">
        <v>0.0007</v>
      </c>
      <c r="E301" s="30" t="n">
        <f aca="false">'Harga Bahan dan Tenaga'!$D$14</f>
        <v>190000</v>
      </c>
      <c r="F301" s="36" t="n">
        <f aca="false">D301*E301</f>
        <v>133</v>
      </c>
    </row>
    <row r="302" customFormat="false" ht="15" hidden="false" customHeight="false" outlineLevel="0" collapsed="false">
      <c r="A302" s="66" t="n">
        <v>4</v>
      </c>
      <c r="B302" s="29" t="s">
        <v>1657</v>
      </c>
      <c r="C302" s="28" t="s">
        <v>1656</v>
      </c>
      <c r="D302" s="67" t="n">
        <v>0.0004</v>
      </c>
      <c r="E302" s="30" t="n">
        <f aca="false">'Harga Bahan dan Tenaga'!$D$15</f>
        <v>200000</v>
      </c>
      <c r="F302" s="36" t="n">
        <f aca="false">D302*E302</f>
        <v>80</v>
      </c>
    </row>
    <row r="303" customFormat="false" ht="15" hidden="false" customHeight="false" outlineLevel="0" collapsed="false">
      <c r="B303" s="2" t="s">
        <v>1658</v>
      </c>
      <c r="F303" s="39" t="n">
        <f aca="false">SUM(F299:F302)</f>
        <v>2348</v>
      </c>
    </row>
    <row r="304" customFormat="false" ht="15" hidden="false" customHeight="false" outlineLevel="0" collapsed="false">
      <c r="B304" s="2" t="s">
        <v>1673</v>
      </c>
    </row>
    <row r="305" customFormat="false" ht="15" hidden="false" customHeight="false" outlineLevel="0" collapsed="false">
      <c r="A305" s="66" t="n">
        <v>1</v>
      </c>
      <c r="B305" s="29" t="s">
        <v>1711</v>
      </c>
      <c r="C305" s="28" t="s">
        <v>976</v>
      </c>
      <c r="D305" s="67" t="n">
        <v>1.05</v>
      </c>
      <c r="E305" s="30" t="n">
        <f aca="false">'Harga Bahan dan Tenaga'!$D$24</f>
        <v>17500</v>
      </c>
      <c r="F305" s="36" t="n">
        <f aca="false">D305*E305</f>
        <v>18375</v>
      </c>
    </row>
    <row r="306" customFormat="false" ht="15" hidden="false" customHeight="false" outlineLevel="0" collapsed="false">
      <c r="A306" s="66" t="n">
        <v>2</v>
      </c>
      <c r="B306" s="29" t="s">
        <v>1712</v>
      </c>
      <c r="C306" s="28" t="s">
        <v>976</v>
      </c>
      <c r="D306" s="67" t="n">
        <v>0.015</v>
      </c>
      <c r="E306" s="30" t="n">
        <f aca="false">'Harga Bahan dan Tenaga'!$D$25</f>
        <v>24000</v>
      </c>
      <c r="F306" s="36" t="n">
        <f aca="false">D306*E306</f>
        <v>360</v>
      </c>
    </row>
    <row r="307" customFormat="false" ht="15" hidden="false" customHeight="false" outlineLevel="0" collapsed="false">
      <c r="B307" s="2" t="s">
        <v>1675</v>
      </c>
      <c r="F307" s="39" t="n">
        <f aca="false">SUM(F305:F306)</f>
        <v>18735</v>
      </c>
    </row>
    <row r="308" customFormat="false" ht="15" hidden="false" customHeight="false" outlineLevel="0" collapsed="false">
      <c r="B308" s="2" t="s">
        <v>1663</v>
      </c>
      <c r="F308" s="39" t="n">
        <f aca="false">F303+F307</f>
        <v>21083</v>
      </c>
    </row>
    <row r="309" customFormat="false" ht="15" hidden="false" customHeight="false" outlineLevel="0" collapsed="false">
      <c r="B309" s="5" t="s">
        <v>1664</v>
      </c>
      <c r="D309" s="68" t="n">
        <f aca="false">'Informasi Proyek'!$C$20</f>
        <v>0.1</v>
      </c>
      <c r="F309" s="36" t="n">
        <f aca="false">F308*D309</f>
        <v>2108.3</v>
      </c>
    </row>
    <row r="310" customFormat="false" ht="15" hidden="false" customHeight="false" outlineLevel="0" collapsed="false">
      <c r="A310" s="57"/>
      <c r="B310" s="69" t="s">
        <v>1713</v>
      </c>
      <c r="C310" s="57"/>
      <c r="D310" s="57"/>
      <c r="E310" s="57"/>
      <c r="F310" s="34" t="n">
        <f aca="false">ROUND(F308+F309,0)</f>
        <v>23191</v>
      </c>
    </row>
    <row r="312" customFormat="false" ht="15" hidden="false" customHeight="false" outlineLevel="0" collapsed="false">
      <c r="A312" s="24" t="s">
        <v>332</v>
      </c>
      <c r="B312" s="24" t="s">
        <v>1714</v>
      </c>
      <c r="C312" s="59" t="s">
        <v>219</v>
      </c>
      <c r="D312" s="23"/>
      <c r="E312" s="23"/>
      <c r="F312" s="23"/>
      <c r="G312" s="64" t="s">
        <v>1715</v>
      </c>
    </row>
    <row r="313" customFormat="false" ht="15" hidden="false" customHeight="false" outlineLevel="0" collapsed="false">
      <c r="A313" s="65" t="s">
        <v>69</v>
      </c>
      <c r="B313" s="65" t="s">
        <v>1649</v>
      </c>
      <c r="C313" s="65" t="s">
        <v>1650</v>
      </c>
      <c r="D313" s="65" t="s">
        <v>1651</v>
      </c>
      <c r="E313" s="65" t="s">
        <v>1652</v>
      </c>
      <c r="F313" s="65" t="s">
        <v>1653</v>
      </c>
    </row>
    <row r="314" customFormat="false" ht="15" hidden="false" customHeight="false" outlineLevel="0" collapsed="false">
      <c r="B314" s="2" t="s">
        <v>1654</v>
      </c>
    </row>
    <row r="315" customFormat="false" ht="15" hidden="false" customHeight="false" outlineLevel="0" collapsed="false">
      <c r="A315" s="66" t="n">
        <v>1</v>
      </c>
      <c r="B315" s="29" t="s">
        <v>1655</v>
      </c>
      <c r="C315" s="28" t="s">
        <v>1656</v>
      </c>
      <c r="D315" s="67" t="n">
        <v>0.52</v>
      </c>
      <c r="E315" s="30" t="n">
        <f aca="false">'Harga Bahan dan Tenaga'!$D$7</f>
        <v>135000</v>
      </c>
      <c r="F315" s="36" t="n">
        <f aca="false">D315*E315</f>
        <v>70200</v>
      </c>
    </row>
    <row r="316" customFormat="false" ht="15" hidden="false" customHeight="false" outlineLevel="0" collapsed="false">
      <c r="A316" s="66" t="n">
        <v>2</v>
      </c>
      <c r="B316" s="29" t="s">
        <v>1716</v>
      </c>
      <c r="C316" s="28" t="s">
        <v>1656</v>
      </c>
      <c r="D316" s="67" t="n">
        <v>0.26</v>
      </c>
      <c r="E316" s="30" t="n">
        <f aca="false">'Harga Bahan dan Tenaga'!$D$9</f>
        <v>170000</v>
      </c>
      <c r="F316" s="36" t="n">
        <f aca="false">D316*E316</f>
        <v>44200</v>
      </c>
    </row>
    <row r="317" customFormat="false" ht="15" hidden="false" customHeight="false" outlineLevel="0" collapsed="false">
      <c r="A317" s="66" t="n">
        <v>3</v>
      </c>
      <c r="B317" s="29" t="s">
        <v>1694</v>
      </c>
      <c r="C317" s="28" t="s">
        <v>1656</v>
      </c>
      <c r="D317" s="67" t="n">
        <v>0.026</v>
      </c>
      <c r="E317" s="30" t="n">
        <f aca="false">'Harga Bahan dan Tenaga'!$D$14</f>
        <v>190000</v>
      </c>
      <c r="F317" s="36" t="n">
        <f aca="false">D317*E317</f>
        <v>4940</v>
      </c>
    </row>
    <row r="318" customFormat="false" ht="15" hidden="false" customHeight="false" outlineLevel="0" collapsed="false">
      <c r="A318" s="66" t="n">
        <v>4</v>
      </c>
      <c r="B318" s="29" t="s">
        <v>1657</v>
      </c>
      <c r="C318" s="28" t="s">
        <v>1656</v>
      </c>
      <c r="D318" s="67" t="n">
        <v>0.026</v>
      </c>
      <c r="E318" s="30" t="n">
        <f aca="false">'Harga Bahan dan Tenaga'!$D$15</f>
        <v>200000</v>
      </c>
      <c r="F318" s="36" t="n">
        <f aca="false">D318*E318</f>
        <v>5200</v>
      </c>
    </row>
    <row r="319" customFormat="false" ht="15" hidden="false" customHeight="false" outlineLevel="0" collapsed="false">
      <c r="B319" s="2" t="s">
        <v>1658</v>
      </c>
      <c r="F319" s="39" t="n">
        <f aca="false">SUM(F315:F318)</f>
        <v>124540</v>
      </c>
    </row>
    <row r="320" customFormat="false" ht="15" hidden="false" customHeight="false" outlineLevel="0" collapsed="false">
      <c r="B320" s="2" t="s">
        <v>1673</v>
      </c>
    </row>
    <row r="321" customFormat="false" ht="15" hidden="false" customHeight="false" outlineLevel="0" collapsed="false">
      <c r="A321" s="66" t="n">
        <v>1</v>
      </c>
      <c r="B321" s="29" t="s">
        <v>1717</v>
      </c>
      <c r="C321" s="28" t="s">
        <v>1647</v>
      </c>
      <c r="D321" s="67" t="n">
        <v>0.012</v>
      </c>
      <c r="E321" s="30" t="n">
        <f aca="false">'Harga Bahan dan Tenaga'!$D$26</f>
        <v>5200000</v>
      </c>
      <c r="F321" s="36" t="n">
        <f aca="false">D321*E321</f>
        <v>62400</v>
      </c>
    </row>
    <row r="322" customFormat="false" ht="15" hidden="false" customHeight="false" outlineLevel="0" collapsed="false">
      <c r="A322" s="66" t="n">
        <v>2</v>
      </c>
      <c r="B322" s="29" t="s">
        <v>1718</v>
      </c>
      <c r="C322" s="28" t="s">
        <v>1647</v>
      </c>
      <c r="D322" s="67" t="n">
        <v>0.015</v>
      </c>
      <c r="E322" s="30" t="n">
        <f aca="false">'Harga Bahan dan Tenaga'!$D$27</f>
        <v>4800000</v>
      </c>
      <c r="F322" s="36" t="n">
        <f aca="false">D322*E322</f>
        <v>72000</v>
      </c>
    </row>
    <row r="323" customFormat="false" ht="15" hidden="false" customHeight="false" outlineLevel="0" collapsed="false">
      <c r="A323" s="66" t="n">
        <v>3</v>
      </c>
      <c r="B323" s="29" t="s">
        <v>1719</v>
      </c>
      <c r="C323" s="28" t="s">
        <v>1720</v>
      </c>
      <c r="D323" s="67" t="n">
        <v>0.25</v>
      </c>
      <c r="E323" s="30" t="n">
        <f aca="false">'Harga Bahan dan Tenaga'!$D$28</f>
        <v>235000</v>
      </c>
      <c r="F323" s="36" t="n">
        <f aca="false">D323*E323</f>
        <v>58750</v>
      </c>
    </row>
    <row r="324" customFormat="false" ht="15" hidden="false" customHeight="false" outlineLevel="0" collapsed="false">
      <c r="A324" s="66" t="n">
        <v>4</v>
      </c>
      <c r="B324" s="29" t="s">
        <v>1721</v>
      </c>
      <c r="C324" s="28" t="s">
        <v>976</v>
      </c>
      <c r="D324" s="67" t="n">
        <v>0.3</v>
      </c>
      <c r="E324" s="30" t="n">
        <f aca="false">'Harga Bahan dan Tenaga'!$D$29</f>
        <v>26000</v>
      </c>
      <c r="F324" s="36" t="n">
        <f aca="false">D324*E324</f>
        <v>7800</v>
      </c>
    </row>
    <row r="325" customFormat="false" ht="15" hidden="false" customHeight="false" outlineLevel="0" collapsed="false">
      <c r="A325" s="66" t="n">
        <v>5</v>
      </c>
      <c r="B325" s="29" t="s">
        <v>1722</v>
      </c>
      <c r="C325" s="28" t="s">
        <v>1723</v>
      </c>
      <c r="D325" s="67" t="n">
        <v>0.15</v>
      </c>
      <c r="E325" s="30" t="n">
        <f aca="false">'Harga Bahan dan Tenaga'!$D$30</f>
        <v>28000</v>
      </c>
      <c r="F325" s="36" t="n">
        <f aca="false">D325*E325</f>
        <v>4200</v>
      </c>
    </row>
    <row r="326" customFormat="false" ht="15" hidden="false" customHeight="false" outlineLevel="0" collapsed="false">
      <c r="A326" s="66" t="n">
        <v>6</v>
      </c>
      <c r="B326" s="29" t="s">
        <v>1724</v>
      </c>
      <c r="C326" s="28" t="s">
        <v>342</v>
      </c>
      <c r="D326" s="67" t="n">
        <v>1.5</v>
      </c>
      <c r="E326" s="30" t="n">
        <f aca="false">'Harga Bahan dan Tenaga'!$D$31</f>
        <v>22000</v>
      </c>
      <c r="F326" s="36" t="n">
        <f aca="false">D326*E326</f>
        <v>33000</v>
      </c>
    </row>
    <row r="327" customFormat="false" ht="15" hidden="false" customHeight="false" outlineLevel="0" collapsed="false">
      <c r="B327" s="2" t="s">
        <v>1675</v>
      </c>
      <c r="F327" s="39" t="n">
        <f aca="false">SUM(F321:F326)</f>
        <v>238150</v>
      </c>
    </row>
    <row r="328" customFormat="false" ht="15" hidden="false" customHeight="false" outlineLevel="0" collapsed="false">
      <c r="B328" s="2" t="s">
        <v>1663</v>
      </c>
      <c r="F328" s="39" t="n">
        <f aca="false">F319+F327</f>
        <v>362690</v>
      </c>
    </row>
    <row r="329" customFormat="false" ht="15" hidden="false" customHeight="false" outlineLevel="0" collapsed="false">
      <c r="B329" s="5" t="s">
        <v>1664</v>
      </c>
      <c r="D329" s="68" t="n">
        <f aca="false">'Informasi Proyek'!$C$20</f>
        <v>0.1</v>
      </c>
      <c r="F329" s="36" t="n">
        <f aca="false">F328*D329</f>
        <v>36269</v>
      </c>
    </row>
    <row r="330" customFormat="false" ht="15" hidden="false" customHeight="false" outlineLevel="0" collapsed="false">
      <c r="A330" s="57"/>
      <c r="B330" s="69" t="s">
        <v>1689</v>
      </c>
      <c r="C330" s="57"/>
      <c r="D330" s="57"/>
      <c r="E330" s="57"/>
      <c r="F330" s="34" t="n">
        <f aca="false">ROUND(F328+F329,0)</f>
        <v>398959</v>
      </c>
    </row>
    <row r="332" customFormat="false" ht="15" hidden="false" customHeight="false" outlineLevel="0" collapsed="false">
      <c r="A332" s="24" t="s">
        <v>1001</v>
      </c>
      <c r="B332" s="24" t="s">
        <v>1725</v>
      </c>
      <c r="C332" s="59" t="s">
        <v>976</v>
      </c>
      <c r="D332" s="23"/>
      <c r="E332" s="23"/>
      <c r="F332" s="23"/>
      <c r="G332" s="64" t="s">
        <v>1677</v>
      </c>
    </row>
    <row r="333" customFormat="false" ht="15" hidden="false" customHeight="false" outlineLevel="0" collapsed="false">
      <c r="A333" s="65" t="s">
        <v>69</v>
      </c>
      <c r="B333" s="65" t="s">
        <v>1649</v>
      </c>
      <c r="C333" s="65" t="s">
        <v>1650</v>
      </c>
      <c r="D333" s="65" t="s">
        <v>1651</v>
      </c>
      <c r="E333" s="65" t="s">
        <v>1652</v>
      </c>
      <c r="F333" s="65" t="s">
        <v>1653</v>
      </c>
    </row>
    <row r="334" customFormat="false" ht="15" hidden="false" customHeight="false" outlineLevel="0" collapsed="false">
      <c r="B334" s="2" t="s">
        <v>1654</v>
      </c>
    </row>
    <row r="335" customFormat="false" ht="15" hidden="false" customHeight="false" outlineLevel="0" collapsed="false">
      <c r="A335" s="66" t="n">
        <v>1</v>
      </c>
      <c r="B335" s="29" t="s">
        <v>1655</v>
      </c>
      <c r="C335" s="28" t="s">
        <v>1656</v>
      </c>
      <c r="D335" s="67" t="n">
        <v>0.01</v>
      </c>
      <c r="E335" s="30" t="n">
        <f aca="false">'Harga Bahan dan Tenaga'!$D$7</f>
        <v>135000</v>
      </c>
      <c r="F335" s="36" t="n">
        <f aca="false">D335*E335</f>
        <v>1350</v>
      </c>
    </row>
    <row r="336" customFormat="false" ht="15" hidden="false" customHeight="false" outlineLevel="0" collapsed="false">
      <c r="A336" s="66" t="n">
        <v>2</v>
      </c>
      <c r="B336" s="29" t="s">
        <v>1710</v>
      </c>
      <c r="C336" s="28" t="s">
        <v>1656</v>
      </c>
      <c r="D336" s="67" t="n">
        <v>0.01</v>
      </c>
      <c r="E336" s="30" t="n">
        <f aca="false">'Harga Bahan dan Tenaga'!$D$10</f>
        <v>170000</v>
      </c>
      <c r="F336" s="36" t="n">
        <f aca="false">D336*E336</f>
        <v>1700</v>
      </c>
    </row>
    <row r="337" customFormat="false" ht="15" hidden="false" customHeight="false" outlineLevel="0" collapsed="false">
      <c r="A337" s="66" t="n">
        <v>3</v>
      </c>
      <c r="B337" s="29" t="s">
        <v>1657</v>
      </c>
      <c r="C337" s="28" t="s">
        <v>1656</v>
      </c>
      <c r="D337" s="67" t="n">
        <v>0.001</v>
      </c>
      <c r="E337" s="30" t="n">
        <f aca="false">'Harga Bahan dan Tenaga'!$D$15</f>
        <v>200000</v>
      </c>
      <c r="F337" s="36" t="n">
        <f aca="false">D337*E337</f>
        <v>200</v>
      </c>
    </row>
    <row r="338" customFormat="false" ht="15" hidden="false" customHeight="false" outlineLevel="0" collapsed="false">
      <c r="B338" s="2" t="s">
        <v>1658</v>
      </c>
      <c r="F338" s="39" t="n">
        <f aca="false">SUM(F335:F337)</f>
        <v>3250</v>
      </c>
    </row>
    <row r="339" customFormat="false" ht="15" hidden="false" customHeight="false" outlineLevel="0" collapsed="false">
      <c r="B339" s="2" t="s">
        <v>1673</v>
      </c>
    </row>
    <row r="340" customFormat="false" ht="15" hidden="false" customHeight="false" outlineLevel="0" collapsed="false">
      <c r="A340" s="66" t="n">
        <v>1</v>
      </c>
      <c r="B340" s="29" t="s">
        <v>1726</v>
      </c>
      <c r="C340" s="28" t="s">
        <v>976</v>
      </c>
      <c r="D340" s="67" t="n">
        <v>1.05</v>
      </c>
      <c r="E340" s="30" t="n">
        <f aca="false">'Harga Bahan dan Tenaga'!$D$37</f>
        <v>19500</v>
      </c>
      <c r="F340" s="36" t="n">
        <f aca="false">D340*E340</f>
        <v>20475</v>
      </c>
    </row>
    <row r="341" customFormat="false" ht="15" hidden="false" customHeight="false" outlineLevel="0" collapsed="false">
      <c r="B341" s="2" t="s">
        <v>1675</v>
      </c>
      <c r="F341" s="39" t="n">
        <f aca="false">SUM(F340:F340)</f>
        <v>20475</v>
      </c>
    </row>
    <row r="342" customFormat="false" ht="15" hidden="false" customHeight="false" outlineLevel="0" collapsed="false">
      <c r="B342" s="2" t="s">
        <v>1663</v>
      </c>
      <c r="F342" s="39" t="n">
        <f aca="false">F338+F341</f>
        <v>23725</v>
      </c>
    </row>
    <row r="343" customFormat="false" ht="15" hidden="false" customHeight="false" outlineLevel="0" collapsed="false">
      <c r="B343" s="5" t="s">
        <v>1664</v>
      </c>
      <c r="D343" s="68" t="n">
        <f aca="false">'Informasi Proyek'!$C$20</f>
        <v>0.1</v>
      </c>
      <c r="F343" s="36" t="n">
        <f aca="false">F342*D343</f>
        <v>2372.5</v>
      </c>
    </row>
    <row r="344" customFormat="false" ht="15" hidden="false" customHeight="false" outlineLevel="0" collapsed="false">
      <c r="A344" s="57"/>
      <c r="B344" s="69" t="s">
        <v>1713</v>
      </c>
      <c r="C344" s="57"/>
      <c r="D344" s="57"/>
      <c r="E344" s="57"/>
      <c r="F344" s="34" t="n">
        <f aca="false">ROUND(F342+F343,0)</f>
        <v>26098</v>
      </c>
    </row>
    <row r="346" customFormat="false" ht="15" hidden="false" customHeight="false" outlineLevel="0" collapsed="false">
      <c r="A346" s="24" t="s">
        <v>368</v>
      </c>
      <c r="B346" s="24" t="s">
        <v>1727</v>
      </c>
      <c r="C346" s="59" t="s">
        <v>1728</v>
      </c>
      <c r="D346" s="23"/>
      <c r="E346" s="23"/>
      <c r="F346" s="23"/>
      <c r="G346" s="64" t="s">
        <v>1729</v>
      </c>
    </row>
    <row r="347" customFormat="false" ht="15" hidden="false" customHeight="false" outlineLevel="0" collapsed="false">
      <c r="A347" s="65" t="s">
        <v>69</v>
      </c>
      <c r="B347" s="65" t="s">
        <v>1649</v>
      </c>
      <c r="C347" s="65" t="s">
        <v>1650</v>
      </c>
      <c r="D347" s="65" t="s">
        <v>1651</v>
      </c>
      <c r="E347" s="65" t="s">
        <v>1652</v>
      </c>
      <c r="F347" s="65" t="s">
        <v>1653</v>
      </c>
    </row>
    <row r="348" customFormat="false" ht="15" hidden="false" customHeight="false" outlineLevel="0" collapsed="false">
      <c r="B348" s="2" t="s">
        <v>1673</v>
      </c>
    </row>
    <row r="349" customFormat="false" ht="15" hidden="false" customHeight="false" outlineLevel="0" collapsed="false">
      <c r="A349" s="66" t="n">
        <v>1</v>
      </c>
      <c r="B349" s="29" t="s">
        <v>1730</v>
      </c>
      <c r="C349" s="28" t="s">
        <v>1647</v>
      </c>
      <c r="D349" s="67" t="n">
        <v>0.0127</v>
      </c>
      <c r="E349" s="36" t="n">
        <f aca="false">F248</f>
        <v>1459645</v>
      </c>
      <c r="F349" s="36" t="n">
        <f aca="false">D349*E349</f>
        <v>18537.4915</v>
      </c>
    </row>
    <row r="350" customFormat="false" ht="15" hidden="false" customHeight="false" outlineLevel="0" collapsed="false">
      <c r="A350" s="66" t="n">
        <v>2</v>
      </c>
      <c r="B350" s="29" t="s">
        <v>1731</v>
      </c>
      <c r="C350" s="28" t="s">
        <v>976</v>
      </c>
      <c r="D350" s="67" t="n">
        <v>2.2</v>
      </c>
      <c r="E350" s="36" t="n">
        <f aca="false">F308</f>
        <v>21083</v>
      </c>
      <c r="F350" s="36" t="n">
        <f aca="false">D350*E350</f>
        <v>46382.6</v>
      </c>
    </row>
    <row r="351" customFormat="false" ht="15" hidden="false" customHeight="false" outlineLevel="0" collapsed="false">
      <c r="A351" s="66" t="n">
        <v>3</v>
      </c>
      <c r="B351" s="29" t="s">
        <v>1732</v>
      </c>
      <c r="C351" s="28" t="s">
        <v>219</v>
      </c>
      <c r="D351" s="67" t="n">
        <v>0.44</v>
      </c>
      <c r="E351" s="36" t="n">
        <f aca="false">F328</f>
        <v>362690</v>
      </c>
      <c r="F351" s="36" t="n">
        <f aca="false">D351*E351</f>
        <v>159583.6</v>
      </c>
    </row>
    <row r="352" customFormat="false" ht="15" hidden="false" customHeight="false" outlineLevel="0" collapsed="false">
      <c r="B352" s="2" t="s">
        <v>1675</v>
      </c>
      <c r="F352" s="39" t="n">
        <f aca="false">SUM(F349:F351)</f>
        <v>224503.6915</v>
      </c>
    </row>
    <row r="353" customFormat="false" ht="15" hidden="false" customHeight="false" outlineLevel="0" collapsed="false">
      <c r="B353" s="2" t="s">
        <v>1663</v>
      </c>
      <c r="F353" s="39" t="n">
        <f aca="false">F352</f>
        <v>224503.6915</v>
      </c>
    </row>
    <row r="354" customFormat="false" ht="15" hidden="false" customHeight="false" outlineLevel="0" collapsed="false">
      <c r="B354" s="5" t="s">
        <v>1664</v>
      </c>
      <c r="D354" s="68" t="n">
        <f aca="false">'Informasi Proyek'!$C$20</f>
        <v>0.1</v>
      </c>
      <c r="F354" s="36" t="n">
        <f aca="false">F353*D354</f>
        <v>22450.36915</v>
      </c>
    </row>
    <row r="355" customFormat="false" ht="15" hidden="false" customHeight="false" outlineLevel="0" collapsed="false">
      <c r="A355" s="57"/>
      <c r="B355" s="69" t="s">
        <v>1733</v>
      </c>
      <c r="C355" s="57"/>
      <c r="D355" s="57"/>
      <c r="E355" s="57"/>
      <c r="F355" s="34" t="n">
        <f aca="false">ROUND(F353+F354,0)</f>
        <v>246954</v>
      </c>
    </row>
    <row r="357" customFormat="false" ht="15" hidden="false" customHeight="false" outlineLevel="0" collapsed="false">
      <c r="A357" s="24" t="s">
        <v>370</v>
      </c>
      <c r="B357" s="24" t="s">
        <v>1734</v>
      </c>
      <c r="C357" s="59" t="s">
        <v>1728</v>
      </c>
      <c r="D357" s="23"/>
      <c r="E357" s="23"/>
      <c r="F357" s="23"/>
      <c r="G357" s="64" t="s">
        <v>1729</v>
      </c>
    </row>
    <row r="358" customFormat="false" ht="15" hidden="false" customHeight="false" outlineLevel="0" collapsed="false">
      <c r="A358" s="65" t="s">
        <v>69</v>
      </c>
      <c r="B358" s="65" t="s">
        <v>1649</v>
      </c>
      <c r="C358" s="65" t="s">
        <v>1650</v>
      </c>
      <c r="D358" s="65" t="s">
        <v>1651</v>
      </c>
      <c r="E358" s="65" t="s">
        <v>1652</v>
      </c>
      <c r="F358" s="65" t="s">
        <v>1653</v>
      </c>
    </row>
    <row r="359" customFormat="false" ht="15" hidden="false" customHeight="false" outlineLevel="0" collapsed="false">
      <c r="B359" s="2" t="s">
        <v>1673</v>
      </c>
    </row>
    <row r="360" customFormat="false" ht="15" hidden="false" customHeight="false" outlineLevel="0" collapsed="false">
      <c r="A360" s="66" t="n">
        <v>1</v>
      </c>
      <c r="B360" s="29" t="s">
        <v>1730</v>
      </c>
      <c r="C360" s="28" t="s">
        <v>1647</v>
      </c>
      <c r="D360" s="67" t="n">
        <v>0.0158</v>
      </c>
      <c r="E360" s="36" t="n">
        <f aca="false">F248</f>
        <v>1459645</v>
      </c>
      <c r="F360" s="36" t="n">
        <f aca="false">D360*E360</f>
        <v>23062.391</v>
      </c>
    </row>
    <row r="361" customFormat="false" ht="15" hidden="false" customHeight="false" outlineLevel="0" collapsed="false">
      <c r="A361" s="66" t="n">
        <v>2</v>
      </c>
      <c r="B361" s="29" t="s">
        <v>1731</v>
      </c>
      <c r="C361" s="28" t="s">
        <v>976</v>
      </c>
      <c r="D361" s="67" t="n">
        <v>2.3</v>
      </c>
      <c r="E361" s="36" t="n">
        <f aca="false">F308</f>
        <v>21083</v>
      </c>
      <c r="F361" s="36" t="n">
        <f aca="false">D361*E361</f>
        <v>48490.9</v>
      </c>
    </row>
    <row r="362" customFormat="false" ht="15" hidden="false" customHeight="false" outlineLevel="0" collapsed="false">
      <c r="A362" s="66" t="n">
        <v>3</v>
      </c>
      <c r="B362" s="29" t="s">
        <v>1732</v>
      </c>
      <c r="C362" s="28" t="s">
        <v>219</v>
      </c>
      <c r="D362" s="67" t="n">
        <v>0.4</v>
      </c>
      <c r="E362" s="36" t="n">
        <f aca="false">F328</f>
        <v>362690</v>
      </c>
      <c r="F362" s="36" t="n">
        <f aca="false">D362*E362</f>
        <v>145076</v>
      </c>
    </row>
    <row r="363" customFormat="false" ht="15" hidden="false" customHeight="false" outlineLevel="0" collapsed="false">
      <c r="B363" s="2" t="s">
        <v>1675</v>
      </c>
      <c r="F363" s="39" t="n">
        <f aca="false">SUM(F360:F362)</f>
        <v>216629.291</v>
      </c>
    </row>
    <row r="364" customFormat="false" ht="15" hidden="false" customHeight="false" outlineLevel="0" collapsed="false">
      <c r="B364" s="2" t="s">
        <v>1663</v>
      </c>
      <c r="F364" s="39" t="n">
        <f aca="false">F363</f>
        <v>216629.291</v>
      </c>
    </row>
    <row r="365" customFormat="false" ht="15" hidden="false" customHeight="false" outlineLevel="0" collapsed="false">
      <c r="B365" s="5" t="s">
        <v>1664</v>
      </c>
      <c r="D365" s="68" t="n">
        <f aca="false">'Informasi Proyek'!$C$20</f>
        <v>0.1</v>
      </c>
      <c r="F365" s="36" t="n">
        <f aca="false">F364*D365</f>
        <v>21662.9291</v>
      </c>
    </row>
    <row r="366" customFormat="false" ht="15" hidden="false" customHeight="false" outlineLevel="0" collapsed="false">
      <c r="A366" s="57"/>
      <c r="B366" s="69" t="s">
        <v>1733</v>
      </c>
      <c r="C366" s="57"/>
      <c r="D366" s="57"/>
      <c r="E366" s="57"/>
      <c r="F366" s="34" t="n">
        <f aca="false">ROUND(F364+F365,0)</f>
        <v>238292</v>
      </c>
    </row>
    <row r="368" customFormat="false" ht="15" hidden="false" customHeight="false" outlineLevel="0" collapsed="false">
      <c r="A368" s="24" t="s">
        <v>510</v>
      </c>
      <c r="B368" s="24" t="s">
        <v>1735</v>
      </c>
      <c r="C368" s="59" t="s">
        <v>219</v>
      </c>
      <c r="D368" s="23"/>
      <c r="E368" s="23"/>
      <c r="F368" s="23"/>
      <c r="G368" s="64" t="s">
        <v>1692</v>
      </c>
    </row>
    <row r="369" customFormat="false" ht="15" hidden="false" customHeight="false" outlineLevel="0" collapsed="false">
      <c r="A369" s="65" t="s">
        <v>69</v>
      </c>
      <c r="B369" s="65" t="s">
        <v>1649</v>
      </c>
      <c r="C369" s="65" t="s">
        <v>1650</v>
      </c>
      <c r="D369" s="65" t="s">
        <v>1651</v>
      </c>
      <c r="E369" s="65" t="s">
        <v>1652</v>
      </c>
      <c r="F369" s="65" t="s">
        <v>1653</v>
      </c>
    </row>
    <row r="370" customFormat="false" ht="15" hidden="false" customHeight="false" outlineLevel="0" collapsed="false">
      <c r="B370" s="2" t="s">
        <v>1654</v>
      </c>
    </row>
    <row r="371" customFormat="false" ht="15" hidden="false" customHeight="false" outlineLevel="0" collapsed="false">
      <c r="A371" s="66" t="n">
        <v>1</v>
      </c>
      <c r="B371" s="29" t="s">
        <v>1655</v>
      </c>
      <c r="C371" s="28" t="s">
        <v>1656</v>
      </c>
      <c r="D371" s="67" t="n">
        <v>0.3</v>
      </c>
      <c r="E371" s="30" t="n">
        <f aca="false">'Harga Bahan dan Tenaga'!$D$7</f>
        <v>135000</v>
      </c>
      <c r="F371" s="36" t="n">
        <f aca="false">D371*E371</f>
        <v>40500</v>
      </c>
    </row>
    <row r="372" customFormat="false" ht="15" hidden="false" customHeight="false" outlineLevel="0" collapsed="false">
      <c r="A372" s="66" t="n">
        <v>2</v>
      </c>
      <c r="B372" s="29" t="s">
        <v>1693</v>
      </c>
      <c r="C372" s="28" t="s">
        <v>1656</v>
      </c>
      <c r="D372" s="67" t="n">
        <v>0.1</v>
      </c>
      <c r="E372" s="30" t="n">
        <f aca="false">'Harga Bahan dan Tenaga'!$D$8</f>
        <v>170000</v>
      </c>
      <c r="F372" s="36" t="n">
        <f aca="false">D372*E372</f>
        <v>17000</v>
      </c>
    </row>
    <row r="373" customFormat="false" ht="15" hidden="false" customHeight="false" outlineLevel="0" collapsed="false">
      <c r="A373" s="66" t="n">
        <v>3</v>
      </c>
      <c r="B373" s="29" t="s">
        <v>1694</v>
      </c>
      <c r="C373" s="28" t="s">
        <v>1656</v>
      </c>
      <c r="D373" s="67" t="n">
        <v>0.01</v>
      </c>
      <c r="E373" s="30" t="n">
        <f aca="false">'Harga Bahan dan Tenaga'!$D$14</f>
        <v>190000</v>
      </c>
      <c r="F373" s="36" t="n">
        <f aca="false">D373*E373</f>
        <v>1900</v>
      </c>
    </row>
    <row r="374" customFormat="false" ht="15" hidden="false" customHeight="false" outlineLevel="0" collapsed="false">
      <c r="A374" s="66" t="n">
        <v>4</v>
      </c>
      <c r="B374" s="29" t="s">
        <v>1657</v>
      </c>
      <c r="C374" s="28" t="s">
        <v>1656</v>
      </c>
      <c r="D374" s="67" t="n">
        <v>0.015</v>
      </c>
      <c r="E374" s="30" t="n">
        <f aca="false">'Harga Bahan dan Tenaga'!$D$15</f>
        <v>200000</v>
      </c>
      <c r="F374" s="36" t="n">
        <f aca="false">D374*E374</f>
        <v>3000</v>
      </c>
    </row>
    <row r="375" customFormat="false" ht="15" hidden="false" customHeight="false" outlineLevel="0" collapsed="false">
      <c r="B375" s="2" t="s">
        <v>1658</v>
      </c>
      <c r="F375" s="39" t="n">
        <f aca="false">SUM(F371:F374)</f>
        <v>62400</v>
      </c>
    </row>
    <row r="376" customFormat="false" ht="15" hidden="false" customHeight="false" outlineLevel="0" collapsed="false">
      <c r="B376" s="2" t="s">
        <v>1673</v>
      </c>
    </row>
    <row r="377" customFormat="false" ht="15" hidden="false" customHeight="false" outlineLevel="0" collapsed="false">
      <c r="A377" s="66" t="n">
        <v>1</v>
      </c>
      <c r="B377" s="29" t="s">
        <v>1736</v>
      </c>
      <c r="C377" s="28" t="s">
        <v>257</v>
      </c>
      <c r="D377" s="67" t="n">
        <v>70</v>
      </c>
      <c r="E377" s="30" t="n">
        <f aca="false">'Harga Bahan dan Tenaga'!$D$32</f>
        <v>1800</v>
      </c>
      <c r="F377" s="36" t="n">
        <f aca="false">D377*E377</f>
        <v>126000</v>
      </c>
    </row>
    <row r="378" customFormat="false" ht="15" hidden="false" customHeight="false" outlineLevel="0" collapsed="false">
      <c r="A378" s="66" t="n">
        <v>2</v>
      </c>
      <c r="B378" s="29" t="s">
        <v>1698</v>
      </c>
      <c r="C378" s="28" t="s">
        <v>976</v>
      </c>
      <c r="D378" s="67" t="n">
        <v>11.5</v>
      </c>
      <c r="E378" s="30" t="n">
        <f aca="false">'Harga Bahan dan Tenaga'!$D$17</f>
        <v>1760</v>
      </c>
      <c r="F378" s="36" t="n">
        <f aca="false">D378*E378</f>
        <v>20240</v>
      </c>
    </row>
    <row r="379" customFormat="false" ht="15" hidden="false" customHeight="false" outlineLevel="0" collapsed="false">
      <c r="A379" s="66" t="n">
        <v>3</v>
      </c>
      <c r="B379" s="29" t="s">
        <v>1699</v>
      </c>
      <c r="C379" s="28" t="s">
        <v>1647</v>
      </c>
      <c r="D379" s="67" t="n">
        <v>0.043</v>
      </c>
      <c r="E379" s="30" t="n">
        <f aca="false">'Harga Bahan dan Tenaga'!$D$18</f>
        <v>380000</v>
      </c>
      <c r="F379" s="36" t="n">
        <f aca="false">D379*E379</f>
        <v>16340</v>
      </c>
    </row>
    <row r="380" customFormat="false" ht="15" hidden="false" customHeight="false" outlineLevel="0" collapsed="false">
      <c r="B380" s="2" t="s">
        <v>1675</v>
      </c>
      <c r="F380" s="39" t="n">
        <f aca="false">SUM(F377:F379)</f>
        <v>162580</v>
      </c>
    </row>
    <row r="381" customFormat="false" ht="15" hidden="false" customHeight="false" outlineLevel="0" collapsed="false">
      <c r="B381" s="2" t="s">
        <v>1663</v>
      </c>
      <c r="F381" s="39" t="n">
        <f aca="false">F375+F380</f>
        <v>224980</v>
      </c>
    </row>
    <row r="382" customFormat="false" ht="15" hidden="false" customHeight="false" outlineLevel="0" collapsed="false">
      <c r="B382" s="5" t="s">
        <v>1664</v>
      </c>
      <c r="D382" s="68" t="n">
        <f aca="false">'Informasi Proyek'!$C$20</f>
        <v>0.1</v>
      </c>
      <c r="F382" s="36" t="n">
        <f aca="false">F381*D382</f>
        <v>22498</v>
      </c>
    </row>
    <row r="383" customFormat="false" ht="15" hidden="false" customHeight="false" outlineLevel="0" collapsed="false">
      <c r="A383" s="57"/>
      <c r="B383" s="69" t="s">
        <v>1689</v>
      </c>
      <c r="C383" s="57"/>
      <c r="D383" s="57"/>
      <c r="E383" s="57"/>
      <c r="F383" s="34" t="n">
        <f aca="false">ROUND(F381+F382,0)</f>
        <v>247478</v>
      </c>
    </row>
    <row r="385" customFormat="false" ht="15" hidden="false" customHeight="false" outlineLevel="0" collapsed="false">
      <c r="A385" s="24" t="s">
        <v>1359</v>
      </c>
      <c r="B385" s="24" t="s">
        <v>1737</v>
      </c>
      <c r="C385" s="59" t="s">
        <v>219</v>
      </c>
      <c r="D385" s="23"/>
      <c r="E385" s="23"/>
      <c r="F385" s="23"/>
      <c r="G385" s="64" t="s">
        <v>1692</v>
      </c>
    </row>
    <row r="386" customFormat="false" ht="15" hidden="false" customHeight="false" outlineLevel="0" collapsed="false">
      <c r="A386" s="65" t="s">
        <v>69</v>
      </c>
      <c r="B386" s="65" t="s">
        <v>1649</v>
      </c>
      <c r="C386" s="65" t="s">
        <v>1650</v>
      </c>
      <c r="D386" s="65" t="s">
        <v>1651</v>
      </c>
      <c r="E386" s="65" t="s">
        <v>1652</v>
      </c>
      <c r="F386" s="65" t="s">
        <v>1653</v>
      </c>
    </row>
    <row r="387" customFormat="false" ht="15" hidden="false" customHeight="false" outlineLevel="0" collapsed="false">
      <c r="B387" s="2" t="s">
        <v>1654</v>
      </c>
    </row>
    <row r="388" customFormat="false" ht="15" hidden="false" customHeight="false" outlineLevel="0" collapsed="false">
      <c r="A388" s="66" t="n">
        <v>1</v>
      </c>
      <c r="B388" s="29" t="s">
        <v>1655</v>
      </c>
      <c r="C388" s="28" t="s">
        <v>1656</v>
      </c>
      <c r="D388" s="67" t="n">
        <v>0.6</v>
      </c>
      <c r="E388" s="30" t="n">
        <f aca="false">'Harga Bahan dan Tenaga'!$D$7</f>
        <v>135000</v>
      </c>
      <c r="F388" s="36" t="n">
        <f aca="false">D388*E388</f>
        <v>81000</v>
      </c>
    </row>
    <row r="389" customFormat="false" ht="15" hidden="false" customHeight="false" outlineLevel="0" collapsed="false">
      <c r="A389" s="66" t="n">
        <v>2</v>
      </c>
      <c r="B389" s="29" t="s">
        <v>1693</v>
      </c>
      <c r="C389" s="28" t="s">
        <v>1656</v>
      </c>
      <c r="D389" s="67" t="n">
        <v>0.2</v>
      </c>
      <c r="E389" s="30" t="n">
        <f aca="false">'Harga Bahan dan Tenaga'!$D$8</f>
        <v>170000</v>
      </c>
      <c r="F389" s="36" t="n">
        <f aca="false">D389*E389</f>
        <v>34000</v>
      </c>
    </row>
    <row r="390" customFormat="false" ht="15" hidden="false" customHeight="false" outlineLevel="0" collapsed="false">
      <c r="A390" s="66" t="n">
        <v>3</v>
      </c>
      <c r="B390" s="29" t="s">
        <v>1694</v>
      </c>
      <c r="C390" s="28" t="s">
        <v>1656</v>
      </c>
      <c r="D390" s="67" t="n">
        <v>0.02</v>
      </c>
      <c r="E390" s="30" t="n">
        <f aca="false">'Harga Bahan dan Tenaga'!$D$14</f>
        <v>190000</v>
      </c>
      <c r="F390" s="36" t="n">
        <f aca="false">D390*E390</f>
        <v>3800</v>
      </c>
    </row>
    <row r="391" customFormat="false" ht="15" hidden="false" customHeight="false" outlineLevel="0" collapsed="false">
      <c r="A391" s="66" t="n">
        <v>4</v>
      </c>
      <c r="B391" s="29" t="s">
        <v>1657</v>
      </c>
      <c r="C391" s="28" t="s">
        <v>1656</v>
      </c>
      <c r="D391" s="67" t="n">
        <v>0.03</v>
      </c>
      <c r="E391" s="30" t="n">
        <f aca="false">'Harga Bahan dan Tenaga'!$D$15</f>
        <v>200000</v>
      </c>
      <c r="F391" s="36" t="n">
        <f aca="false">D391*E391</f>
        <v>6000</v>
      </c>
    </row>
    <row r="392" customFormat="false" ht="15" hidden="false" customHeight="false" outlineLevel="0" collapsed="false">
      <c r="B392" s="2" t="s">
        <v>1658</v>
      </c>
      <c r="F392" s="39" t="n">
        <f aca="false">SUM(F388:F391)</f>
        <v>124800</v>
      </c>
    </row>
    <row r="393" customFormat="false" ht="15" hidden="false" customHeight="false" outlineLevel="0" collapsed="false">
      <c r="B393" s="2" t="s">
        <v>1673</v>
      </c>
    </row>
    <row r="394" customFormat="false" ht="15" hidden="false" customHeight="false" outlineLevel="0" collapsed="false">
      <c r="A394" s="66" t="n">
        <v>1</v>
      </c>
      <c r="B394" s="29" t="s">
        <v>1736</v>
      </c>
      <c r="C394" s="28" t="s">
        <v>257</v>
      </c>
      <c r="D394" s="67" t="n">
        <v>140</v>
      </c>
      <c r="E394" s="30" t="n">
        <f aca="false">'Harga Bahan dan Tenaga'!$D$32</f>
        <v>1800</v>
      </c>
      <c r="F394" s="36" t="n">
        <f aca="false">D394*E394</f>
        <v>252000</v>
      </c>
    </row>
    <row r="395" customFormat="false" ht="15" hidden="false" customHeight="false" outlineLevel="0" collapsed="false">
      <c r="A395" s="66" t="n">
        <v>2</v>
      </c>
      <c r="B395" s="29" t="s">
        <v>1698</v>
      </c>
      <c r="C395" s="28" t="s">
        <v>976</v>
      </c>
      <c r="D395" s="67" t="n">
        <v>23.5</v>
      </c>
      <c r="E395" s="30" t="n">
        <f aca="false">'Harga Bahan dan Tenaga'!$D$17</f>
        <v>1760</v>
      </c>
      <c r="F395" s="36" t="n">
        <f aca="false">D395*E395</f>
        <v>41360</v>
      </c>
    </row>
    <row r="396" customFormat="false" ht="15" hidden="false" customHeight="false" outlineLevel="0" collapsed="false">
      <c r="A396" s="66" t="n">
        <v>3</v>
      </c>
      <c r="B396" s="29" t="s">
        <v>1699</v>
      </c>
      <c r="C396" s="28" t="s">
        <v>1647</v>
      </c>
      <c r="D396" s="67" t="n">
        <v>0.09</v>
      </c>
      <c r="E396" s="30" t="n">
        <f aca="false">'Harga Bahan dan Tenaga'!$D$18</f>
        <v>380000</v>
      </c>
      <c r="F396" s="36" t="n">
        <f aca="false">D396*E396</f>
        <v>34200</v>
      </c>
    </row>
    <row r="397" customFormat="false" ht="15" hidden="false" customHeight="false" outlineLevel="0" collapsed="false">
      <c r="B397" s="2" t="s">
        <v>1675</v>
      </c>
      <c r="F397" s="39" t="n">
        <f aca="false">SUM(F394:F396)</f>
        <v>327560</v>
      </c>
    </row>
    <row r="398" customFormat="false" ht="15" hidden="false" customHeight="false" outlineLevel="0" collapsed="false">
      <c r="B398" s="2" t="s">
        <v>1663</v>
      </c>
      <c r="F398" s="39" t="n">
        <f aca="false">F392+F397</f>
        <v>452360</v>
      </c>
    </row>
    <row r="399" customFormat="false" ht="15" hidden="false" customHeight="false" outlineLevel="0" collapsed="false">
      <c r="B399" s="5" t="s">
        <v>1664</v>
      </c>
      <c r="D399" s="68" t="n">
        <f aca="false">'Informasi Proyek'!$C$20</f>
        <v>0.1</v>
      </c>
      <c r="F399" s="36" t="n">
        <f aca="false">F398*D399</f>
        <v>45236</v>
      </c>
    </row>
    <row r="400" customFormat="false" ht="15" hidden="false" customHeight="false" outlineLevel="0" collapsed="false">
      <c r="A400" s="57"/>
      <c r="B400" s="69" t="s">
        <v>1689</v>
      </c>
      <c r="C400" s="57"/>
      <c r="D400" s="57"/>
      <c r="E400" s="57"/>
      <c r="F400" s="34" t="n">
        <f aca="false">ROUND(F398+F399,0)</f>
        <v>497596</v>
      </c>
    </row>
    <row r="402" customFormat="false" ht="15" hidden="false" customHeight="false" outlineLevel="0" collapsed="false">
      <c r="A402" s="24" t="s">
        <v>396</v>
      </c>
      <c r="B402" s="24" t="s">
        <v>1738</v>
      </c>
      <c r="C402" s="59" t="s">
        <v>219</v>
      </c>
      <c r="D402" s="23"/>
      <c r="E402" s="23"/>
      <c r="F402" s="23"/>
      <c r="G402" s="64" t="s">
        <v>1739</v>
      </c>
    </row>
    <row r="403" customFormat="false" ht="15" hidden="false" customHeight="false" outlineLevel="0" collapsed="false">
      <c r="A403" s="65" t="s">
        <v>69</v>
      </c>
      <c r="B403" s="65" t="s">
        <v>1649</v>
      </c>
      <c r="C403" s="65" t="s">
        <v>1650</v>
      </c>
      <c r="D403" s="65" t="s">
        <v>1651</v>
      </c>
      <c r="E403" s="65" t="s">
        <v>1652</v>
      </c>
      <c r="F403" s="65" t="s">
        <v>1653</v>
      </c>
    </row>
    <row r="404" customFormat="false" ht="15" hidden="false" customHeight="false" outlineLevel="0" collapsed="false">
      <c r="B404" s="2" t="s">
        <v>1654</v>
      </c>
    </row>
    <row r="405" customFormat="false" ht="15" hidden="false" customHeight="false" outlineLevel="0" collapsed="false">
      <c r="A405" s="66" t="n">
        <v>1</v>
      </c>
      <c r="B405" s="29" t="s">
        <v>1655</v>
      </c>
      <c r="C405" s="28" t="s">
        <v>1656</v>
      </c>
      <c r="D405" s="67" t="n">
        <v>0.3</v>
      </c>
      <c r="E405" s="30" t="n">
        <f aca="false">'Harga Bahan dan Tenaga'!$D$7</f>
        <v>135000</v>
      </c>
      <c r="F405" s="36" t="n">
        <f aca="false">D405*E405</f>
        <v>40500</v>
      </c>
    </row>
    <row r="406" customFormat="false" ht="15" hidden="false" customHeight="false" outlineLevel="0" collapsed="false">
      <c r="A406" s="66" t="n">
        <v>2</v>
      </c>
      <c r="B406" s="29" t="s">
        <v>1693</v>
      </c>
      <c r="C406" s="28" t="s">
        <v>1656</v>
      </c>
      <c r="D406" s="67" t="n">
        <v>0.12</v>
      </c>
      <c r="E406" s="30" t="n">
        <f aca="false">'Harga Bahan dan Tenaga'!$D$8</f>
        <v>170000</v>
      </c>
      <c r="F406" s="36" t="n">
        <f aca="false">D406*E406</f>
        <v>20400</v>
      </c>
    </row>
    <row r="407" customFormat="false" ht="15" hidden="false" customHeight="false" outlineLevel="0" collapsed="false">
      <c r="A407" s="66" t="n">
        <v>3</v>
      </c>
      <c r="B407" s="29" t="s">
        <v>1694</v>
      </c>
      <c r="C407" s="28" t="s">
        <v>1656</v>
      </c>
      <c r="D407" s="67" t="n">
        <v>0.012</v>
      </c>
      <c r="E407" s="30" t="n">
        <f aca="false">'Harga Bahan dan Tenaga'!$D$14</f>
        <v>190000</v>
      </c>
      <c r="F407" s="36" t="n">
        <f aca="false">D407*E407</f>
        <v>2280</v>
      </c>
    </row>
    <row r="408" customFormat="false" ht="15" hidden="false" customHeight="false" outlineLevel="0" collapsed="false">
      <c r="A408" s="66" t="n">
        <v>4</v>
      </c>
      <c r="B408" s="29" t="s">
        <v>1657</v>
      </c>
      <c r="C408" s="28" t="s">
        <v>1656</v>
      </c>
      <c r="D408" s="67" t="n">
        <v>0.015</v>
      </c>
      <c r="E408" s="30" t="n">
        <f aca="false">'Harga Bahan dan Tenaga'!$D$15</f>
        <v>200000</v>
      </c>
      <c r="F408" s="36" t="n">
        <f aca="false">D408*E408</f>
        <v>3000</v>
      </c>
    </row>
    <row r="409" customFormat="false" ht="15" hidden="false" customHeight="false" outlineLevel="0" collapsed="false">
      <c r="B409" s="2" t="s">
        <v>1658</v>
      </c>
      <c r="F409" s="39" t="n">
        <f aca="false">SUM(F405:F408)</f>
        <v>66180</v>
      </c>
    </row>
    <row r="410" customFormat="false" ht="15" hidden="false" customHeight="false" outlineLevel="0" collapsed="false">
      <c r="B410" s="2" t="s">
        <v>1673</v>
      </c>
    </row>
    <row r="411" customFormat="false" ht="15" hidden="false" customHeight="false" outlineLevel="0" collapsed="false">
      <c r="A411" s="66" t="n">
        <v>1</v>
      </c>
      <c r="B411" s="29" t="s">
        <v>1740</v>
      </c>
      <c r="C411" s="28" t="s">
        <v>1647</v>
      </c>
      <c r="D411" s="67" t="n">
        <v>0.105</v>
      </c>
      <c r="E411" s="30" t="n">
        <f aca="false">'Harga Bahan dan Tenaga'!$D$33</f>
        <v>1450000</v>
      </c>
      <c r="F411" s="36" t="n">
        <f aca="false">D411*E411</f>
        <v>152250</v>
      </c>
    </row>
    <row r="412" customFormat="false" ht="15" hidden="false" customHeight="false" outlineLevel="0" collapsed="false">
      <c r="A412" s="66" t="n">
        <v>2</v>
      </c>
      <c r="B412" s="29" t="s">
        <v>1741</v>
      </c>
      <c r="C412" s="28" t="s">
        <v>976</v>
      </c>
      <c r="D412" s="67" t="n">
        <v>5</v>
      </c>
      <c r="E412" s="30" t="n">
        <f aca="false">'Harga Bahan dan Tenaga'!$D$34</f>
        <v>4500</v>
      </c>
      <c r="F412" s="36" t="n">
        <f aca="false">D412*E412</f>
        <v>22500</v>
      </c>
    </row>
    <row r="413" customFormat="false" ht="15" hidden="false" customHeight="false" outlineLevel="0" collapsed="false">
      <c r="B413" s="2" t="s">
        <v>1675</v>
      </c>
      <c r="F413" s="39" t="n">
        <f aca="false">SUM(F411:F412)</f>
        <v>174750</v>
      </c>
    </row>
    <row r="414" customFormat="false" ht="15" hidden="false" customHeight="false" outlineLevel="0" collapsed="false">
      <c r="B414" s="2" t="s">
        <v>1663</v>
      </c>
      <c r="F414" s="39" t="n">
        <f aca="false">F409+F413</f>
        <v>240930</v>
      </c>
    </row>
    <row r="415" customFormat="false" ht="15" hidden="false" customHeight="false" outlineLevel="0" collapsed="false">
      <c r="B415" s="5" t="s">
        <v>1664</v>
      </c>
      <c r="D415" s="68" t="n">
        <f aca="false">'Informasi Proyek'!$C$20</f>
        <v>0.1</v>
      </c>
      <c r="F415" s="36" t="n">
        <f aca="false">F414*D415</f>
        <v>24093</v>
      </c>
    </row>
    <row r="416" customFormat="false" ht="15" hidden="false" customHeight="false" outlineLevel="0" collapsed="false">
      <c r="A416" s="57"/>
      <c r="B416" s="69" t="s">
        <v>1689</v>
      </c>
      <c r="C416" s="57"/>
      <c r="D416" s="57"/>
      <c r="E416" s="57"/>
      <c r="F416" s="34" t="n">
        <f aca="false">ROUND(F414+F415,0)</f>
        <v>265023</v>
      </c>
    </row>
    <row r="418" customFormat="false" ht="15" hidden="false" customHeight="false" outlineLevel="0" collapsed="false">
      <c r="A418" s="24" t="s">
        <v>399</v>
      </c>
      <c r="B418" s="24" t="s">
        <v>1742</v>
      </c>
      <c r="C418" s="59" t="s">
        <v>219</v>
      </c>
      <c r="D418" s="23"/>
      <c r="E418" s="23"/>
      <c r="F418" s="23"/>
      <c r="G418" s="64" t="s">
        <v>1692</v>
      </c>
    </row>
    <row r="419" customFormat="false" ht="15" hidden="false" customHeight="false" outlineLevel="0" collapsed="false">
      <c r="A419" s="65" t="s">
        <v>69</v>
      </c>
      <c r="B419" s="65" t="s">
        <v>1649</v>
      </c>
      <c r="C419" s="65" t="s">
        <v>1650</v>
      </c>
      <c r="D419" s="65" t="s">
        <v>1651</v>
      </c>
      <c r="E419" s="65" t="s">
        <v>1652</v>
      </c>
      <c r="F419" s="65" t="s">
        <v>1653</v>
      </c>
    </row>
    <row r="420" customFormat="false" ht="15" hidden="false" customHeight="false" outlineLevel="0" collapsed="false">
      <c r="B420" s="2" t="s">
        <v>1654</v>
      </c>
    </row>
    <row r="421" customFormat="false" ht="15" hidden="false" customHeight="false" outlineLevel="0" collapsed="false">
      <c r="A421" s="66" t="n">
        <v>1</v>
      </c>
      <c r="B421" s="29" t="s">
        <v>1655</v>
      </c>
      <c r="C421" s="28" t="s">
        <v>1656</v>
      </c>
      <c r="D421" s="67" t="n">
        <v>0.3</v>
      </c>
      <c r="E421" s="30" t="n">
        <f aca="false">'Harga Bahan dan Tenaga'!$D$7</f>
        <v>135000</v>
      </c>
      <c r="F421" s="36" t="n">
        <f aca="false">D421*E421</f>
        <v>40500</v>
      </c>
    </row>
    <row r="422" customFormat="false" ht="15" hidden="false" customHeight="false" outlineLevel="0" collapsed="false">
      <c r="A422" s="66" t="n">
        <v>2</v>
      </c>
      <c r="B422" s="29" t="s">
        <v>1693</v>
      </c>
      <c r="C422" s="28" t="s">
        <v>1656</v>
      </c>
      <c r="D422" s="67" t="n">
        <v>0.15</v>
      </c>
      <c r="E422" s="30" t="n">
        <f aca="false">'Harga Bahan dan Tenaga'!$D$8</f>
        <v>170000</v>
      </c>
      <c r="F422" s="36" t="n">
        <f aca="false">D422*E422</f>
        <v>25500</v>
      </c>
    </row>
    <row r="423" customFormat="false" ht="15" hidden="false" customHeight="false" outlineLevel="0" collapsed="false">
      <c r="A423" s="66" t="n">
        <v>3</v>
      </c>
      <c r="B423" s="29" t="s">
        <v>1694</v>
      </c>
      <c r="C423" s="28" t="s">
        <v>1656</v>
      </c>
      <c r="D423" s="67" t="n">
        <v>0.015</v>
      </c>
      <c r="E423" s="30" t="n">
        <f aca="false">'Harga Bahan dan Tenaga'!$D$14</f>
        <v>190000</v>
      </c>
      <c r="F423" s="36" t="n">
        <f aca="false">D423*E423</f>
        <v>2850</v>
      </c>
    </row>
    <row r="424" customFormat="false" ht="15" hidden="false" customHeight="false" outlineLevel="0" collapsed="false">
      <c r="A424" s="66" t="n">
        <v>4</v>
      </c>
      <c r="B424" s="29" t="s">
        <v>1657</v>
      </c>
      <c r="C424" s="28" t="s">
        <v>1656</v>
      </c>
      <c r="D424" s="67" t="n">
        <v>0.015</v>
      </c>
      <c r="E424" s="30" t="n">
        <f aca="false">'Harga Bahan dan Tenaga'!$D$15</f>
        <v>200000</v>
      </c>
      <c r="F424" s="36" t="n">
        <f aca="false">D424*E424</f>
        <v>3000</v>
      </c>
    </row>
    <row r="425" customFormat="false" ht="15" hidden="false" customHeight="false" outlineLevel="0" collapsed="false">
      <c r="B425" s="2" t="s">
        <v>1658</v>
      </c>
      <c r="F425" s="39" t="n">
        <f aca="false">SUM(F421:F424)</f>
        <v>71850</v>
      </c>
    </row>
    <row r="426" customFormat="false" ht="15" hidden="false" customHeight="false" outlineLevel="0" collapsed="false">
      <c r="B426" s="2" t="s">
        <v>1673</v>
      </c>
    </row>
    <row r="427" customFormat="false" ht="15" hidden="false" customHeight="false" outlineLevel="0" collapsed="false">
      <c r="A427" s="66" t="n">
        <v>1</v>
      </c>
      <c r="B427" s="29" t="s">
        <v>1698</v>
      </c>
      <c r="C427" s="28" t="s">
        <v>976</v>
      </c>
      <c r="D427" s="67" t="n">
        <v>7.776</v>
      </c>
      <c r="E427" s="30" t="n">
        <f aca="false">'Harga Bahan dan Tenaga'!$D$17</f>
        <v>1760</v>
      </c>
      <c r="F427" s="36" t="n">
        <f aca="false">D427*E427</f>
        <v>13685.76</v>
      </c>
    </row>
    <row r="428" customFormat="false" ht="15" hidden="false" customHeight="false" outlineLevel="0" collapsed="false">
      <c r="A428" s="66" t="n">
        <v>2</v>
      </c>
      <c r="B428" s="29" t="s">
        <v>1699</v>
      </c>
      <c r="C428" s="28" t="s">
        <v>1647</v>
      </c>
      <c r="D428" s="67" t="n">
        <v>0.023</v>
      </c>
      <c r="E428" s="30" t="n">
        <f aca="false">'Harga Bahan dan Tenaga'!$D$18</f>
        <v>380000</v>
      </c>
      <c r="F428" s="36" t="n">
        <f aca="false">D428*E428</f>
        <v>8740</v>
      </c>
    </row>
    <row r="429" customFormat="false" ht="15" hidden="false" customHeight="false" outlineLevel="0" collapsed="false">
      <c r="B429" s="2" t="s">
        <v>1675</v>
      </c>
      <c r="F429" s="39" t="n">
        <f aca="false">SUM(F427:F428)</f>
        <v>22425.76</v>
      </c>
    </row>
    <row r="430" customFormat="false" ht="15" hidden="false" customHeight="false" outlineLevel="0" collapsed="false">
      <c r="B430" s="2" t="s">
        <v>1663</v>
      </c>
      <c r="F430" s="39" t="n">
        <f aca="false">F425+F429</f>
        <v>94275.76</v>
      </c>
    </row>
    <row r="431" customFormat="false" ht="15" hidden="false" customHeight="false" outlineLevel="0" collapsed="false">
      <c r="B431" s="5" t="s">
        <v>1664</v>
      </c>
      <c r="D431" s="68" t="n">
        <f aca="false">'Informasi Proyek'!$C$20</f>
        <v>0.1</v>
      </c>
      <c r="F431" s="36" t="n">
        <f aca="false">F430*D431</f>
        <v>9427.576</v>
      </c>
    </row>
    <row r="432" customFormat="false" ht="15" hidden="false" customHeight="false" outlineLevel="0" collapsed="false">
      <c r="A432" s="57"/>
      <c r="B432" s="69" t="s">
        <v>1689</v>
      </c>
      <c r="C432" s="57"/>
      <c r="D432" s="57"/>
      <c r="E432" s="57"/>
      <c r="F432" s="34" t="n">
        <f aca="false">ROUND(F430+F431,0)</f>
        <v>103703</v>
      </c>
    </row>
    <row r="434" customFormat="false" ht="15" hidden="false" customHeight="false" outlineLevel="0" collapsed="false">
      <c r="A434" s="24" t="s">
        <v>401</v>
      </c>
      <c r="B434" s="24" t="s">
        <v>1743</v>
      </c>
      <c r="C434" s="59" t="s">
        <v>219</v>
      </c>
      <c r="D434" s="23"/>
      <c r="E434" s="23"/>
      <c r="F434" s="23"/>
      <c r="G434" s="64" t="s">
        <v>1692</v>
      </c>
    </row>
    <row r="435" customFormat="false" ht="15" hidden="false" customHeight="false" outlineLevel="0" collapsed="false">
      <c r="A435" s="65" t="s">
        <v>69</v>
      </c>
      <c r="B435" s="65" t="s">
        <v>1649</v>
      </c>
      <c r="C435" s="65" t="s">
        <v>1650</v>
      </c>
      <c r="D435" s="65" t="s">
        <v>1651</v>
      </c>
      <c r="E435" s="65" t="s">
        <v>1652</v>
      </c>
      <c r="F435" s="65" t="s">
        <v>1653</v>
      </c>
    </row>
    <row r="436" customFormat="false" ht="15" hidden="false" customHeight="false" outlineLevel="0" collapsed="false">
      <c r="B436" s="2" t="s">
        <v>1654</v>
      </c>
    </row>
    <row r="437" customFormat="false" ht="15" hidden="false" customHeight="false" outlineLevel="0" collapsed="false">
      <c r="A437" s="66" t="n">
        <v>1</v>
      </c>
      <c r="B437" s="29" t="s">
        <v>1655</v>
      </c>
      <c r="C437" s="28" t="s">
        <v>1656</v>
      </c>
      <c r="D437" s="67" t="n">
        <v>0.3</v>
      </c>
      <c r="E437" s="30" t="n">
        <f aca="false">'Harga Bahan dan Tenaga'!$D$7</f>
        <v>135000</v>
      </c>
      <c r="F437" s="36" t="n">
        <f aca="false">D437*E437</f>
        <v>40500</v>
      </c>
    </row>
    <row r="438" customFormat="false" ht="15" hidden="false" customHeight="false" outlineLevel="0" collapsed="false">
      <c r="A438" s="66" t="n">
        <v>2</v>
      </c>
      <c r="B438" s="29" t="s">
        <v>1693</v>
      </c>
      <c r="C438" s="28" t="s">
        <v>1656</v>
      </c>
      <c r="D438" s="67" t="n">
        <v>0.15</v>
      </c>
      <c r="E438" s="30" t="n">
        <f aca="false">'Harga Bahan dan Tenaga'!$D$8</f>
        <v>170000</v>
      </c>
      <c r="F438" s="36" t="n">
        <f aca="false">D438*E438</f>
        <v>25500</v>
      </c>
    </row>
    <row r="439" customFormat="false" ht="15" hidden="false" customHeight="false" outlineLevel="0" collapsed="false">
      <c r="A439" s="66" t="n">
        <v>3</v>
      </c>
      <c r="B439" s="29" t="s">
        <v>1694</v>
      </c>
      <c r="C439" s="28" t="s">
        <v>1656</v>
      </c>
      <c r="D439" s="67" t="n">
        <v>0.015</v>
      </c>
      <c r="E439" s="30" t="n">
        <f aca="false">'Harga Bahan dan Tenaga'!$D$14</f>
        <v>190000</v>
      </c>
      <c r="F439" s="36" t="n">
        <f aca="false">D439*E439</f>
        <v>2850</v>
      </c>
    </row>
    <row r="440" customFormat="false" ht="15" hidden="false" customHeight="false" outlineLevel="0" collapsed="false">
      <c r="A440" s="66" t="n">
        <v>4</v>
      </c>
      <c r="B440" s="29" t="s">
        <v>1657</v>
      </c>
      <c r="C440" s="28" t="s">
        <v>1656</v>
      </c>
      <c r="D440" s="67" t="n">
        <v>0.015</v>
      </c>
      <c r="E440" s="30" t="n">
        <f aca="false">'Harga Bahan dan Tenaga'!$D$15</f>
        <v>200000</v>
      </c>
      <c r="F440" s="36" t="n">
        <f aca="false">D440*E440</f>
        <v>3000</v>
      </c>
    </row>
    <row r="441" customFormat="false" ht="15" hidden="false" customHeight="false" outlineLevel="0" collapsed="false">
      <c r="B441" s="2" t="s">
        <v>1658</v>
      </c>
      <c r="F441" s="39" t="n">
        <f aca="false">SUM(F437:F440)</f>
        <v>71850</v>
      </c>
    </row>
    <row r="442" customFormat="false" ht="15" hidden="false" customHeight="false" outlineLevel="0" collapsed="false">
      <c r="B442" s="2" t="s">
        <v>1673</v>
      </c>
    </row>
    <row r="443" customFormat="false" ht="15" hidden="false" customHeight="false" outlineLevel="0" collapsed="false">
      <c r="A443" s="66" t="n">
        <v>1</v>
      </c>
      <c r="B443" s="29" t="s">
        <v>1698</v>
      </c>
      <c r="C443" s="28" t="s">
        <v>976</v>
      </c>
      <c r="D443" s="67" t="n">
        <v>11.5</v>
      </c>
      <c r="E443" s="30" t="n">
        <f aca="false">'Harga Bahan dan Tenaga'!$D$17</f>
        <v>1760</v>
      </c>
      <c r="F443" s="36" t="n">
        <f aca="false">D443*E443</f>
        <v>20240</v>
      </c>
    </row>
    <row r="444" customFormat="false" ht="15" hidden="false" customHeight="false" outlineLevel="0" collapsed="false">
      <c r="A444" s="66" t="n">
        <v>2</v>
      </c>
      <c r="B444" s="29" t="s">
        <v>1699</v>
      </c>
      <c r="C444" s="28" t="s">
        <v>1647</v>
      </c>
      <c r="D444" s="67" t="n">
        <v>0.016</v>
      </c>
      <c r="E444" s="30" t="n">
        <f aca="false">'Harga Bahan dan Tenaga'!$D$18</f>
        <v>380000</v>
      </c>
      <c r="F444" s="36" t="n">
        <f aca="false">D444*E444</f>
        <v>6080</v>
      </c>
    </row>
    <row r="445" customFormat="false" ht="15" hidden="false" customHeight="false" outlineLevel="0" collapsed="false">
      <c r="B445" s="2" t="s">
        <v>1675</v>
      </c>
      <c r="F445" s="39" t="n">
        <f aca="false">SUM(F443:F444)</f>
        <v>26320</v>
      </c>
    </row>
    <row r="446" customFormat="false" ht="15" hidden="false" customHeight="false" outlineLevel="0" collapsed="false">
      <c r="B446" s="2" t="s">
        <v>1663</v>
      </c>
      <c r="F446" s="39" t="n">
        <f aca="false">F441+F445</f>
        <v>98170</v>
      </c>
    </row>
    <row r="447" customFormat="false" ht="15" hidden="false" customHeight="false" outlineLevel="0" collapsed="false">
      <c r="B447" s="5" t="s">
        <v>1664</v>
      </c>
      <c r="D447" s="68" t="n">
        <f aca="false">'Informasi Proyek'!$C$20</f>
        <v>0.1</v>
      </c>
      <c r="F447" s="36" t="n">
        <f aca="false">F446*D447</f>
        <v>9817</v>
      </c>
    </row>
    <row r="448" customFormat="false" ht="15" hidden="false" customHeight="false" outlineLevel="0" collapsed="false">
      <c r="A448" s="57"/>
      <c r="B448" s="69" t="s">
        <v>1689</v>
      </c>
      <c r="C448" s="57"/>
      <c r="D448" s="57"/>
      <c r="E448" s="57"/>
      <c r="F448" s="34" t="n">
        <f aca="false">ROUND(F446+F447,0)</f>
        <v>107987</v>
      </c>
    </row>
    <row r="450" customFormat="false" ht="15" hidden="false" customHeight="false" outlineLevel="0" collapsed="false">
      <c r="A450" s="24" t="s">
        <v>1195</v>
      </c>
      <c r="B450" s="24" t="s">
        <v>1744</v>
      </c>
      <c r="C450" s="59" t="s">
        <v>219</v>
      </c>
      <c r="D450" s="23"/>
      <c r="E450" s="23"/>
      <c r="F450" s="23"/>
      <c r="G450" s="64" t="s">
        <v>1692</v>
      </c>
    </row>
    <row r="451" customFormat="false" ht="15" hidden="false" customHeight="false" outlineLevel="0" collapsed="false">
      <c r="A451" s="65" t="s">
        <v>69</v>
      </c>
      <c r="B451" s="65" t="s">
        <v>1649</v>
      </c>
      <c r="C451" s="65" t="s">
        <v>1650</v>
      </c>
      <c r="D451" s="65" t="s">
        <v>1651</v>
      </c>
      <c r="E451" s="65" t="s">
        <v>1652</v>
      </c>
      <c r="F451" s="65" t="s">
        <v>1653</v>
      </c>
    </row>
    <row r="452" customFormat="false" ht="15" hidden="false" customHeight="false" outlineLevel="0" collapsed="false">
      <c r="B452" s="2" t="s">
        <v>1654</v>
      </c>
    </row>
    <row r="453" customFormat="false" ht="15" hidden="false" customHeight="false" outlineLevel="0" collapsed="false">
      <c r="A453" s="66" t="n">
        <v>1</v>
      </c>
      <c r="B453" s="29" t="s">
        <v>1655</v>
      </c>
      <c r="C453" s="28" t="s">
        <v>1656</v>
      </c>
      <c r="D453" s="67" t="n">
        <v>0.2</v>
      </c>
      <c r="E453" s="30" t="n">
        <f aca="false">'Harga Bahan dan Tenaga'!$D$7</f>
        <v>135000</v>
      </c>
      <c r="F453" s="36" t="n">
        <f aca="false">D453*E453</f>
        <v>27000</v>
      </c>
    </row>
    <row r="454" customFormat="false" ht="15" hidden="false" customHeight="false" outlineLevel="0" collapsed="false">
      <c r="A454" s="66" t="n">
        <v>2</v>
      </c>
      <c r="B454" s="29" t="s">
        <v>1693</v>
      </c>
      <c r="C454" s="28" t="s">
        <v>1656</v>
      </c>
      <c r="D454" s="67" t="n">
        <v>0.1</v>
      </c>
      <c r="E454" s="30" t="n">
        <f aca="false">'Harga Bahan dan Tenaga'!$D$8</f>
        <v>170000</v>
      </c>
      <c r="F454" s="36" t="n">
        <f aca="false">D454*E454</f>
        <v>17000</v>
      </c>
    </row>
    <row r="455" customFormat="false" ht="15" hidden="false" customHeight="false" outlineLevel="0" collapsed="false">
      <c r="A455" s="66" t="n">
        <v>3</v>
      </c>
      <c r="B455" s="29" t="s">
        <v>1694</v>
      </c>
      <c r="C455" s="28" t="s">
        <v>1656</v>
      </c>
      <c r="D455" s="67" t="n">
        <v>0.01</v>
      </c>
      <c r="E455" s="30" t="n">
        <f aca="false">'Harga Bahan dan Tenaga'!$D$14</f>
        <v>190000</v>
      </c>
      <c r="F455" s="36" t="n">
        <f aca="false">D455*E455</f>
        <v>1900</v>
      </c>
    </row>
    <row r="456" customFormat="false" ht="15" hidden="false" customHeight="false" outlineLevel="0" collapsed="false">
      <c r="A456" s="66" t="n">
        <v>4</v>
      </c>
      <c r="B456" s="29" t="s">
        <v>1657</v>
      </c>
      <c r="C456" s="28" t="s">
        <v>1656</v>
      </c>
      <c r="D456" s="67" t="n">
        <v>0.01</v>
      </c>
      <c r="E456" s="30" t="n">
        <f aca="false">'Harga Bahan dan Tenaga'!$D$15</f>
        <v>200000</v>
      </c>
      <c r="F456" s="36" t="n">
        <f aca="false">D456*E456</f>
        <v>2000</v>
      </c>
    </row>
    <row r="457" customFormat="false" ht="15" hidden="false" customHeight="false" outlineLevel="0" collapsed="false">
      <c r="B457" s="2" t="s">
        <v>1658</v>
      </c>
      <c r="F457" s="39" t="n">
        <f aca="false">SUM(F453:F456)</f>
        <v>47900</v>
      </c>
    </row>
    <row r="458" customFormat="false" ht="15" hidden="false" customHeight="false" outlineLevel="0" collapsed="false">
      <c r="B458" s="2" t="s">
        <v>1673</v>
      </c>
    </row>
    <row r="459" customFormat="false" ht="15" hidden="false" customHeight="false" outlineLevel="0" collapsed="false">
      <c r="A459" s="66" t="n">
        <v>1</v>
      </c>
      <c r="B459" s="29" t="s">
        <v>1698</v>
      </c>
      <c r="C459" s="28" t="s">
        <v>976</v>
      </c>
      <c r="D459" s="67" t="n">
        <v>6</v>
      </c>
      <c r="E459" s="30" t="n">
        <f aca="false">'Harga Bahan dan Tenaga'!$D$17</f>
        <v>1760</v>
      </c>
      <c r="F459" s="36" t="n">
        <f aca="false">D459*E459</f>
        <v>10560</v>
      </c>
    </row>
    <row r="460" customFormat="false" ht="15" hidden="false" customHeight="false" outlineLevel="0" collapsed="false">
      <c r="A460" s="66" t="n">
        <v>2</v>
      </c>
      <c r="B460" s="29" t="s">
        <v>1699</v>
      </c>
      <c r="C460" s="28" t="s">
        <v>1647</v>
      </c>
      <c r="D460" s="67" t="n">
        <v>0.008</v>
      </c>
      <c r="E460" s="30" t="n">
        <f aca="false">'Harga Bahan dan Tenaga'!$D$18</f>
        <v>380000</v>
      </c>
      <c r="F460" s="36" t="n">
        <f aca="false">D460*E460</f>
        <v>3040</v>
      </c>
    </row>
    <row r="461" customFormat="false" ht="15" hidden="false" customHeight="false" outlineLevel="0" collapsed="false">
      <c r="B461" s="2" t="s">
        <v>1675</v>
      </c>
      <c r="F461" s="39" t="n">
        <f aca="false">SUM(F459:F460)</f>
        <v>13600</v>
      </c>
    </row>
    <row r="462" customFormat="false" ht="15" hidden="false" customHeight="false" outlineLevel="0" collapsed="false">
      <c r="B462" s="2" t="s">
        <v>1663</v>
      </c>
      <c r="F462" s="39" t="n">
        <f aca="false">F457+F461</f>
        <v>61500</v>
      </c>
    </row>
    <row r="463" customFormat="false" ht="15" hidden="false" customHeight="false" outlineLevel="0" collapsed="false">
      <c r="B463" s="5" t="s">
        <v>1664</v>
      </c>
      <c r="D463" s="68" t="n">
        <f aca="false">'Informasi Proyek'!$C$20</f>
        <v>0.1</v>
      </c>
      <c r="F463" s="36" t="n">
        <f aca="false">F462*D463</f>
        <v>6150</v>
      </c>
    </row>
    <row r="464" customFormat="false" ht="15" hidden="false" customHeight="false" outlineLevel="0" collapsed="false">
      <c r="A464" s="57"/>
      <c r="B464" s="69" t="s">
        <v>1689</v>
      </c>
      <c r="C464" s="57"/>
      <c r="D464" s="57"/>
      <c r="E464" s="57"/>
      <c r="F464" s="34" t="n">
        <f aca="false">ROUND(F462+F463,0)</f>
        <v>67650</v>
      </c>
    </row>
    <row r="466" customFormat="false" ht="15" hidden="false" customHeight="false" outlineLevel="0" collapsed="false">
      <c r="A466" s="24" t="s">
        <v>403</v>
      </c>
      <c r="B466" s="24" t="s">
        <v>1745</v>
      </c>
      <c r="C466" s="59" t="s">
        <v>219</v>
      </c>
      <c r="D466" s="23"/>
      <c r="E466" s="23"/>
      <c r="F466" s="23"/>
      <c r="G466" s="64" t="s">
        <v>1692</v>
      </c>
    </row>
    <row r="467" customFormat="false" ht="15" hidden="false" customHeight="false" outlineLevel="0" collapsed="false">
      <c r="A467" s="65" t="s">
        <v>69</v>
      </c>
      <c r="B467" s="65" t="s">
        <v>1649</v>
      </c>
      <c r="C467" s="65" t="s">
        <v>1650</v>
      </c>
      <c r="D467" s="65" t="s">
        <v>1651</v>
      </c>
      <c r="E467" s="65" t="s">
        <v>1652</v>
      </c>
      <c r="F467" s="65" t="s">
        <v>1653</v>
      </c>
    </row>
    <row r="468" customFormat="false" ht="15" hidden="false" customHeight="false" outlineLevel="0" collapsed="false">
      <c r="B468" s="2" t="s">
        <v>1654</v>
      </c>
    </row>
    <row r="469" customFormat="false" ht="15" hidden="false" customHeight="false" outlineLevel="0" collapsed="false">
      <c r="A469" s="66" t="n">
        <v>1</v>
      </c>
      <c r="B469" s="29" t="s">
        <v>1655</v>
      </c>
      <c r="C469" s="28" t="s">
        <v>1656</v>
      </c>
      <c r="D469" s="67" t="n">
        <v>0.2</v>
      </c>
      <c r="E469" s="30" t="n">
        <f aca="false">'Harga Bahan dan Tenaga'!$D$7</f>
        <v>135000</v>
      </c>
      <c r="F469" s="36" t="n">
        <f aca="false">D469*E469</f>
        <v>27000</v>
      </c>
    </row>
    <row r="470" customFormat="false" ht="15" hidden="false" customHeight="false" outlineLevel="0" collapsed="false">
      <c r="A470" s="66" t="n">
        <v>2</v>
      </c>
      <c r="B470" s="29" t="s">
        <v>1693</v>
      </c>
      <c r="C470" s="28" t="s">
        <v>1656</v>
      </c>
      <c r="D470" s="67" t="n">
        <v>0.1</v>
      </c>
      <c r="E470" s="30" t="n">
        <f aca="false">'Harga Bahan dan Tenaga'!$D$8</f>
        <v>170000</v>
      </c>
      <c r="F470" s="36" t="n">
        <f aca="false">D470*E470</f>
        <v>17000</v>
      </c>
    </row>
    <row r="471" customFormat="false" ht="15" hidden="false" customHeight="false" outlineLevel="0" collapsed="false">
      <c r="A471" s="66" t="n">
        <v>3</v>
      </c>
      <c r="B471" s="29" t="s">
        <v>1694</v>
      </c>
      <c r="C471" s="28" t="s">
        <v>1656</v>
      </c>
      <c r="D471" s="67" t="n">
        <v>0.01</v>
      </c>
      <c r="E471" s="30" t="n">
        <f aca="false">'Harga Bahan dan Tenaga'!$D$14</f>
        <v>190000</v>
      </c>
      <c r="F471" s="36" t="n">
        <f aca="false">D471*E471</f>
        <v>1900</v>
      </c>
    </row>
    <row r="472" customFormat="false" ht="15" hidden="false" customHeight="false" outlineLevel="0" collapsed="false">
      <c r="A472" s="66" t="n">
        <v>4</v>
      </c>
      <c r="B472" s="29" t="s">
        <v>1657</v>
      </c>
      <c r="C472" s="28" t="s">
        <v>1656</v>
      </c>
      <c r="D472" s="67" t="n">
        <v>0.01</v>
      </c>
      <c r="E472" s="30" t="n">
        <f aca="false">'Harga Bahan dan Tenaga'!$D$15</f>
        <v>200000</v>
      </c>
      <c r="F472" s="36" t="n">
        <f aca="false">D472*E472</f>
        <v>2000</v>
      </c>
    </row>
    <row r="473" customFormat="false" ht="15" hidden="false" customHeight="false" outlineLevel="0" collapsed="false">
      <c r="B473" s="2" t="s">
        <v>1658</v>
      </c>
      <c r="F473" s="39" t="n">
        <f aca="false">SUM(F469:F472)</f>
        <v>47900</v>
      </c>
    </row>
    <row r="474" customFormat="false" ht="15" hidden="false" customHeight="false" outlineLevel="0" collapsed="false">
      <c r="B474" s="2" t="s">
        <v>1673</v>
      </c>
    </row>
    <row r="475" customFormat="false" ht="15" hidden="false" customHeight="false" outlineLevel="0" collapsed="false">
      <c r="A475" s="66" t="n">
        <v>1</v>
      </c>
      <c r="B475" s="29" t="s">
        <v>1698</v>
      </c>
      <c r="C475" s="28" t="s">
        <v>976</v>
      </c>
      <c r="D475" s="67" t="n">
        <v>3.25</v>
      </c>
      <c r="E475" s="30" t="n">
        <f aca="false">'Harga Bahan dan Tenaga'!$D$17</f>
        <v>1760</v>
      </c>
      <c r="F475" s="36" t="n">
        <f aca="false">D475*E475</f>
        <v>5720</v>
      </c>
    </row>
    <row r="476" customFormat="false" ht="15" hidden="false" customHeight="false" outlineLevel="0" collapsed="false">
      <c r="B476" s="2" t="s">
        <v>1675</v>
      </c>
      <c r="F476" s="39" t="n">
        <f aca="false">SUM(F475:F475)</f>
        <v>5720</v>
      </c>
    </row>
    <row r="477" customFormat="false" ht="15" hidden="false" customHeight="false" outlineLevel="0" collapsed="false">
      <c r="B477" s="2" t="s">
        <v>1663</v>
      </c>
      <c r="F477" s="39" t="n">
        <f aca="false">F473+F476</f>
        <v>53620</v>
      </c>
    </row>
    <row r="478" customFormat="false" ht="15" hidden="false" customHeight="false" outlineLevel="0" collapsed="false">
      <c r="B478" s="5" t="s">
        <v>1664</v>
      </c>
      <c r="D478" s="68" t="n">
        <f aca="false">'Informasi Proyek'!$C$20</f>
        <v>0.1</v>
      </c>
      <c r="F478" s="36" t="n">
        <f aca="false">F477*D478</f>
        <v>5362</v>
      </c>
    </row>
    <row r="479" customFormat="false" ht="15" hidden="false" customHeight="false" outlineLevel="0" collapsed="false">
      <c r="A479" s="57"/>
      <c r="B479" s="69" t="s">
        <v>1689</v>
      </c>
      <c r="C479" s="57"/>
      <c r="D479" s="57"/>
      <c r="E479" s="57"/>
      <c r="F479" s="34" t="n">
        <f aca="false">ROUND(F477+F478,0)</f>
        <v>58982</v>
      </c>
    </row>
    <row r="481" customFormat="false" ht="15" hidden="false" customHeight="false" outlineLevel="0" collapsed="false">
      <c r="A481" s="24" t="s">
        <v>1023</v>
      </c>
      <c r="B481" s="24" t="s">
        <v>1746</v>
      </c>
      <c r="C481" s="59" t="s">
        <v>219</v>
      </c>
      <c r="D481" s="23"/>
      <c r="E481" s="23"/>
      <c r="F481" s="23"/>
      <c r="G481" s="64" t="s">
        <v>1739</v>
      </c>
    </row>
    <row r="482" customFormat="false" ht="15" hidden="false" customHeight="false" outlineLevel="0" collapsed="false">
      <c r="A482" s="65" t="s">
        <v>69</v>
      </c>
      <c r="B482" s="65" t="s">
        <v>1649</v>
      </c>
      <c r="C482" s="65" t="s">
        <v>1650</v>
      </c>
      <c r="D482" s="65" t="s">
        <v>1651</v>
      </c>
      <c r="E482" s="65" t="s">
        <v>1652</v>
      </c>
      <c r="F482" s="65" t="s">
        <v>1653</v>
      </c>
    </row>
    <row r="483" customFormat="false" ht="15" hidden="false" customHeight="false" outlineLevel="0" collapsed="false">
      <c r="B483" s="2" t="s">
        <v>1654</v>
      </c>
    </row>
    <row r="484" customFormat="false" ht="15" hidden="false" customHeight="false" outlineLevel="0" collapsed="false">
      <c r="A484" s="66" t="n">
        <v>1</v>
      </c>
      <c r="B484" s="29" t="s">
        <v>1655</v>
      </c>
      <c r="C484" s="28" t="s">
        <v>1656</v>
      </c>
      <c r="D484" s="67" t="n">
        <v>0.35</v>
      </c>
      <c r="E484" s="30" t="n">
        <f aca="false">'Harga Bahan dan Tenaga'!$D$7</f>
        <v>135000</v>
      </c>
      <c r="F484" s="36" t="n">
        <f aca="false">D484*E484</f>
        <v>47250</v>
      </c>
    </row>
    <row r="485" customFormat="false" ht="15" hidden="false" customHeight="false" outlineLevel="0" collapsed="false">
      <c r="A485" s="66" t="n">
        <v>2</v>
      </c>
      <c r="B485" s="29" t="s">
        <v>1747</v>
      </c>
      <c r="C485" s="28" t="s">
        <v>1656</v>
      </c>
      <c r="D485" s="67" t="n">
        <v>0.35</v>
      </c>
      <c r="E485" s="30" t="n">
        <f aca="false">'Harga Bahan dan Tenaga'!$D$13</f>
        <v>170000</v>
      </c>
      <c r="F485" s="36" t="n">
        <f aca="false">D485*E485</f>
        <v>59500</v>
      </c>
    </row>
    <row r="486" customFormat="false" ht="15" hidden="false" customHeight="false" outlineLevel="0" collapsed="false">
      <c r="A486" s="66" t="n">
        <v>3</v>
      </c>
      <c r="B486" s="29" t="s">
        <v>1694</v>
      </c>
      <c r="C486" s="28" t="s">
        <v>1656</v>
      </c>
      <c r="D486" s="67" t="n">
        <v>0.035</v>
      </c>
      <c r="E486" s="30" t="n">
        <f aca="false">'Harga Bahan dan Tenaga'!$D$14</f>
        <v>190000</v>
      </c>
      <c r="F486" s="36" t="n">
        <f aca="false">D486*E486</f>
        <v>6650</v>
      </c>
    </row>
    <row r="487" customFormat="false" ht="15" hidden="false" customHeight="false" outlineLevel="0" collapsed="false">
      <c r="A487" s="66" t="n">
        <v>4</v>
      </c>
      <c r="B487" s="29" t="s">
        <v>1657</v>
      </c>
      <c r="C487" s="28" t="s">
        <v>1656</v>
      </c>
      <c r="D487" s="67" t="n">
        <v>0.018</v>
      </c>
      <c r="E487" s="30" t="n">
        <f aca="false">'Harga Bahan dan Tenaga'!$D$15</f>
        <v>200000</v>
      </c>
      <c r="F487" s="36" t="n">
        <f aca="false">D487*E487</f>
        <v>3600</v>
      </c>
    </row>
    <row r="488" customFormat="false" ht="15" hidden="false" customHeight="false" outlineLevel="0" collapsed="false">
      <c r="B488" s="2" t="s">
        <v>1658</v>
      </c>
      <c r="F488" s="39" t="n">
        <f aca="false">SUM(F484:F487)</f>
        <v>117000</v>
      </c>
    </row>
    <row r="489" customFormat="false" ht="15" hidden="false" customHeight="false" outlineLevel="0" collapsed="false">
      <c r="B489" s="2" t="s">
        <v>1673</v>
      </c>
    </row>
    <row r="490" customFormat="false" ht="15" hidden="false" customHeight="false" outlineLevel="0" collapsed="false">
      <c r="A490" s="66" t="n">
        <v>1</v>
      </c>
      <c r="B490" s="29" t="s">
        <v>1748</v>
      </c>
      <c r="C490" s="28" t="s">
        <v>219</v>
      </c>
      <c r="D490" s="67" t="n">
        <v>1.05</v>
      </c>
      <c r="E490" s="30" t="n">
        <f aca="false">'Harga Bahan dan Tenaga'!$D$50</f>
        <v>215000</v>
      </c>
      <c r="F490" s="36" t="n">
        <f aca="false">D490*E490</f>
        <v>225750</v>
      </c>
    </row>
    <row r="491" customFormat="false" ht="15" hidden="false" customHeight="false" outlineLevel="0" collapsed="false">
      <c r="A491" s="66" t="n">
        <v>2</v>
      </c>
      <c r="B491" s="29" t="s">
        <v>1749</v>
      </c>
      <c r="C491" s="28" t="s">
        <v>976</v>
      </c>
      <c r="D491" s="67" t="n">
        <v>8</v>
      </c>
      <c r="E491" s="30" t="n">
        <f aca="false">'Harga Bahan dan Tenaga'!$D$51</f>
        <v>5500</v>
      </c>
      <c r="F491" s="36" t="n">
        <f aca="false">D491*E491</f>
        <v>44000</v>
      </c>
    </row>
    <row r="492" customFormat="false" ht="15" hidden="false" customHeight="false" outlineLevel="0" collapsed="false">
      <c r="A492" s="66" t="n">
        <v>3</v>
      </c>
      <c r="B492" s="29" t="s">
        <v>1750</v>
      </c>
      <c r="C492" s="28" t="s">
        <v>976</v>
      </c>
      <c r="D492" s="67" t="n">
        <v>0.8</v>
      </c>
      <c r="E492" s="30" t="n">
        <f aca="false">'Harga Bahan dan Tenaga'!$D$52</f>
        <v>26000</v>
      </c>
      <c r="F492" s="36" t="n">
        <f aca="false">D492*E492</f>
        <v>20800</v>
      </c>
    </row>
    <row r="493" customFormat="false" ht="15" hidden="false" customHeight="false" outlineLevel="0" collapsed="false">
      <c r="B493" s="2" t="s">
        <v>1675</v>
      </c>
      <c r="F493" s="39" t="n">
        <f aca="false">SUM(F490:F492)</f>
        <v>290550</v>
      </c>
    </row>
    <row r="494" customFormat="false" ht="15" hidden="false" customHeight="false" outlineLevel="0" collapsed="false">
      <c r="B494" s="2" t="s">
        <v>1663</v>
      </c>
      <c r="F494" s="39" t="n">
        <f aca="false">F488+F493</f>
        <v>407550</v>
      </c>
    </row>
    <row r="495" customFormat="false" ht="15" hidden="false" customHeight="false" outlineLevel="0" collapsed="false">
      <c r="B495" s="5" t="s">
        <v>1664</v>
      </c>
      <c r="D495" s="68" t="n">
        <f aca="false">'Informasi Proyek'!$C$20</f>
        <v>0.1</v>
      </c>
      <c r="F495" s="36" t="n">
        <f aca="false">F494*D495</f>
        <v>40755</v>
      </c>
    </row>
    <row r="496" customFormat="false" ht="15" hidden="false" customHeight="false" outlineLevel="0" collapsed="false">
      <c r="A496" s="57"/>
      <c r="B496" s="69" t="s">
        <v>1689</v>
      </c>
      <c r="C496" s="57"/>
      <c r="D496" s="57"/>
      <c r="E496" s="57"/>
      <c r="F496" s="34" t="n">
        <f aca="false">ROUND(F494+F495,0)</f>
        <v>448305</v>
      </c>
    </row>
    <row r="498" customFormat="false" ht="15" hidden="false" customHeight="false" outlineLevel="0" collapsed="false">
      <c r="A498" s="24" t="s">
        <v>405</v>
      </c>
      <c r="B498" s="24" t="s">
        <v>1751</v>
      </c>
      <c r="C498" s="59" t="s">
        <v>219</v>
      </c>
      <c r="D498" s="23"/>
      <c r="E498" s="23"/>
      <c r="F498" s="23"/>
      <c r="G498" s="64" t="s">
        <v>1739</v>
      </c>
    </row>
    <row r="499" customFormat="false" ht="15" hidden="false" customHeight="false" outlineLevel="0" collapsed="false">
      <c r="A499" s="65" t="s">
        <v>69</v>
      </c>
      <c r="B499" s="65" t="s">
        <v>1649</v>
      </c>
      <c r="C499" s="65" t="s">
        <v>1650</v>
      </c>
      <c r="D499" s="65" t="s">
        <v>1651</v>
      </c>
      <c r="E499" s="65" t="s">
        <v>1652</v>
      </c>
      <c r="F499" s="65" t="s">
        <v>1653</v>
      </c>
    </row>
    <row r="500" customFormat="false" ht="15" hidden="false" customHeight="false" outlineLevel="0" collapsed="false">
      <c r="B500" s="2" t="s">
        <v>1654</v>
      </c>
    </row>
    <row r="501" customFormat="false" ht="15" hidden="false" customHeight="false" outlineLevel="0" collapsed="false">
      <c r="A501" s="66" t="n">
        <v>1</v>
      </c>
      <c r="B501" s="29" t="s">
        <v>1655</v>
      </c>
      <c r="C501" s="28" t="s">
        <v>1656</v>
      </c>
      <c r="D501" s="67" t="n">
        <v>0.35</v>
      </c>
      <c r="E501" s="30" t="n">
        <f aca="false">'Harga Bahan dan Tenaga'!$D$7</f>
        <v>135000</v>
      </c>
      <c r="F501" s="36" t="n">
        <f aca="false">D501*E501</f>
        <v>47250</v>
      </c>
    </row>
    <row r="502" customFormat="false" ht="15" hidden="false" customHeight="false" outlineLevel="0" collapsed="false">
      <c r="A502" s="66" t="n">
        <v>2</v>
      </c>
      <c r="B502" s="29" t="s">
        <v>1747</v>
      </c>
      <c r="C502" s="28" t="s">
        <v>1656</v>
      </c>
      <c r="D502" s="67" t="n">
        <v>0.35</v>
      </c>
      <c r="E502" s="30" t="n">
        <f aca="false">'Harga Bahan dan Tenaga'!$D$13</f>
        <v>170000</v>
      </c>
      <c r="F502" s="36" t="n">
        <f aca="false">D502*E502</f>
        <v>59500</v>
      </c>
    </row>
    <row r="503" customFormat="false" ht="15" hidden="false" customHeight="false" outlineLevel="0" collapsed="false">
      <c r="A503" s="66" t="n">
        <v>3</v>
      </c>
      <c r="B503" s="29" t="s">
        <v>1694</v>
      </c>
      <c r="C503" s="28" t="s">
        <v>1656</v>
      </c>
      <c r="D503" s="67" t="n">
        <v>0.035</v>
      </c>
      <c r="E503" s="30" t="n">
        <f aca="false">'Harga Bahan dan Tenaga'!$D$14</f>
        <v>190000</v>
      </c>
      <c r="F503" s="36" t="n">
        <f aca="false">D503*E503</f>
        <v>6650</v>
      </c>
    </row>
    <row r="504" customFormat="false" ht="15" hidden="false" customHeight="false" outlineLevel="0" collapsed="false">
      <c r="A504" s="66" t="n">
        <v>4</v>
      </c>
      <c r="B504" s="29" t="s">
        <v>1657</v>
      </c>
      <c r="C504" s="28" t="s">
        <v>1656</v>
      </c>
      <c r="D504" s="67" t="n">
        <v>0.018</v>
      </c>
      <c r="E504" s="30" t="n">
        <f aca="false">'Harga Bahan dan Tenaga'!$D$15</f>
        <v>200000</v>
      </c>
      <c r="F504" s="36" t="n">
        <f aca="false">D504*E504</f>
        <v>3600</v>
      </c>
    </row>
    <row r="505" customFormat="false" ht="15" hidden="false" customHeight="false" outlineLevel="0" collapsed="false">
      <c r="B505" s="2" t="s">
        <v>1658</v>
      </c>
      <c r="F505" s="39" t="n">
        <f aca="false">SUM(F501:F504)</f>
        <v>117000</v>
      </c>
    </row>
    <row r="506" customFormat="false" ht="15" hidden="false" customHeight="false" outlineLevel="0" collapsed="false">
      <c r="B506" s="2" t="s">
        <v>1673</v>
      </c>
    </row>
    <row r="507" customFormat="false" ht="15" hidden="false" customHeight="false" outlineLevel="0" collapsed="false">
      <c r="A507" s="66" t="n">
        <v>1</v>
      </c>
      <c r="B507" s="29" t="s">
        <v>1752</v>
      </c>
      <c r="C507" s="28" t="s">
        <v>219</v>
      </c>
      <c r="D507" s="67" t="n">
        <v>1.05</v>
      </c>
      <c r="E507" s="30" t="n">
        <f aca="false">'Harga Bahan dan Tenaga'!$D$49</f>
        <v>205000</v>
      </c>
      <c r="F507" s="36" t="n">
        <f aca="false">D507*E507</f>
        <v>215250</v>
      </c>
    </row>
    <row r="508" customFormat="false" ht="15" hidden="false" customHeight="false" outlineLevel="0" collapsed="false">
      <c r="A508" s="66" t="n">
        <v>2</v>
      </c>
      <c r="B508" s="29" t="s">
        <v>1749</v>
      </c>
      <c r="C508" s="28" t="s">
        <v>976</v>
      </c>
      <c r="D508" s="67" t="n">
        <v>8</v>
      </c>
      <c r="E508" s="30" t="n">
        <f aca="false">'Harga Bahan dan Tenaga'!$D$51</f>
        <v>5500</v>
      </c>
      <c r="F508" s="36" t="n">
        <f aca="false">D508*E508</f>
        <v>44000</v>
      </c>
    </row>
    <row r="509" customFormat="false" ht="15" hidden="false" customHeight="false" outlineLevel="0" collapsed="false">
      <c r="A509" s="66" t="n">
        <v>3</v>
      </c>
      <c r="B509" s="29" t="s">
        <v>1750</v>
      </c>
      <c r="C509" s="28" t="s">
        <v>976</v>
      </c>
      <c r="D509" s="67" t="n">
        <v>0.8</v>
      </c>
      <c r="E509" s="30" t="n">
        <f aca="false">'Harga Bahan dan Tenaga'!$D$52</f>
        <v>26000</v>
      </c>
      <c r="F509" s="36" t="n">
        <f aca="false">D509*E509</f>
        <v>20800</v>
      </c>
    </row>
    <row r="510" customFormat="false" ht="15" hidden="false" customHeight="false" outlineLevel="0" collapsed="false">
      <c r="B510" s="2" t="s">
        <v>1675</v>
      </c>
      <c r="F510" s="39" t="n">
        <f aca="false">SUM(F507:F509)</f>
        <v>280050</v>
      </c>
    </row>
    <row r="511" customFormat="false" ht="15" hidden="false" customHeight="false" outlineLevel="0" collapsed="false">
      <c r="B511" s="2" t="s">
        <v>1663</v>
      </c>
      <c r="F511" s="39" t="n">
        <f aca="false">F505+F510</f>
        <v>397050</v>
      </c>
    </row>
    <row r="512" customFormat="false" ht="15" hidden="false" customHeight="false" outlineLevel="0" collapsed="false">
      <c r="B512" s="5" t="s">
        <v>1664</v>
      </c>
      <c r="D512" s="68" t="n">
        <f aca="false">'Informasi Proyek'!$C$20</f>
        <v>0.1</v>
      </c>
      <c r="F512" s="36" t="n">
        <f aca="false">F511*D512</f>
        <v>39705</v>
      </c>
    </row>
    <row r="513" customFormat="false" ht="15" hidden="false" customHeight="false" outlineLevel="0" collapsed="false">
      <c r="A513" s="57"/>
      <c r="B513" s="69" t="s">
        <v>1689</v>
      </c>
      <c r="C513" s="57"/>
      <c r="D513" s="57"/>
      <c r="E513" s="57"/>
      <c r="F513" s="34" t="n">
        <f aca="false">ROUND(F511+F512,0)</f>
        <v>436755</v>
      </c>
    </row>
    <row r="515" customFormat="false" ht="15" hidden="false" customHeight="false" outlineLevel="0" collapsed="false">
      <c r="A515" s="24" t="s">
        <v>440</v>
      </c>
      <c r="B515" s="24" t="s">
        <v>1753</v>
      </c>
      <c r="C515" s="59" t="s">
        <v>219</v>
      </c>
      <c r="D515" s="23"/>
      <c r="E515" s="23"/>
      <c r="F515" s="23"/>
      <c r="G515" s="64" t="s">
        <v>1739</v>
      </c>
    </row>
    <row r="516" customFormat="false" ht="15" hidden="false" customHeight="false" outlineLevel="0" collapsed="false">
      <c r="A516" s="65" t="s">
        <v>69</v>
      </c>
      <c r="B516" s="65" t="s">
        <v>1649</v>
      </c>
      <c r="C516" s="65" t="s">
        <v>1650</v>
      </c>
      <c r="D516" s="65" t="s">
        <v>1651</v>
      </c>
      <c r="E516" s="65" t="s">
        <v>1652</v>
      </c>
      <c r="F516" s="65" t="s">
        <v>1653</v>
      </c>
    </row>
    <row r="517" customFormat="false" ht="15" hidden="false" customHeight="false" outlineLevel="0" collapsed="false">
      <c r="B517" s="2" t="s">
        <v>1654</v>
      </c>
    </row>
    <row r="518" customFormat="false" ht="15" hidden="false" customHeight="false" outlineLevel="0" collapsed="false">
      <c r="A518" s="66" t="n">
        <v>1</v>
      </c>
      <c r="B518" s="29" t="s">
        <v>1655</v>
      </c>
      <c r="C518" s="28" t="s">
        <v>1656</v>
      </c>
      <c r="D518" s="67" t="n">
        <v>0.35</v>
      </c>
      <c r="E518" s="30" t="n">
        <f aca="false">'Harga Bahan dan Tenaga'!$D$7</f>
        <v>135000</v>
      </c>
      <c r="F518" s="36" t="n">
        <f aca="false">D518*E518</f>
        <v>47250</v>
      </c>
    </row>
    <row r="519" customFormat="false" ht="15" hidden="false" customHeight="false" outlineLevel="0" collapsed="false">
      <c r="A519" s="66" t="n">
        <v>2</v>
      </c>
      <c r="B519" s="29" t="s">
        <v>1747</v>
      </c>
      <c r="C519" s="28" t="s">
        <v>1656</v>
      </c>
      <c r="D519" s="67" t="n">
        <v>0.35</v>
      </c>
      <c r="E519" s="30" t="n">
        <f aca="false">'Harga Bahan dan Tenaga'!$D$13</f>
        <v>170000</v>
      </c>
      <c r="F519" s="36" t="n">
        <f aca="false">D519*E519</f>
        <v>59500</v>
      </c>
    </row>
    <row r="520" customFormat="false" ht="15" hidden="false" customHeight="false" outlineLevel="0" collapsed="false">
      <c r="A520" s="66" t="n">
        <v>3</v>
      </c>
      <c r="B520" s="29" t="s">
        <v>1694</v>
      </c>
      <c r="C520" s="28" t="s">
        <v>1656</v>
      </c>
      <c r="D520" s="67" t="n">
        <v>0.035</v>
      </c>
      <c r="E520" s="30" t="n">
        <f aca="false">'Harga Bahan dan Tenaga'!$D$14</f>
        <v>190000</v>
      </c>
      <c r="F520" s="36" t="n">
        <f aca="false">D520*E520</f>
        <v>6650</v>
      </c>
    </row>
    <row r="521" customFormat="false" ht="15" hidden="false" customHeight="false" outlineLevel="0" collapsed="false">
      <c r="A521" s="66" t="n">
        <v>4</v>
      </c>
      <c r="B521" s="29" t="s">
        <v>1657</v>
      </c>
      <c r="C521" s="28" t="s">
        <v>1656</v>
      </c>
      <c r="D521" s="67" t="n">
        <v>0.018</v>
      </c>
      <c r="E521" s="30" t="n">
        <f aca="false">'Harga Bahan dan Tenaga'!$D$15</f>
        <v>200000</v>
      </c>
      <c r="F521" s="36" t="n">
        <f aca="false">D521*E521</f>
        <v>3600</v>
      </c>
    </row>
    <row r="522" customFormat="false" ht="15" hidden="false" customHeight="false" outlineLevel="0" collapsed="false">
      <c r="B522" s="2" t="s">
        <v>1658</v>
      </c>
      <c r="F522" s="39" t="n">
        <f aca="false">SUM(F518:F521)</f>
        <v>117000</v>
      </c>
    </row>
    <row r="523" customFormat="false" ht="15" hidden="false" customHeight="false" outlineLevel="0" collapsed="false">
      <c r="B523" s="2" t="s">
        <v>1673</v>
      </c>
    </row>
    <row r="524" customFormat="false" ht="15" hidden="false" customHeight="false" outlineLevel="0" collapsed="false">
      <c r="A524" s="66" t="n">
        <v>1</v>
      </c>
      <c r="B524" s="29" t="s">
        <v>1754</v>
      </c>
      <c r="C524" s="28" t="s">
        <v>219</v>
      </c>
      <c r="D524" s="67" t="n">
        <v>1.05</v>
      </c>
      <c r="E524" s="30" t="n">
        <f aca="false">'Harga Bahan dan Tenaga'!$D$47</f>
        <v>265000</v>
      </c>
      <c r="F524" s="36" t="n">
        <f aca="false">D524*E524</f>
        <v>278250</v>
      </c>
    </row>
    <row r="525" customFormat="false" ht="15" hidden="false" customHeight="false" outlineLevel="0" collapsed="false">
      <c r="A525" s="66" t="n">
        <v>2</v>
      </c>
      <c r="B525" s="29" t="s">
        <v>1749</v>
      </c>
      <c r="C525" s="28" t="s">
        <v>976</v>
      </c>
      <c r="D525" s="67" t="n">
        <v>6</v>
      </c>
      <c r="E525" s="30" t="n">
        <f aca="false">'Harga Bahan dan Tenaga'!$D$51</f>
        <v>5500</v>
      </c>
      <c r="F525" s="36" t="n">
        <f aca="false">D525*E525</f>
        <v>33000</v>
      </c>
    </row>
    <row r="526" customFormat="false" ht="15" hidden="false" customHeight="false" outlineLevel="0" collapsed="false">
      <c r="A526" s="66" t="n">
        <v>3</v>
      </c>
      <c r="B526" s="29" t="s">
        <v>1698</v>
      </c>
      <c r="C526" s="28" t="s">
        <v>976</v>
      </c>
      <c r="D526" s="67" t="n">
        <v>6</v>
      </c>
      <c r="E526" s="30" t="n">
        <f aca="false">'Harga Bahan dan Tenaga'!$D$17</f>
        <v>1760</v>
      </c>
      <c r="F526" s="36" t="n">
        <f aca="false">D526*E526</f>
        <v>10560</v>
      </c>
    </row>
    <row r="527" customFormat="false" ht="15" hidden="false" customHeight="false" outlineLevel="0" collapsed="false">
      <c r="A527" s="66" t="n">
        <v>4</v>
      </c>
      <c r="B527" s="29" t="s">
        <v>1699</v>
      </c>
      <c r="C527" s="28" t="s">
        <v>1647</v>
      </c>
      <c r="D527" s="67" t="n">
        <v>0.02</v>
      </c>
      <c r="E527" s="30" t="n">
        <f aca="false">'Harga Bahan dan Tenaga'!$D$18</f>
        <v>380000</v>
      </c>
      <c r="F527" s="36" t="n">
        <f aca="false">D527*E527</f>
        <v>7600</v>
      </c>
    </row>
    <row r="528" customFormat="false" ht="15" hidden="false" customHeight="false" outlineLevel="0" collapsed="false">
      <c r="A528" s="66" t="n">
        <v>5</v>
      </c>
      <c r="B528" s="29" t="s">
        <v>1750</v>
      </c>
      <c r="C528" s="28" t="s">
        <v>976</v>
      </c>
      <c r="D528" s="67" t="n">
        <v>0.8</v>
      </c>
      <c r="E528" s="30" t="n">
        <f aca="false">'Harga Bahan dan Tenaga'!$D$52</f>
        <v>26000</v>
      </c>
      <c r="F528" s="36" t="n">
        <f aca="false">D528*E528</f>
        <v>20800</v>
      </c>
    </row>
    <row r="529" customFormat="false" ht="15" hidden="false" customHeight="false" outlineLevel="0" collapsed="false">
      <c r="B529" s="2" t="s">
        <v>1675</v>
      </c>
      <c r="F529" s="39" t="n">
        <f aca="false">SUM(F524:F528)</f>
        <v>350210</v>
      </c>
    </row>
    <row r="530" customFormat="false" ht="15" hidden="false" customHeight="false" outlineLevel="0" collapsed="false">
      <c r="B530" s="2" t="s">
        <v>1663</v>
      </c>
      <c r="F530" s="39" t="n">
        <f aca="false">F522+F529</f>
        <v>467210</v>
      </c>
    </row>
    <row r="531" customFormat="false" ht="15" hidden="false" customHeight="false" outlineLevel="0" collapsed="false">
      <c r="B531" s="5" t="s">
        <v>1664</v>
      </c>
      <c r="D531" s="68" t="n">
        <f aca="false">'Informasi Proyek'!$C$20</f>
        <v>0.1</v>
      </c>
      <c r="F531" s="36" t="n">
        <f aca="false">F530*D531</f>
        <v>46721</v>
      </c>
    </row>
    <row r="532" customFormat="false" ht="15" hidden="false" customHeight="false" outlineLevel="0" collapsed="false">
      <c r="A532" s="57"/>
      <c r="B532" s="69" t="s">
        <v>1689</v>
      </c>
      <c r="C532" s="57"/>
      <c r="D532" s="57"/>
      <c r="E532" s="57"/>
      <c r="F532" s="34" t="n">
        <f aca="false">ROUND(F530+F531,0)</f>
        <v>513931</v>
      </c>
    </row>
    <row r="534" customFormat="false" ht="15" hidden="false" customHeight="false" outlineLevel="0" collapsed="false">
      <c r="A534" s="24" t="s">
        <v>442</v>
      </c>
      <c r="B534" s="24" t="s">
        <v>1755</v>
      </c>
      <c r="C534" s="59" t="s">
        <v>219</v>
      </c>
      <c r="D534" s="23"/>
      <c r="E534" s="23"/>
      <c r="F534" s="23"/>
      <c r="G534" s="64" t="s">
        <v>1739</v>
      </c>
    </row>
    <row r="535" customFormat="false" ht="15" hidden="false" customHeight="false" outlineLevel="0" collapsed="false">
      <c r="A535" s="65" t="s">
        <v>69</v>
      </c>
      <c r="B535" s="65" t="s">
        <v>1649</v>
      </c>
      <c r="C535" s="65" t="s">
        <v>1650</v>
      </c>
      <c r="D535" s="65" t="s">
        <v>1651</v>
      </c>
      <c r="E535" s="65" t="s">
        <v>1652</v>
      </c>
      <c r="F535" s="65" t="s">
        <v>1653</v>
      </c>
    </row>
    <row r="536" customFormat="false" ht="15" hidden="false" customHeight="false" outlineLevel="0" collapsed="false">
      <c r="B536" s="2" t="s">
        <v>1654</v>
      </c>
    </row>
    <row r="537" customFormat="false" ht="15" hidden="false" customHeight="false" outlineLevel="0" collapsed="false">
      <c r="A537" s="66" t="n">
        <v>1</v>
      </c>
      <c r="B537" s="29" t="s">
        <v>1655</v>
      </c>
      <c r="C537" s="28" t="s">
        <v>1656</v>
      </c>
      <c r="D537" s="67" t="n">
        <v>0.35</v>
      </c>
      <c r="E537" s="30" t="n">
        <f aca="false">'Harga Bahan dan Tenaga'!$D$7</f>
        <v>135000</v>
      </c>
      <c r="F537" s="36" t="n">
        <f aca="false">D537*E537</f>
        <v>47250</v>
      </c>
    </row>
    <row r="538" customFormat="false" ht="15" hidden="false" customHeight="false" outlineLevel="0" collapsed="false">
      <c r="A538" s="66" t="n">
        <v>2</v>
      </c>
      <c r="B538" s="29" t="s">
        <v>1747</v>
      </c>
      <c r="C538" s="28" t="s">
        <v>1656</v>
      </c>
      <c r="D538" s="67" t="n">
        <v>0.35</v>
      </c>
      <c r="E538" s="30" t="n">
        <f aca="false">'Harga Bahan dan Tenaga'!$D$13</f>
        <v>170000</v>
      </c>
      <c r="F538" s="36" t="n">
        <f aca="false">D538*E538</f>
        <v>59500</v>
      </c>
    </row>
    <row r="539" customFormat="false" ht="15" hidden="false" customHeight="false" outlineLevel="0" collapsed="false">
      <c r="A539" s="66" t="n">
        <v>3</v>
      </c>
      <c r="B539" s="29" t="s">
        <v>1694</v>
      </c>
      <c r="C539" s="28" t="s">
        <v>1656</v>
      </c>
      <c r="D539" s="67" t="n">
        <v>0.035</v>
      </c>
      <c r="E539" s="30" t="n">
        <f aca="false">'Harga Bahan dan Tenaga'!$D$14</f>
        <v>190000</v>
      </c>
      <c r="F539" s="36" t="n">
        <f aca="false">D539*E539</f>
        <v>6650</v>
      </c>
    </row>
    <row r="540" customFormat="false" ht="15" hidden="false" customHeight="false" outlineLevel="0" collapsed="false">
      <c r="A540" s="66" t="n">
        <v>4</v>
      </c>
      <c r="B540" s="29" t="s">
        <v>1657</v>
      </c>
      <c r="C540" s="28" t="s">
        <v>1656</v>
      </c>
      <c r="D540" s="67" t="n">
        <v>0.018</v>
      </c>
      <c r="E540" s="30" t="n">
        <f aca="false">'Harga Bahan dan Tenaga'!$D$15</f>
        <v>200000</v>
      </c>
      <c r="F540" s="36" t="n">
        <f aca="false">D540*E540</f>
        <v>3600</v>
      </c>
    </row>
    <row r="541" customFormat="false" ht="15" hidden="false" customHeight="false" outlineLevel="0" collapsed="false">
      <c r="B541" s="2" t="s">
        <v>1658</v>
      </c>
      <c r="F541" s="39" t="n">
        <f aca="false">SUM(F537:F540)</f>
        <v>117000</v>
      </c>
    </row>
    <row r="542" customFormat="false" ht="15" hidden="false" customHeight="false" outlineLevel="0" collapsed="false">
      <c r="B542" s="2" t="s">
        <v>1673</v>
      </c>
    </row>
    <row r="543" customFormat="false" ht="15" hidden="false" customHeight="false" outlineLevel="0" collapsed="false">
      <c r="A543" s="66" t="n">
        <v>1</v>
      </c>
      <c r="B543" s="29" t="s">
        <v>1756</v>
      </c>
      <c r="C543" s="28" t="s">
        <v>219</v>
      </c>
      <c r="D543" s="67" t="n">
        <v>1.05</v>
      </c>
      <c r="E543" s="30" t="n">
        <f aca="false">'Harga Bahan dan Tenaga'!$D$48</f>
        <v>225000</v>
      </c>
      <c r="F543" s="36" t="n">
        <f aca="false">D543*E543</f>
        <v>236250</v>
      </c>
    </row>
    <row r="544" customFormat="false" ht="15" hidden="false" customHeight="false" outlineLevel="0" collapsed="false">
      <c r="A544" s="66" t="n">
        <v>2</v>
      </c>
      <c r="B544" s="29" t="s">
        <v>1749</v>
      </c>
      <c r="C544" s="28" t="s">
        <v>976</v>
      </c>
      <c r="D544" s="67" t="n">
        <v>6</v>
      </c>
      <c r="E544" s="30" t="n">
        <f aca="false">'Harga Bahan dan Tenaga'!$D$51</f>
        <v>5500</v>
      </c>
      <c r="F544" s="36" t="n">
        <f aca="false">D544*E544</f>
        <v>33000</v>
      </c>
    </row>
    <row r="545" customFormat="false" ht="15" hidden="false" customHeight="false" outlineLevel="0" collapsed="false">
      <c r="A545" s="66" t="n">
        <v>3</v>
      </c>
      <c r="B545" s="29" t="s">
        <v>1698</v>
      </c>
      <c r="C545" s="28" t="s">
        <v>976</v>
      </c>
      <c r="D545" s="67" t="n">
        <v>6</v>
      </c>
      <c r="E545" s="30" t="n">
        <f aca="false">'Harga Bahan dan Tenaga'!$D$17</f>
        <v>1760</v>
      </c>
      <c r="F545" s="36" t="n">
        <f aca="false">D545*E545</f>
        <v>10560</v>
      </c>
    </row>
    <row r="546" customFormat="false" ht="15" hidden="false" customHeight="false" outlineLevel="0" collapsed="false">
      <c r="A546" s="66" t="n">
        <v>4</v>
      </c>
      <c r="B546" s="29" t="s">
        <v>1699</v>
      </c>
      <c r="C546" s="28" t="s">
        <v>1647</v>
      </c>
      <c r="D546" s="67" t="n">
        <v>0.02</v>
      </c>
      <c r="E546" s="30" t="n">
        <f aca="false">'Harga Bahan dan Tenaga'!$D$18</f>
        <v>380000</v>
      </c>
      <c r="F546" s="36" t="n">
        <f aca="false">D546*E546</f>
        <v>7600</v>
      </c>
    </row>
    <row r="547" customFormat="false" ht="15" hidden="false" customHeight="false" outlineLevel="0" collapsed="false">
      <c r="A547" s="66" t="n">
        <v>5</v>
      </c>
      <c r="B547" s="29" t="s">
        <v>1750</v>
      </c>
      <c r="C547" s="28" t="s">
        <v>976</v>
      </c>
      <c r="D547" s="67" t="n">
        <v>0.8</v>
      </c>
      <c r="E547" s="30" t="n">
        <f aca="false">'Harga Bahan dan Tenaga'!$D$52</f>
        <v>26000</v>
      </c>
      <c r="F547" s="36" t="n">
        <f aca="false">D547*E547</f>
        <v>20800</v>
      </c>
    </row>
    <row r="548" customFormat="false" ht="15" hidden="false" customHeight="false" outlineLevel="0" collapsed="false">
      <c r="B548" s="2" t="s">
        <v>1675</v>
      </c>
      <c r="F548" s="39" t="n">
        <f aca="false">SUM(F543:F547)</f>
        <v>308210</v>
      </c>
    </row>
    <row r="549" customFormat="false" ht="15" hidden="false" customHeight="false" outlineLevel="0" collapsed="false">
      <c r="B549" s="2" t="s">
        <v>1663</v>
      </c>
      <c r="F549" s="39" t="n">
        <f aca="false">F541+F548</f>
        <v>425210</v>
      </c>
    </row>
    <row r="550" customFormat="false" ht="15" hidden="false" customHeight="false" outlineLevel="0" collapsed="false">
      <c r="B550" s="5" t="s">
        <v>1664</v>
      </c>
      <c r="D550" s="68" t="n">
        <f aca="false">'Informasi Proyek'!$C$20</f>
        <v>0.1</v>
      </c>
      <c r="F550" s="36" t="n">
        <f aca="false">F549*D550</f>
        <v>42521</v>
      </c>
    </row>
    <row r="551" customFormat="false" ht="15" hidden="false" customHeight="false" outlineLevel="0" collapsed="false">
      <c r="A551" s="57"/>
      <c r="B551" s="69" t="s">
        <v>1689</v>
      </c>
      <c r="C551" s="57"/>
      <c r="D551" s="57"/>
      <c r="E551" s="57"/>
      <c r="F551" s="34" t="n">
        <f aca="false">ROUND(F549+F550,0)</f>
        <v>467731</v>
      </c>
    </row>
    <row r="553" customFormat="false" ht="15" hidden="false" customHeight="false" outlineLevel="0" collapsed="false">
      <c r="A553" s="24" t="s">
        <v>444</v>
      </c>
      <c r="B553" s="24" t="s">
        <v>1757</v>
      </c>
      <c r="C553" s="59" t="s">
        <v>219</v>
      </c>
      <c r="D553" s="23"/>
      <c r="E553" s="23"/>
      <c r="F553" s="23"/>
      <c r="G553" s="64" t="s">
        <v>1739</v>
      </c>
    </row>
    <row r="554" customFormat="false" ht="15" hidden="false" customHeight="false" outlineLevel="0" collapsed="false">
      <c r="A554" s="65" t="s">
        <v>69</v>
      </c>
      <c r="B554" s="65" t="s">
        <v>1649</v>
      </c>
      <c r="C554" s="65" t="s">
        <v>1650</v>
      </c>
      <c r="D554" s="65" t="s">
        <v>1651</v>
      </c>
      <c r="E554" s="65" t="s">
        <v>1652</v>
      </c>
      <c r="F554" s="65" t="s">
        <v>1653</v>
      </c>
    </row>
    <row r="555" customFormat="false" ht="15" hidden="false" customHeight="false" outlineLevel="0" collapsed="false">
      <c r="B555" s="2" t="s">
        <v>1654</v>
      </c>
    </row>
    <row r="556" customFormat="false" ht="15" hidden="false" customHeight="false" outlineLevel="0" collapsed="false">
      <c r="A556" s="66" t="n">
        <v>1</v>
      </c>
      <c r="B556" s="29" t="s">
        <v>1655</v>
      </c>
      <c r="C556" s="28" t="s">
        <v>1656</v>
      </c>
      <c r="D556" s="67" t="n">
        <v>0.35</v>
      </c>
      <c r="E556" s="30" t="n">
        <f aca="false">'Harga Bahan dan Tenaga'!$D$7</f>
        <v>135000</v>
      </c>
      <c r="F556" s="36" t="n">
        <f aca="false">D556*E556</f>
        <v>47250</v>
      </c>
    </row>
    <row r="557" customFormat="false" ht="15" hidden="false" customHeight="false" outlineLevel="0" collapsed="false">
      <c r="A557" s="66" t="n">
        <v>2</v>
      </c>
      <c r="B557" s="29" t="s">
        <v>1747</v>
      </c>
      <c r="C557" s="28" t="s">
        <v>1656</v>
      </c>
      <c r="D557" s="67" t="n">
        <v>0.35</v>
      </c>
      <c r="E557" s="30" t="n">
        <f aca="false">'Harga Bahan dan Tenaga'!$D$13</f>
        <v>170000</v>
      </c>
      <c r="F557" s="36" t="n">
        <f aca="false">D557*E557</f>
        <v>59500</v>
      </c>
    </row>
    <row r="558" customFormat="false" ht="15" hidden="false" customHeight="false" outlineLevel="0" collapsed="false">
      <c r="A558" s="66" t="n">
        <v>3</v>
      </c>
      <c r="B558" s="29" t="s">
        <v>1694</v>
      </c>
      <c r="C558" s="28" t="s">
        <v>1656</v>
      </c>
      <c r="D558" s="67" t="n">
        <v>0.035</v>
      </c>
      <c r="E558" s="30" t="n">
        <f aca="false">'Harga Bahan dan Tenaga'!$D$14</f>
        <v>190000</v>
      </c>
      <c r="F558" s="36" t="n">
        <f aca="false">D558*E558</f>
        <v>6650</v>
      </c>
    </row>
    <row r="559" customFormat="false" ht="15" hidden="false" customHeight="false" outlineLevel="0" collapsed="false">
      <c r="A559" s="66" t="n">
        <v>4</v>
      </c>
      <c r="B559" s="29" t="s">
        <v>1657</v>
      </c>
      <c r="C559" s="28" t="s">
        <v>1656</v>
      </c>
      <c r="D559" s="67" t="n">
        <v>0.018</v>
      </c>
      <c r="E559" s="30" t="n">
        <f aca="false">'Harga Bahan dan Tenaga'!$D$15</f>
        <v>200000</v>
      </c>
      <c r="F559" s="36" t="n">
        <f aca="false">D559*E559</f>
        <v>3600</v>
      </c>
    </row>
    <row r="560" customFormat="false" ht="15" hidden="false" customHeight="false" outlineLevel="0" collapsed="false">
      <c r="B560" s="2" t="s">
        <v>1658</v>
      </c>
      <c r="F560" s="39" t="n">
        <f aca="false">SUM(F556:F559)</f>
        <v>117000</v>
      </c>
    </row>
    <row r="561" customFormat="false" ht="15" hidden="false" customHeight="false" outlineLevel="0" collapsed="false">
      <c r="B561" s="2" t="s">
        <v>1673</v>
      </c>
    </row>
    <row r="562" customFormat="false" ht="15" hidden="false" customHeight="false" outlineLevel="0" collapsed="false">
      <c r="A562" s="66" t="n">
        <v>1</v>
      </c>
      <c r="B562" s="29" t="s">
        <v>1752</v>
      </c>
      <c r="C562" s="28" t="s">
        <v>219</v>
      </c>
      <c r="D562" s="67" t="n">
        <v>1.05</v>
      </c>
      <c r="E562" s="30" t="n">
        <f aca="false">'Harga Bahan dan Tenaga'!$D$49</f>
        <v>205000</v>
      </c>
      <c r="F562" s="36" t="n">
        <f aca="false">D562*E562</f>
        <v>215250</v>
      </c>
    </row>
    <row r="563" customFormat="false" ht="15" hidden="false" customHeight="false" outlineLevel="0" collapsed="false">
      <c r="A563" s="66" t="n">
        <v>2</v>
      </c>
      <c r="B563" s="29" t="s">
        <v>1749</v>
      </c>
      <c r="C563" s="28" t="s">
        <v>976</v>
      </c>
      <c r="D563" s="67" t="n">
        <v>6</v>
      </c>
      <c r="E563" s="30" t="n">
        <f aca="false">'Harga Bahan dan Tenaga'!$D$51</f>
        <v>5500</v>
      </c>
      <c r="F563" s="36" t="n">
        <f aca="false">D563*E563</f>
        <v>33000</v>
      </c>
    </row>
    <row r="564" customFormat="false" ht="15" hidden="false" customHeight="false" outlineLevel="0" collapsed="false">
      <c r="A564" s="66" t="n">
        <v>3</v>
      </c>
      <c r="B564" s="29" t="s">
        <v>1698</v>
      </c>
      <c r="C564" s="28" t="s">
        <v>976</v>
      </c>
      <c r="D564" s="67" t="n">
        <v>6</v>
      </c>
      <c r="E564" s="30" t="n">
        <f aca="false">'Harga Bahan dan Tenaga'!$D$17</f>
        <v>1760</v>
      </c>
      <c r="F564" s="36" t="n">
        <f aca="false">D564*E564</f>
        <v>10560</v>
      </c>
    </row>
    <row r="565" customFormat="false" ht="15" hidden="false" customHeight="false" outlineLevel="0" collapsed="false">
      <c r="A565" s="66" t="n">
        <v>4</v>
      </c>
      <c r="B565" s="29" t="s">
        <v>1699</v>
      </c>
      <c r="C565" s="28" t="s">
        <v>1647</v>
      </c>
      <c r="D565" s="67" t="n">
        <v>0.02</v>
      </c>
      <c r="E565" s="30" t="n">
        <f aca="false">'Harga Bahan dan Tenaga'!$D$18</f>
        <v>380000</v>
      </c>
      <c r="F565" s="36" t="n">
        <f aca="false">D565*E565</f>
        <v>7600</v>
      </c>
    </row>
    <row r="566" customFormat="false" ht="15" hidden="false" customHeight="false" outlineLevel="0" collapsed="false">
      <c r="A566" s="66" t="n">
        <v>5</v>
      </c>
      <c r="B566" s="29" t="s">
        <v>1750</v>
      </c>
      <c r="C566" s="28" t="s">
        <v>976</v>
      </c>
      <c r="D566" s="67" t="n">
        <v>0.8</v>
      </c>
      <c r="E566" s="30" t="n">
        <f aca="false">'Harga Bahan dan Tenaga'!$D$52</f>
        <v>26000</v>
      </c>
      <c r="F566" s="36" t="n">
        <f aca="false">D566*E566</f>
        <v>20800</v>
      </c>
    </row>
    <row r="567" customFormat="false" ht="15" hidden="false" customHeight="false" outlineLevel="0" collapsed="false">
      <c r="B567" s="2" t="s">
        <v>1675</v>
      </c>
      <c r="F567" s="39" t="n">
        <f aca="false">SUM(F562:F566)</f>
        <v>287210</v>
      </c>
    </row>
    <row r="568" customFormat="false" ht="15" hidden="false" customHeight="false" outlineLevel="0" collapsed="false">
      <c r="B568" s="2" t="s">
        <v>1663</v>
      </c>
      <c r="F568" s="39" t="n">
        <f aca="false">F560+F567</f>
        <v>404210</v>
      </c>
    </row>
    <row r="569" customFormat="false" ht="15" hidden="false" customHeight="false" outlineLevel="0" collapsed="false">
      <c r="B569" s="5" t="s">
        <v>1664</v>
      </c>
      <c r="D569" s="68" t="n">
        <f aca="false">'Informasi Proyek'!$C$20</f>
        <v>0.1</v>
      </c>
      <c r="F569" s="36" t="n">
        <f aca="false">F568*D569</f>
        <v>40421</v>
      </c>
    </row>
    <row r="570" customFormat="false" ht="15" hidden="false" customHeight="false" outlineLevel="0" collapsed="false">
      <c r="A570" s="57"/>
      <c r="B570" s="69" t="s">
        <v>1689</v>
      </c>
      <c r="C570" s="57"/>
      <c r="D570" s="57"/>
      <c r="E570" s="57"/>
      <c r="F570" s="34" t="n">
        <f aca="false">ROUND(F568+F569,0)</f>
        <v>444631</v>
      </c>
    </row>
    <row r="572" customFormat="false" ht="15" hidden="false" customHeight="false" outlineLevel="0" collapsed="false">
      <c r="A572" s="24" t="s">
        <v>446</v>
      </c>
      <c r="B572" s="24" t="s">
        <v>1758</v>
      </c>
      <c r="C572" s="59" t="s">
        <v>1728</v>
      </c>
      <c r="D572" s="23"/>
      <c r="E572" s="23"/>
      <c r="F572" s="23"/>
      <c r="G572" s="64" t="s">
        <v>1677</v>
      </c>
    </row>
    <row r="573" customFormat="false" ht="15" hidden="false" customHeight="false" outlineLevel="0" collapsed="false">
      <c r="A573" s="65" t="s">
        <v>69</v>
      </c>
      <c r="B573" s="65" t="s">
        <v>1649</v>
      </c>
      <c r="C573" s="65" t="s">
        <v>1650</v>
      </c>
      <c r="D573" s="65" t="s">
        <v>1651</v>
      </c>
      <c r="E573" s="65" t="s">
        <v>1652</v>
      </c>
      <c r="F573" s="65" t="s">
        <v>1653</v>
      </c>
    </row>
    <row r="574" customFormat="false" ht="15" hidden="false" customHeight="false" outlineLevel="0" collapsed="false">
      <c r="B574" s="2" t="s">
        <v>1654</v>
      </c>
    </row>
    <row r="575" customFormat="false" ht="15" hidden="false" customHeight="false" outlineLevel="0" collapsed="false">
      <c r="A575" s="66" t="n">
        <v>1</v>
      </c>
      <c r="B575" s="29" t="s">
        <v>1655</v>
      </c>
      <c r="C575" s="28" t="s">
        <v>1656</v>
      </c>
      <c r="D575" s="67" t="n">
        <v>0.05</v>
      </c>
      <c r="E575" s="30" t="n">
        <f aca="false">'Harga Bahan dan Tenaga'!$D$7</f>
        <v>135000</v>
      </c>
      <c r="F575" s="36" t="n">
        <f aca="false">D575*E575</f>
        <v>6750</v>
      </c>
    </row>
    <row r="576" customFormat="false" ht="15" hidden="false" customHeight="false" outlineLevel="0" collapsed="false">
      <c r="A576" s="66" t="n">
        <v>2</v>
      </c>
      <c r="B576" s="29" t="s">
        <v>1747</v>
      </c>
      <c r="C576" s="28" t="s">
        <v>1656</v>
      </c>
      <c r="D576" s="67" t="n">
        <v>0.1</v>
      </c>
      <c r="E576" s="30" t="n">
        <f aca="false">'Harga Bahan dan Tenaga'!$D$13</f>
        <v>170000</v>
      </c>
      <c r="F576" s="36" t="n">
        <f aca="false">D576*E576</f>
        <v>17000</v>
      </c>
    </row>
    <row r="577" customFormat="false" ht="15" hidden="false" customHeight="false" outlineLevel="0" collapsed="false">
      <c r="A577" s="66" t="n">
        <v>3</v>
      </c>
      <c r="B577" s="29" t="s">
        <v>1657</v>
      </c>
      <c r="C577" s="28" t="s">
        <v>1656</v>
      </c>
      <c r="D577" s="67" t="n">
        <v>0.005</v>
      </c>
      <c r="E577" s="30" t="n">
        <f aca="false">'Harga Bahan dan Tenaga'!$D$15</f>
        <v>200000</v>
      </c>
      <c r="F577" s="36" t="n">
        <f aca="false">D577*E577</f>
        <v>1000</v>
      </c>
    </row>
    <row r="578" customFormat="false" ht="15" hidden="false" customHeight="false" outlineLevel="0" collapsed="false">
      <c r="B578" s="2" t="s">
        <v>1658</v>
      </c>
      <c r="F578" s="39" t="n">
        <f aca="false">SUM(F575:F577)</f>
        <v>24750</v>
      </c>
    </row>
    <row r="579" customFormat="false" ht="15" hidden="false" customHeight="false" outlineLevel="0" collapsed="false">
      <c r="B579" s="2" t="s">
        <v>1673</v>
      </c>
    </row>
    <row r="580" customFormat="false" ht="15" hidden="false" customHeight="false" outlineLevel="0" collapsed="false">
      <c r="A580" s="66" t="n">
        <v>1</v>
      </c>
      <c r="B580" s="29" t="s">
        <v>1754</v>
      </c>
      <c r="C580" s="28" t="s">
        <v>219</v>
      </c>
      <c r="D580" s="67" t="n">
        <v>0.11</v>
      </c>
      <c r="E580" s="30" t="n">
        <f aca="false">'Harga Bahan dan Tenaga'!$D$47</f>
        <v>265000</v>
      </c>
      <c r="F580" s="36" t="n">
        <f aca="false">D580*E580</f>
        <v>29150</v>
      </c>
    </row>
    <row r="581" customFormat="false" ht="15" hidden="false" customHeight="false" outlineLevel="0" collapsed="false">
      <c r="A581" s="66" t="n">
        <v>2</v>
      </c>
      <c r="B581" s="29" t="s">
        <v>1749</v>
      </c>
      <c r="C581" s="28" t="s">
        <v>976</v>
      </c>
      <c r="D581" s="67" t="n">
        <v>0.5</v>
      </c>
      <c r="E581" s="30" t="n">
        <f aca="false">'Harga Bahan dan Tenaga'!$D$51</f>
        <v>5500</v>
      </c>
      <c r="F581" s="36" t="n">
        <f aca="false">D581*E581</f>
        <v>2750</v>
      </c>
    </row>
    <row r="582" customFormat="false" ht="15" hidden="false" customHeight="false" outlineLevel="0" collapsed="false">
      <c r="A582" s="66" t="n">
        <v>3</v>
      </c>
      <c r="B582" s="29" t="s">
        <v>1750</v>
      </c>
      <c r="C582" s="28" t="s">
        <v>976</v>
      </c>
      <c r="D582" s="67" t="n">
        <v>0.05</v>
      </c>
      <c r="E582" s="30" t="n">
        <f aca="false">'Harga Bahan dan Tenaga'!$D$52</f>
        <v>26000</v>
      </c>
      <c r="F582" s="36" t="n">
        <f aca="false">D582*E582</f>
        <v>1300</v>
      </c>
    </row>
    <row r="583" customFormat="false" ht="15" hidden="false" customHeight="false" outlineLevel="0" collapsed="false">
      <c r="B583" s="2" t="s">
        <v>1675</v>
      </c>
      <c r="F583" s="39" t="n">
        <f aca="false">SUM(F580:F582)</f>
        <v>33200</v>
      </c>
    </row>
    <row r="584" customFormat="false" ht="15" hidden="false" customHeight="false" outlineLevel="0" collapsed="false">
      <c r="B584" s="2" t="s">
        <v>1663</v>
      </c>
      <c r="F584" s="39" t="n">
        <f aca="false">F578+F583</f>
        <v>57950</v>
      </c>
    </row>
    <row r="585" customFormat="false" ht="15" hidden="false" customHeight="false" outlineLevel="0" collapsed="false">
      <c r="B585" s="5" t="s">
        <v>1664</v>
      </c>
      <c r="D585" s="68" t="n">
        <f aca="false">'Informasi Proyek'!$C$20</f>
        <v>0.1</v>
      </c>
      <c r="F585" s="36" t="n">
        <f aca="false">F584*D585</f>
        <v>5795</v>
      </c>
    </row>
    <row r="586" customFormat="false" ht="15" hidden="false" customHeight="false" outlineLevel="0" collapsed="false">
      <c r="A586" s="57"/>
      <c r="B586" s="69" t="s">
        <v>1733</v>
      </c>
      <c r="C586" s="57"/>
      <c r="D586" s="57"/>
      <c r="E586" s="57"/>
      <c r="F586" s="34" t="n">
        <f aca="false">ROUND(F584+F585,0)</f>
        <v>63745</v>
      </c>
    </row>
    <row r="588" customFormat="false" ht="15" hidden="false" customHeight="false" outlineLevel="0" collapsed="false">
      <c r="A588" s="24" t="s">
        <v>438</v>
      </c>
      <c r="B588" s="24" t="s">
        <v>1759</v>
      </c>
      <c r="C588" s="59" t="s">
        <v>1728</v>
      </c>
      <c r="D588" s="23"/>
      <c r="E588" s="23"/>
      <c r="F588" s="23"/>
      <c r="G588" s="64" t="s">
        <v>1677</v>
      </c>
    </row>
    <row r="589" customFormat="false" ht="15" hidden="false" customHeight="false" outlineLevel="0" collapsed="false">
      <c r="A589" s="65" t="s">
        <v>69</v>
      </c>
      <c r="B589" s="65" t="s">
        <v>1649</v>
      </c>
      <c r="C589" s="65" t="s">
        <v>1650</v>
      </c>
      <c r="D589" s="65" t="s">
        <v>1651</v>
      </c>
      <c r="E589" s="65" t="s">
        <v>1652</v>
      </c>
      <c r="F589" s="65" t="s">
        <v>1653</v>
      </c>
    </row>
    <row r="590" customFormat="false" ht="15" hidden="false" customHeight="false" outlineLevel="0" collapsed="false">
      <c r="B590" s="2" t="s">
        <v>1654</v>
      </c>
    </row>
    <row r="591" customFormat="false" ht="15" hidden="false" customHeight="false" outlineLevel="0" collapsed="false">
      <c r="A591" s="66" t="n">
        <v>1</v>
      </c>
      <c r="B591" s="29" t="s">
        <v>1655</v>
      </c>
      <c r="C591" s="28" t="s">
        <v>1656</v>
      </c>
      <c r="D591" s="67" t="n">
        <v>0.1</v>
      </c>
      <c r="E591" s="30" t="n">
        <f aca="false">'Harga Bahan dan Tenaga'!$D$7</f>
        <v>135000</v>
      </c>
      <c r="F591" s="36" t="n">
        <f aca="false">D591*E591</f>
        <v>13500</v>
      </c>
    </row>
    <row r="592" customFormat="false" ht="15" hidden="false" customHeight="false" outlineLevel="0" collapsed="false">
      <c r="A592" s="66" t="n">
        <v>2</v>
      </c>
      <c r="B592" s="29" t="s">
        <v>1747</v>
      </c>
      <c r="C592" s="28" t="s">
        <v>1656</v>
      </c>
      <c r="D592" s="67" t="n">
        <v>0.15</v>
      </c>
      <c r="E592" s="30" t="n">
        <f aca="false">'Harga Bahan dan Tenaga'!$D$13</f>
        <v>170000</v>
      </c>
      <c r="F592" s="36" t="n">
        <f aca="false">D592*E592</f>
        <v>25500</v>
      </c>
    </row>
    <row r="593" customFormat="false" ht="15" hidden="false" customHeight="false" outlineLevel="0" collapsed="false">
      <c r="A593" s="66" t="n">
        <v>3</v>
      </c>
      <c r="B593" s="29" t="s">
        <v>1657</v>
      </c>
      <c r="C593" s="28" t="s">
        <v>1656</v>
      </c>
      <c r="D593" s="67" t="n">
        <v>0.01</v>
      </c>
      <c r="E593" s="30" t="n">
        <f aca="false">'Harga Bahan dan Tenaga'!$D$15</f>
        <v>200000</v>
      </c>
      <c r="F593" s="36" t="n">
        <f aca="false">D593*E593</f>
        <v>2000</v>
      </c>
    </row>
    <row r="594" customFormat="false" ht="15" hidden="false" customHeight="false" outlineLevel="0" collapsed="false">
      <c r="B594" s="2" t="s">
        <v>1658</v>
      </c>
      <c r="F594" s="39" t="n">
        <f aca="false">SUM(F591:F593)</f>
        <v>41000</v>
      </c>
    </row>
    <row r="595" customFormat="false" ht="15" hidden="false" customHeight="false" outlineLevel="0" collapsed="false">
      <c r="B595" s="2" t="s">
        <v>1673</v>
      </c>
    </row>
    <row r="596" customFormat="false" ht="15" hidden="false" customHeight="false" outlineLevel="0" collapsed="false">
      <c r="A596" s="66" t="n">
        <v>1</v>
      </c>
      <c r="B596" s="29" t="s">
        <v>1760</v>
      </c>
      <c r="C596" s="28" t="s">
        <v>1728</v>
      </c>
      <c r="D596" s="67" t="n">
        <v>1.05</v>
      </c>
      <c r="E596" s="30" t="n">
        <f aca="false">'Harga Bahan dan Tenaga'!$D$53</f>
        <v>165000</v>
      </c>
      <c r="F596" s="36" t="n">
        <f aca="false">D596*E596</f>
        <v>173250</v>
      </c>
    </row>
    <row r="597" customFormat="false" ht="15" hidden="false" customHeight="false" outlineLevel="0" collapsed="false">
      <c r="A597" s="66" t="n">
        <v>2</v>
      </c>
      <c r="B597" s="29" t="s">
        <v>1749</v>
      </c>
      <c r="C597" s="28" t="s">
        <v>976</v>
      </c>
      <c r="D597" s="67" t="n">
        <v>0.8</v>
      </c>
      <c r="E597" s="30" t="n">
        <f aca="false">'Harga Bahan dan Tenaga'!$D$51</f>
        <v>5500</v>
      </c>
      <c r="F597" s="36" t="n">
        <f aca="false">D597*E597</f>
        <v>4400</v>
      </c>
    </row>
    <row r="598" customFormat="false" ht="15" hidden="false" customHeight="false" outlineLevel="0" collapsed="false">
      <c r="B598" s="2" t="s">
        <v>1675</v>
      </c>
      <c r="F598" s="39" t="n">
        <f aca="false">SUM(F596:F597)</f>
        <v>177650</v>
      </c>
    </row>
    <row r="599" customFormat="false" ht="15" hidden="false" customHeight="false" outlineLevel="0" collapsed="false">
      <c r="B599" s="2" t="s">
        <v>1663</v>
      </c>
      <c r="F599" s="39" t="n">
        <f aca="false">F594+F598</f>
        <v>218650</v>
      </c>
    </row>
    <row r="600" customFormat="false" ht="15" hidden="false" customHeight="false" outlineLevel="0" collapsed="false">
      <c r="B600" s="5" t="s">
        <v>1664</v>
      </c>
      <c r="D600" s="68" t="n">
        <f aca="false">'Informasi Proyek'!$C$20</f>
        <v>0.1</v>
      </c>
      <c r="F600" s="36" t="n">
        <f aca="false">F599*D600</f>
        <v>21865</v>
      </c>
    </row>
    <row r="601" customFormat="false" ht="15" hidden="false" customHeight="false" outlineLevel="0" collapsed="false">
      <c r="A601" s="57"/>
      <c r="B601" s="69" t="s">
        <v>1733</v>
      </c>
      <c r="C601" s="57"/>
      <c r="D601" s="57"/>
      <c r="E601" s="57"/>
      <c r="F601" s="34" t="n">
        <f aca="false">ROUND(F599+F600,0)</f>
        <v>240515</v>
      </c>
    </row>
    <row r="603" customFormat="false" ht="15" hidden="false" customHeight="false" outlineLevel="0" collapsed="false">
      <c r="A603" s="24" t="s">
        <v>451</v>
      </c>
      <c r="B603" s="24" t="s">
        <v>1761</v>
      </c>
      <c r="C603" s="59" t="s">
        <v>219</v>
      </c>
      <c r="D603" s="23"/>
      <c r="E603" s="23"/>
      <c r="F603" s="23"/>
      <c r="G603" s="64" t="s">
        <v>1739</v>
      </c>
    </row>
    <row r="604" customFormat="false" ht="15" hidden="false" customHeight="false" outlineLevel="0" collapsed="false">
      <c r="A604" s="65" t="s">
        <v>69</v>
      </c>
      <c r="B604" s="65" t="s">
        <v>1649</v>
      </c>
      <c r="C604" s="65" t="s">
        <v>1650</v>
      </c>
      <c r="D604" s="65" t="s">
        <v>1651</v>
      </c>
      <c r="E604" s="65" t="s">
        <v>1652</v>
      </c>
      <c r="F604" s="65" t="s">
        <v>1653</v>
      </c>
    </row>
    <row r="605" customFormat="false" ht="15" hidden="false" customHeight="false" outlineLevel="0" collapsed="false">
      <c r="B605" s="2" t="s">
        <v>1654</v>
      </c>
    </row>
    <row r="606" customFormat="false" ht="15" hidden="false" customHeight="false" outlineLevel="0" collapsed="false">
      <c r="A606" s="66" t="n">
        <v>1</v>
      </c>
      <c r="B606" s="29" t="s">
        <v>1655</v>
      </c>
      <c r="C606" s="28" t="s">
        <v>1656</v>
      </c>
      <c r="D606" s="67" t="n">
        <v>0.2</v>
      </c>
      <c r="E606" s="30" t="n">
        <f aca="false">'Harga Bahan dan Tenaga'!$D$7</f>
        <v>135000</v>
      </c>
      <c r="F606" s="36" t="n">
        <f aca="false">D606*E606</f>
        <v>27000</v>
      </c>
    </row>
    <row r="607" customFormat="false" ht="15" hidden="false" customHeight="false" outlineLevel="0" collapsed="false">
      <c r="A607" s="66" t="n">
        <v>2</v>
      </c>
      <c r="B607" s="29" t="s">
        <v>1693</v>
      </c>
      <c r="C607" s="28" t="s">
        <v>1656</v>
      </c>
      <c r="D607" s="67" t="n">
        <v>0.1</v>
      </c>
      <c r="E607" s="30" t="n">
        <f aca="false">'Harga Bahan dan Tenaga'!$D$8</f>
        <v>170000</v>
      </c>
      <c r="F607" s="36" t="n">
        <f aca="false">D607*E607</f>
        <v>17000</v>
      </c>
    </row>
    <row r="608" customFormat="false" ht="15" hidden="false" customHeight="false" outlineLevel="0" collapsed="false">
      <c r="A608" s="66" t="n">
        <v>3</v>
      </c>
      <c r="B608" s="29" t="s">
        <v>1657</v>
      </c>
      <c r="C608" s="28" t="s">
        <v>1656</v>
      </c>
      <c r="D608" s="67" t="n">
        <v>0.01</v>
      </c>
      <c r="E608" s="30" t="n">
        <f aca="false">'Harga Bahan dan Tenaga'!$D$15</f>
        <v>200000</v>
      </c>
      <c r="F608" s="36" t="n">
        <f aca="false">D608*E608</f>
        <v>2000</v>
      </c>
    </row>
    <row r="609" customFormat="false" ht="15" hidden="false" customHeight="false" outlineLevel="0" collapsed="false">
      <c r="B609" s="2" t="s">
        <v>1658</v>
      </c>
      <c r="F609" s="39" t="n">
        <f aca="false">SUM(F606:F608)</f>
        <v>46000</v>
      </c>
    </row>
    <row r="610" customFormat="false" ht="15" hidden="false" customHeight="false" outlineLevel="0" collapsed="false">
      <c r="B610" s="2" t="s">
        <v>1673</v>
      </c>
    </row>
    <row r="611" customFormat="false" ht="15" hidden="false" customHeight="false" outlineLevel="0" collapsed="false">
      <c r="A611" s="66" t="n">
        <v>1</v>
      </c>
      <c r="B611" s="29" t="s">
        <v>1762</v>
      </c>
      <c r="C611" s="28" t="s">
        <v>219</v>
      </c>
      <c r="D611" s="67" t="n">
        <v>1.02</v>
      </c>
      <c r="E611" s="30" t="n">
        <f aca="false">'Harga Bahan dan Tenaga'!$D$54</f>
        <v>135000</v>
      </c>
      <c r="F611" s="36" t="n">
        <f aca="false">D611*E611</f>
        <v>137700</v>
      </c>
    </row>
    <row r="612" customFormat="false" ht="15" hidden="false" customHeight="false" outlineLevel="0" collapsed="false">
      <c r="A612" s="66" t="n">
        <v>2</v>
      </c>
      <c r="B612" s="29" t="s">
        <v>1674</v>
      </c>
      <c r="C612" s="28" t="s">
        <v>1647</v>
      </c>
      <c r="D612" s="67" t="n">
        <v>0.07</v>
      </c>
      <c r="E612" s="30" t="n">
        <f aca="false">'Harga Bahan dan Tenaga'!$D$19</f>
        <v>320000</v>
      </c>
      <c r="F612" s="36" t="n">
        <f aca="false">D612*E612</f>
        <v>22400</v>
      </c>
    </row>
    <row r="613" customFormat="false" ht="15" hidden="false" customHeight="false" outlineLevel="0" collapsed="false">
      <c r="B613" s="2" t="s">
        <v>1675</v>
      </c>
      <c r="F613" s="39" t="n">
        <f aca="false">SUM(F611:F612)</f>
        <v>160100</v>
      </c>
    </row>
    <row r="614" customFormat="false" ht="15" hidden="false" customHeight="false" outlineLevel="0" collapsed="false">
      <c r="B614" s="2" t="s">
        <v>1663</v>
      </c>
      <c r="F614" s="39" t="n">
        <f aca="false">F609+F613</f>
        <v>206100</v>
      </c>
    </row>
    <row r="615" customFormat="false" ht="15" hidden="false" customHeight="false" outlineLevel="0" collapsed="false">
      <c r="B615" s="5" t="s">
        <v>1664</v>
      </c>
      <c r="D615" s="68" t="n">
        <f aca="false">'Informasi Proyek'!$C$20</f>
        <v>0.1</v>
      </c>
      <c r="F615" s="36" t="n">
        <f aca="false">F614*D615</f>
        <v>20610</v>
      </c>
    </row>
    <row r="616" customFormat="false" ht="15" hidden="false" customHeight="false" outlineLevel="0" collapsed="false">
      <c r="A616" s="57"/>
      <c r="B616" s="69" t="s">
        <v>1689</v>
      </c>
      <c r="C616" s="57"/>
      <c r="D616" s="57"/>
      <c r="E616" s="57"/>
      <c r="F616" s="34" t="n">
        <f aca="false">ROUND(F614+F615,0)</f>
        <v>226710</v>
      </c>
    </row>
    <row r="618" customFormat="false" ht="15" hidden="false" customHeight="false" outlineLevel="0" collapsed="false">
      <c r="A618" s="24" t="s">
        <v>482</v>
      </c>
      <c r="B618" s="24" t="s">
        <v>1763</v>
      </c>
      <c r="C618" s="59" t="s">
        <v>219</v>
      </c>
      <c r="D618" s="23"/>
      <c r="E618" s="23"/>
      <c r="F618" s="23"/>
      <c r="G618" s="64" t="s">
        <v>1677</v>
      </c>
    </row>
    <row r="619" customFormat="false" ht="15" hidden="false" customHeight="false" outlineLevel="0" collapsed="false">
      <c r="A619" s="65" t="s">
        <v>69</v>
      </c>
      <c r="B619" s="65" t="s">
        <v>1649</v>
      </c>
      <c r="C619" s="65" t="s">
        <v>1650</v>
      </c>
      <c r="D619" s="65" t="s">
        <v>1651</v>
      </c>
      <c r="E619" s="65" t="s">
        <v>1652</v>
      </c>
      <c r="F619" s="65" t="s">
        <v>1653</v>
      </c>
    </row>
    <row r="620" customFormat="false" ht="15" hidden="false" customHeight="false" outlineLevel="0" collapsed="false">
      <c r="B620" s="2" t="s">
        <v>1654</v>
      </c>
    </row>
    <row r="621" customFormat="false" ht="15" hidden="false" customHeight="false" outlineLevel="0" collapsed="false">
      <c r="A621" s="66" t="n">
        <v>1</v>
      </c>
      <c r="B621" s="29" t="s">
        <v>1655</v>
      </c>
      <c r="C621" s="28" t="s">
        <v>1656</v>
      </c>
      <c r="D621" s="67" t="n">
        <v>0.15</v>
      </c>
      <c r="E621" s="30" t="n">
        <f aca="false">'Harga Bahan dan Tenaga'!$D$7</f>
        <v>135000</v>
      </c>
      <c r="F621" s="36" t="n">
        <f aca="false">D621*E621</f>
        <v>20250</v>
      </c>
    </row>
    <row r="622" customFormat="false" ht="15" hidden="false" customHeight="false" outlineLevel="0" collapsed="false">
      <c r="A622" s="66" t="n">
        <v>2</v>
      </c>
      <c r="B622" s="29" t="s">
        <v>1716</v>
      </c>
      <c r="C622" s="28" t="s">
        <v>1656</v>
      </c>
      <c r="D622" s="67" t="n">
        <v>0.15</v>
      </c>
      <c r="E622" s="30" t="n">
        <f aca="false">'Harga Bahan dan Tenaga'!$D$9</f>
        <v>170000</v>
      </c>
      <c r="F622" s="36" t="n">
        <f aca="false">D622*E622</f>
        <v>25500</v>
      </c>
    </row>
    <row r="623" customFormat="false" ht="15" hidden="false" customHeight="false" outlineLevel="0" collapsed="false">
      <c r="A623" s="66" t="n">
        <v>3</v>
      </c>
      <c r="B623" s="29" t="s">
        <v>1657</v>
      </c>
      <c r="C623" s="28" t="s">
        <v>1656</v>
      </c>
      <c r="D623" s="67" t="n">
        <v>0.01</v>
      </c>
      <c r="E623" s="30" t="n">
        <f aca="false">'Harga Bahan dan Tenaga'!$D$15</f>
        <v>200000</v>
      </c>
      <c r="F623" s="36" t="n">
        <f aca="false">D623*E623</f>
        <v>2000</v>
      </c>
    </row>
    <row r="624" customFormat="false" ht="15" hidden="false" customHeight="false" outlineLevel="0" collapsed="false">
      <c r="B624" s="2" t="s">
        <v>1658</v>
      </c>
      <c r="F624" s="39" t="n">
        <f aca="false">SUM(F621:F623)</f>
        <v>47750</v>
      </c>
    </row>
    <row r="625" customFormat="false" ht="15" hidden="false" customHeight="false" outlineLevel="0" collapsed="false">
      <c r="B625" s="2" t="s">
        <v>1673</v>
      </c>
    </row>
    <row r="626" customFormat="false" ht="15" hidden="false" customHeight="false" outlineLevel="0" collapsed="false">
      <c r="A626" s="66" t="n">
        <v>1</v>
      </c>
      <c r="B626" s="29" t="s">
        <v>1764</v>
      </c>
      <c r="C626" s="28" t="s">
        <v>1728</v>
      </c>
      <c r="D626" s="67" t="n">
        <v>3.4</v>
      </c>
      <c r="E626" s="30" t="n">
        <f aca="false">'Harga Bahan dan Tenaga'!$D$55</f>
        <v>14500</v>
      </c>
      <c r="F626" s="36" t="n">
        <f aca="false">D626*E626</f>
        <v>49300</v>
      </c>
    </row>
    <row r="627" customFormat="false" ht="15" hidden="false" customHeight="false" outlineLevel="0" collapsed="false">
      <c r="A627" s="66" t="n">
        <v>2</v>
      </c>
      <c r="B627" s="29" t="s">
        <v>1765</v>
      </c>
      <c r="C627" s="28" t="s">
        <v>976</v>
      </c>
      <c r="D627" s="67" t="n">
        <v>0.15</v>
      </c>
      <c r="E627" s="30" t="n">
        <f aca="false">'Harga Bahan dan Tenaga'!$D$58</f>
        <v>38000</v>
      </c>
      <c r="F627" s="36" t="n">
        <f aca="false">D627*E627</f>
        <v>5700</v>
      </c>
    </row>
    <row r="628" customFormat="false" ht="15" hidden="false" customHeight="false" outlineLevel="0" collapsed="false">
      <c r="B628" s="2" t="s">
        <v>1675</v>
      </c>
      <c r="F628" s="39" t="n">
        <f aca="false">SUM(F626:F627)</f>
        <v>55000</v>
      </c>
    </row>
    <row r="629" customFormat="false" ht="15" hidden="false" customHeight="false" outlineLevel="0" collapsed="false">
      <c r="B629" s="2" t="s">
        <v>1663</v>
      </c>
      <c r="F629" s="39" t="n">
        <f aca="false">F624+F628</f>
        <v>102750</v>
      </c>
    </row>
    <row r="630" customFormat="false" ht="15" hidden="false" customHeight="false" outlineLevel="0" collapsed="false">
      <c r="B630" s="5" t="s">
        <v>1664</v>
      </c>
      <c r="D630" s="68" t="n">
        <f aca="false">'Informasi Proyek'!$C$20</f>
        <v>0.1</v>
      </c>
      <c r="F630" s="36" t="n">
        <f aca="false">F629*D630</f>
        <v>10275</v>
      </c>
    </row>
    <row r="631" customFormat="false" ht="15" hidden="false" customHeight="false" outlineLevel="0" collapsed="false">
      <c r="A631" s="57"/>
      <c r="B631" s="69" t="s">
        <v>1689</v>
      </c>
      <c r="C631" s="57"/>
      <c r="D631" s="57"/>
      <c r="E631" s="57"/>
      <c r="F631" s="34" t="n">
        <f aca="false">ROUND(F629+F630,0)</f>
        <v>113025</v>
      </c>
    </row>
    <row r="633" customFormat="false" ht="15" hidden="false" customHeight="false" outlineLevel="0" collapsed="false">
      <c r="A633" s="24" t="s">
        <v>484</v>
      </c>
      <c r="B633" s="24" t="s">
        <v>1766</v>
      </c>
      <c r="C633" s="59" t="s">
        <v>219</v>
      </c>
      <c r="D633" s="23"/>
      <c r="E633" s="23"/>
      <c r="F633" s="23"/>
      <c r="G633" s="64" t="s">
        <v>1677</v>
      </c>
    </row>
    <row r="634" customFormat="false" ht="15" hidden="false" customHeight="false" outlineLevel="0" collapsed="false">
      <c r="A634" s="65" t="s">
        <v>69</v>
      </c>
      <c r="B634" s="65" t="s">
        <v>1649</v>
      </c>
      <c r="C634" s="65" t="s">
        <v>1650</v>
      </c>
      <c r="D634" s="65" t="s">
        <v>1651</v>
      </c>
      <c r="E634" s="65" t="s">
        <v>1652</v>
      </c>
      <c r="F634" s="65" t="s">
        <v>1653</v>
      </c>
    </row>
    <row r="635" customFormat="false" ht="15" hidden="false" customHeight="false" outlineLevel="0" collapsed="false">
      <c r="B635" s="2" t="s">
        <v>1654</v>
      </c>
    </row>
    <row r="636" customFormat="false" ht="15" hidden="false" customHeight="false" outlineLevel="0" collapsed="false">
      <c r="A636" s="66" t="n">
        <v>1</v>
      </c>
      <c r="B636" s="29" t="s">
        <v>1655</v>
      </c>
      <c r="C636" s="28" t="s">
        <v>1656</v>
      </c>
      <c r="D636" s="67" t="n">
        <v>0.1</v>
      </c>
      <c r="E636" s="30" t="n">
        <f aca="false">'Harga Bahan dan Tenaga'!$D$7</f>
        <v>135000</v>
      </c>
      <c r="F636" s="36" t="n">
        <f aca="false">D636*E636</f>
        <v>13500</v>
      </c>
    </row>
    <row r="637" customFormat="false" ht="15" hidden="false" customHeight="false" outlineLevel="0" collapsed="false">
      <c r="A637" s="66" t="n">
        <v>2</v>
      </c>
      <c r="B637" s="29" t="s">
        <v>1716</v>
      </c>
      <c r="C637" s="28" t="s">
        <v>1656</v>
      </c>
      <c r="D637" s="67" t="n">
        <v>0.12</v>
      </c>
      <c r="E637" s="30" t="n">
        <f aca="false">'Harga Bahan dan Tenaga'!$D$9</f>
        <v>170000</v>
      </c>
      <c r="F637" s="36" t="n">
        <f aca="false">D637*E637</f>
        <v>20400</v>
      </c>
    </row>
    <row r="638" customFormat="false" ht="15" hidden="false" customHeight="false" outlineLevel="0" collapsed="false">
      <c r="A638" s="66" t="n">
        <v>3</v>
      </c>
      <c r="B638" s="29" t="s">
        <v>1657</v>
      </c>
      <c r="C638" s="28" t="s">
        <v>1656</v>
      </c>
      <c r="D638" s="67" t="n">
        <v>0.006</v>
      </c>
      <c r="E638" s="30" t="n">
        <f aca="false">'Harga Bahan dan Tenaga'!$D$15</f>
        <v>200000</v>
      </c>
      <c r="F638" s="36" t="n">
        <f aca="false">D638*E638</f>
        <v>1200</v>
      </c>
    </row>
    <row r="639" customFormat="false" ht="15" hidden="false" customHeight="false" outlineLevel="0" collapsed="false">
      <c r="B639" s="2" t="s">
        <v>1658</v>
      </c>
      <c r="F639" s="39" t="n">
        <f aca="false">SUM(F636:F638)</f>
        <v>35100</v>
      </c>
    </row>
    <row r="640" customFormat="false" ht="15" hidden="false" customHeight="false" outlineLevel="0" collapsed="false">
      <c r="B640" s="2" t="s">
        <v>1673</v>
      </c>
    </row>
    <row r="641" customFormat="false" ht="15" hidden="false" customHeight="false" outlineLevel="0" collapsed="false">
      <c r="A641" s="66" t="n">
        <v>1</v>
      </c>
      <c r="B641" s="29" t="s">
        <v>1767</v>
      </c>
      <c r="C641" s="28" t="s">
        <v>219</v>
      </c>
      <c r="D641" s="67" t="n">
        <v>1.05</v>
      </c>
      <c r="E641" s="30" t="n">
        <f aca="false">'Harga Bahan dan Tenaga'!$D$56</f>
        <v>45000</v>
      </c>
      <c r="F641" s="36" t="n">
        <f aca="false">D641*E641</f>
        <v>47250</v>
      </c>
    </row>
    <row r="642" customFormat="false" ht="15" hidden="false" customHeight="false" outlineLevel="0" collapsed="false">
      <c r="A642" s="66" t="n">
        <v>2</v>
      </c>
      <c r="B642" s="29" t="s">
        <v>1768</v>
      </c>
      <c r="C642" s="28" t="s">
        <v>976</v>
      </c>
      <c r="D642" s="67" t="n">
        <v>0.35</v>
      </c>
      <c r="E642" s="30" t="n">
        <f aca="false">'Harga Bahan dan Tenaga'!$D$59</f>
        <v>18000</v>
      </c>
      <c r="F642" s="36" t="n">
        <f aca="false">D642*E642</f>
        <v>6300</v>
      </c>
    </row>
    <row r="643" customFormat="false" ht="15" hidden="false" customHeight="false" outlineLevel="0" collapsed="false">
      <c r="A643" s="66" t="n">
        <v>3</v>
      </c>
      <c r="B643" s="29" t="s">
        <v>1765</v>
      </c>
      <c r="C643" s="28" t="s">
        <v>976</v>
      </c>
      <c r="D643" s="67" t="n">
        <v>0.05</v>
      </c>
      <c r="E643" s="30" t="n">
        <f aca="false">'Harga Bahan dan Tenaga'!$D$58</f>
        <v>38000</v>
      </c>
      <c r="F643" s="36" t="n">
        <f aca="false">D643*E643</f>
        <v>1900</v>
      </c>
    </row>
    <row r="644" customFormat="false" ht="15" hidden="false" customHeight="false" outlineLevel="0" collapsed="false">
      <c r="B644" s="2" t="s">
        <v>1675</v>
      </c>
      <c r="F644" s="39" t="n">
        <f aca="false">SUM(F641:F643)</f>
        <v>55450</v>
      </c>
    </row>
    <row r="645" customFormat="false" ht="15" hidden="false" customHeight="false" outlineLevel="0" collapsed="false">
      <c r="B645" s="2" t="s">
        <v>1663</v>
      </c>
      <c r="F645" s="39" t="n">
        <f aca="false">F639+F644</f>
        <v>90550</v>
      </c>
    </row>
    <row r="646" customFormat="false" ht="15" hidden="false" customHeight="false" outlineLevel="0" collapsed="false">
      <c r="B646" s="5" t="s">
        <v>1664</v>
      </c>
      <c r="D646" s="68" t="n">
        <f aca="false">'Informasi Proyek'!$C$20</f>
        <v>0.1</v>
      </c>
      <c r="F646" s="36" t="n">
        <f aca="false">F645*D646</f>
        <v>9055</v>
      </c>
    </row>
    <row r="647" customFormat="false" ht="15" hidden="false" customHeight="false" outlineLevel="0" collapsed="false">
      <c r="A647" s="57"/>
      <c r="B647" s="69" t="s">
        <v>1689</v>
      </c>
      <c r="C647" s="57"/>
      <c r="D647" s="57"/>
      <c r="E647" s="57"/>
      <c r="F647" s="34" t="n">
        <f aca="false">ROUND(F645+F646,0)</f>
        <v>99605</v>
      </c>
    </row>
    <row r="649" customFormat="false" ht="15" hidden="false" customHeight="false" outlineLevel="0" collapsed="false">
      <c r="A649" s="24" t="s">
        <v>486</v>
      </c>
      <c r="B649" s="24" t="s">
        <v>1769</v>
      </c>
      <c r="C649" s="59" t="s">
        <v>219</v>
      </c>
      <c r="D649" s="23"/>
      <c r="E649" s="23"/>
      <c r="F649" s="23"/>
      <c r="G649" s="64" t="s">
        <v>1677</v>
      </c>
    </row>
    <row r="650" customFormat="false" ht="15" hidden="false" customHeight="false" outlineLevel="0" collapsed="false">
      <c r="A650" s="65" t="s">
        <v>69</v>
      </c>
      <c r="B650" s="65" t="s">
        <v>1649</v>
      </c>
      <c r="C650" s="65" t="s">
        <v>1650</v>
      </c>
      <c r="D650" s="65" t="s">
        <v>1651</v>
      </c>
      <c r="E650" s="65" t="s">
        <v>1652</v>
      </c>
      <c r="F650" s="65" t="s">
        <v>1653</v>
      </c>
    </row>
    <row r="651" customFormat="false" ht="15" hidden="false" customHeight="false" outlineLevel="0" collapsed="false">
      <c r="B651" s="2" t="s">
        <v>1654</v>
      </c>
    </row>
    <row r="652" customFormat="false" ht="15" hidden="false" customHeight="false" outlineLevel="0" collapsed="false">
      <c r="A652" s="66" t="n">
        <v>1</v>
      </c>
      <c r="B652" s="29" t="s">
        <v>1655</v>
      </c>
      <c r="C652" s="28" t="s">
        <v>1656</v>
      </c>
      <c r="D652" s="67" t="n">
        <v>0.1</v>
      </c>
      <c r="E652" s="30" t="n">
        <f aca="false">'Harga Bahan dan Tenaga'!$D$7</f>
        <v>135000</v>
      </c>
      <c r="F652" s="36" t="n">
        <f aca="false">D652*E652</f>
        <v>13500</v>
      </c>
    </row>
    <row r="653" customFormat="false" ht="15" hidden="false" customHeight="false" outlineLevel="0" collapsed="false">
      <c r="A653" s="66" t="n">
        <v>2</v>
      </c>
      <c r="B653" s="29" t="s">
        <v>1716</v>
      </c>
      <c r="C653" s="28" t="s">
        <v>1656</v>
      </c>
      <c r="D653" s="67" t="n">
        <v>0.12</v>
      </c>
      <c r="E653" s="30" t="n">
        <f aca="false">'Harga Bahan dan Tenaga'!$D$9</f>
        <v>170000</v>
      </c>
      <c r="F653" s="36" t="n">
        <f aca="false">D653*E653</f>
        <v>20400</v>
      </c>
    </row>
    <row r="654" customFormat="false" ht="15" hidden="false" customHeight="false" outlineLevel="0" collapsed="false">
      <c r="A654" s="66" t="n">
        <v>3</v>
      </c>
      <c r="B654" s="29" t="s">
        <v>1657</v>
      </c>
      <c r="C654" s="28" t="s">
        <v>1656</v>
      </c>
      <c r="D654" s="67" t="n">
        <v>0.006</v>
      </c>
      <c r="E654" s="30" t="n">
        <f aca="false">'Harga Bahan dan Tenaga'!$D$15</f>
        <v>200000</v>
      </c>
      <c r="F654" s="36" t="n">
        <f aca="false">D654*E654</f>
        <v>1200</v>
      </c>
    </row>
    <row r="655" customFormat="false" ht="15" hidden="false" customHeight="false" outlineLevel="0" collapsed="false">
      <c r="B655" s="2" t="s">
        <v>1658</v>
      </c>
      <c r="F655" s="39" t="n">
        <f aca="false">SUM(F652:F654)</f>
        <v>35100</v>
      </c>
    </row>
    <row r="656" customFormat="false" ht="15" hidden="false" customHeight="false" outlineLevel="0" collapsed="false">
      <c r="B656" s="2" t="s">
        <v>1673</v>
      </c>
    </row>
    <row r="657" customFormat="false" ht="15" hidden="false" customHeight="false" outlineLevel="0" collapsed="false">
      <c r="A657" s="66" t="n">
        <v>1</v>
      </c>
      <c r="B657" s="29" t="s">
        <v>1770</v>
      </c>
      <c r="C657" s="28" t="s">
        <v>219</v>
      </c>
      <c r="D657" s="67" t="n">
        <v>1.05</v>
      </c>
      <c r="E657" s="30" t="n">
        <f aca="false">'Harga Bahan dan Tenaga'!$D$57</f>
        <v>98000</v>
      </c>
      <c r="F657" s="36" t="n">
        <f aca="false">D657*E657</f>
        <v>102900</v>
      </c>
    </row>
    <row r="658" customFormat="false" ht="15" hidden="false" customHeight="false" outlineLevel="0" collapsed="false">
      <c r="A658" s="66" t="n">
        <v>2</v>
      </c>
      <c r="B658" s="29" t="s">
        <v>1768</v>
      </c>
      <c r="C658" s="28" t="s">
        <v>976</v>
      </c>
      <c r="D658" s="67" t="n">
        <v>0.2</v>
      </c>
      <c r="E658" s="30" t="n">
        <f aca="false">'Harga Bahan dan Tenaga'!$D$59</f>
        <v>18000</v>
      </c>
      <c r="F658" s="36" t="n">
        <f aca="false">D658*E658</f>
        <v>3600</v>
      </c>
    </row>
    <row r="659" customFormat="false" ht="15" hidden="false" customHeight="false" outlineLevel="0" collapsed="false">
      <c r="A659" s="66" t="n">
        <v>3</v>
      </c>
      <c r="B659" s="29" t="s">
        <v>1765</v>
      </c>
      <c r="C659" s="28" t="s">
        <v>976</v>
      </c>
      <c r="D659" s="67" t="n">
        <v>0.05</v>
      </c>
      <c r="E659" s="30" t="n">
        <f aca="false">'Harga Bahan dan Tenaga'!$D$58</f>
        <v>38000</v>
      </c>
      <c r="F659" s="36" t="n">
        <f aca="false">D659*E659</f>
        <v>1900</v>
      </c>
    </row>
    <row r="660" customFormat="false" ht="15" hidden="false" customHeight="false" outlineLevel="0" collapsed="false">
      <c r="B660" s="2" t="s">
        <v>1675</v>
      </c>
      <c r="F660" s="39" t="n">
        <f aca="false">SUM(F657:F659)</f>
        <v>108400</v>
      </c>
    </row>
    <row r="661" customFormat="false" ht="15" hidden="false" customHeight="false" outlineLevel="0" collapsed="false">
      <c r="B661" s="2" t="s">
        <v>1663</v>
      </c>
      <c r="F661" s="39" t="n">
        <f aca="false">F655+F660</f>
        <v>143500</v>
      </c>
    </row>
    <row r="662" customFormat="false" ht="15" hidden="false" customHeight="false" outlineLevel="0" collapsed="false">
      <c r="B662" s="5" t="s">
        <v>1664</v>
      </c>
      <c r="D662" s="68" t="n">
        <f aca="false">'Informasi Proyek'!$C$20</f>
        <v>0.1</v>
      </c>
      <c r="F662" s="36" t="n">
        <f aca="false">F661*D662</f>
        <v>14350</v>
      </c>
    </row>
    <row r="663" customFormat="false" ht="15" hidden="false" customHeight="false" outlineLevel="0" collapsed="false">
      <c r="A663" s="57"/>
      <c r="B663" s="69" t="s">
        <v>1689</v>
      </c>
      <c r="C663" s="57"/>
      <c r="D663" s="57"/>
      <c r="E663" s="57"/>
      <c r="F663" s="34" t="n">
        <f aca="false">ROUND(F661+F662,0)</f>
        <v>157850</v>
      </c>
    </row>
    <row r="665" customFormat="false" ht="15" hidden="false" customHeight="false" outlineLevel="0" collapsed="false">
      <c r="A665" s="24" t="s">
        <v>490</v>
      </c>
      <c r="B665" s="24" t="s">
        <v>1771</v>
      </c>
      <c r="C665" s="59" t="s">
        <v>219</v>
      </c>
      <c r="D665" s="23"/>
      <c r="E665" s="23"/>
      <c r="F665" s="23"/>
      <c r="G665" s="64" t="s">
        <v>1692</v>
      </c>
    </row>
    <row r="666" customFormat="false" ht="15" hidden="false" customHeight="false" outlineLevel="0" collapsed="false">
      <c r="A666" s="65" t="s">
        <v>69</v>
      </c>
      <c r="B666" s="65" t="s">
        <v>1649</v>
      </c>
      <c r="C666" s="65" t="s">
        <v>1650</v>
      </c>
      <c r="D666" s="65" t="s">
        <v>1651</v>
      </c>
      <c r="E666" s="65" t="s">
        <v>1652</v>
      </c>
      <c r="F666" s="65" t="s">
        <v>1653</v>
      </c>
    </row>
    <row r="667" customFormat="false" ht="15" hidden="false" customHeight="false" outlineLevel="0" collapsed="false">
      <c r="B667" s="2" t="s">
        <v>1654</v>
      </c>
    </row>
    <row r="668" customFormat="false" ht="15" hidden="false" customHeight="false" outlineLevel="0" collapsed="false">
      <c r="A668" s="66" t="n">
        <v>1</v>
      </c>
      <c r="B668" s="29" t="s">
        <v>1655</v>
      </c>
      <c r="C668" s="28" t="s">
        <v>1656</v>
      </c>
      <c r="D668" s="67" t="n">
        <v>0.2</v>
      </c>
      <c r="E668" s="30" t="n">
        <f aca="false">'Harga Bahan dan Tenaga'!$D$7</f>
        <v>135000</v>
      </c>
      <c r="F668" s="36" t="n">
        <f aca="false">D668*E668</f>
        <v>27000</v>
      </c>
    </row>
    <row r="669" customFormat="false" ht="15" hidden="false" customHeight="false" outlineLevel="0" collapsed="false">
      <c r="A669" s="66" t="n">
        <v>2</v>
      </c>
      <c r="B669" s="29" t="s">
        <v>1693</v>
      </c>
      <c r="C669" s="28" t="s">
        <v>1656</v>
      </c>
      <c r="D669" s="67" t="n">
        <v>0.1</v>
      </c>
      <c r="E669" s="30" t="n">
        <f aca="false">'Harga Bahan dan Tenaga'!$D$8</f>
        <v>170000</v>
      </c>
      <c r="F669" s="36" t="n">
        <f aca="false">D669*E669</f>
        <v>17000</v>
      </c>
    </row>
    <row r="670" customFormat="false" ht="15" hidden="false" customHeight="false" outlineLevel="0" collapsed="false">
      <c r="A670" s="66" t="n">
        <v>3</v>
      </c>
      <c r="B670" s="29" t="s">
        <v>1657</v>
      </c>
      <c r="C670" s="28" t="s">
        <v>1656</v>
      </c>
      <c r="D670" s="67" t="n">
        <v>0.01</v>
      </c>
      <c r="E670" s="30" t="n">
        <f aca="false">'Harga Bahan dan Tenaga'!$D$15</f>
        <v>200000</v>
      </c>
      <c r="F670" s="36" t="n">
        <f aca="false">D670*E670</f>
        <v>2000</v>
      </c>
    </row>
    <row r="671" customFormat="false" ht="15" hidden="false" customHeight="false" outlineLevel="0" collapsed="false">
      <c r="B671" s="2" t="s">
        <v>1658</v>
      </c>
      <c r="F671" s="39" t="n">
        <f aca="false">SUM(F668:F670)</f>
        <v>46000</v>
      </c>
    </row>
    <row r="672" customFormat="false" ht="15" hidden="false" customHeight="false" outlineLevel="0" collapsed="false">
      <c r="B672" s="2" t="s">
        <v>1673</v>
      </c>
    </row>
    <row r="673" customFormat="false" ht="15" hidden="false" customHeight="false" outlineLevel="0" collapsed="false">
      <c r="A673" s="66" t="n">
        <v>1</v>
      </c>
      <c r="B673" s="29" t="s">
        <v>1698</v>
      </c>
      <c r="C673" s="28" t="s">
        <v>976</v>
      </c>
      <c r="D673" s="67" t="n">
        <v>7.5</v>
      </c>
      <c r="E673" s="30" t="n">
        <f aca="false">'Harga Bahan dan Tenaga'!$D$17</f>
        <v>1760</v>
      </c>
      <c r="F673" s="36" t="n">
        <f aca="false">D673*E673</f>
        <v>13200</v>
      </c>
    </row>
    <row r="674" customFormat="false" ht="15" hidden="false" customHeight="false" outlineLevel="0" collapsed="false">
      <c r="A674" s="66" t="n">
        <v>2</v>
      </c>
      <c r="B674" s="29" t="s">
        <v>1699</v>
      </c>
      <c r="C674" s="28" t="s">
        <v>1647</v>
      </c>
      <c r="D674" s="67" t="n">
        <v>0.033</v>
      </c>
      <c r="E674" s="30" t="n">
        <f aca="false">'Harga Bahan dan Tenaga'!$D$18</f>
        <v>380000</v>
      </c>
      <c r="F674" s="36" t="n">
        <f aca="false">D674*E674</f>
        <v>12540</v>
      </c>
    </row>
    <row r="675" customFormat="false" ht="15" hidden="false" customHeight="false" outlineLevel="0" collapsed="false">
      <c r="B675" s="2" t="s">
        <v>1675</v>
      </c>
      <c r="F675" s="39" t="n">
        <f aca="false">SUM(F673:F674)</f>
        <v>25740</v>
      </c>
    </row>
    <row r="676" customFormat="false" ht="15" hidden="false" customHeight="false" outlineLevel="0" collapsed="false">
      <c r="B676" s="2" t="s">
        <v>1663</v>
      </c>
      <c r="F676" s="39" t="n">
        <f aca="false">F671+F675</f>
        <v>71740</v>
      </c>
    </row>
    <row r="677" customFormat="false" ht="15" hidden="false" customHeight="false" outlineLevel="0" collapsed="false">
      <c r="B677" s="5" t="s">
        <v>1664</v>
      </c>
      <c r="D677" s="68" t="n">
        <f aca="false">'Informasi Proyek'!$C$20</f>
        <v>0.1</v>
      </c>
      <c r="F677" s="36" t="n">
        <f aca="false">F676*D677</f>
        <v>7174</v>
      </c>
    </row>
    <row r="678" customFormat="false" ht="15" hidden="false" customHeight="false" outlineLevel="0" collapsed="false">
      <c r="A678" s="57"/>
      <c r="B678" s="69" t="s">
        <v>1689</v>
      </c>
      <c r="C678" s="57"/>
      <c r="D678" s="57"/>
      <c r="E678" s="57"/>
      <c r="F678" s="34" t="n">
        <f aca="false">ROUND(F676+F677,0)</f>
        <v>78914</v>
      </c>
    </row>
    <row r="680" customFormat="false" ht="15" hidden="false" customHeight="false" outlineLevel="0" collapsed="false">
      <c r="A680" s="24" t="s">
        <v>492</v>
      </c>
      <c r="B680" s="24" t="s">
        <v>1772</v>
      </c>
      <c r="C680" s="59" t="s">
        <v>219</v>
      </c>
      <c r="D680" s="23"/>
      <c r="E680" s="23"/>
      <c r="F680" s="23"/>
      <c r="G680" s="64" t="s">
        <v>1677</v>
      </c>
    </row>
    <row r="681" customFormat="false" ht="15" hidden="false" customHeight="false" outlineLevel="0" collapsed="false">
      <c r="A681" s="65" t="s">
        <v>69</v>
      </c>
      <c r="B681" s="65" t="s">
        <v>1649</v>
      </c>
      <c r="C681" s="65" t="s">
        <v>1650</v>
      </c>
      <c r="D681" s="65" t="s">
        <v>1651</v>
      </c>
      <c r="E681" s="65" t="s">
        <v>1652</v>
      </c>
      <c r="F681" s="65" t="s">
        <v>1653</v>
      </c>
    </row>
    <row r="682" customFormat="false" ht="15" hidden="false" customHeight="false" outlineLevel="0" collapsed="false">
      <c r="B682" s="2" t="s">
        <v>1654</v>
      </c>
    </row>
    <row r="683" customFormat="false" ht="15" hidden="false" customHeight="false" outlineLevel="0" collapsed="false">
      <c r="A683" s="66" t="n">
        <v>1</v>
      </c>
      <c r="B683" s="29" t="s">
        <v>1655</v>
      </c>
      <c r="C683" s="28" t="s">
        <v>1656</v>
      </c>
      <c r="D683" s="67" t="n">
        <v>0.1</v>
      </c>
      <c r="E683" s="30" t="n">
        <f aca="false">'Harga Bahan dan Tenaga'!$D$7</f>
        <v>135000</v>
      </c>
      <c r="F683" s="36" t="n">
        <f aca="false">D683*E683</f>
        <v>13500</v>
      </c>
    </row>
    <row r="684" customFormat="false" ht="15" hidden="false" customHeight="false" outlineLevel="0" collapsed="false">
      <c r="A684" s="66" t="n">
        <v>2</v>
      </c>
      <c r="B684" s="29" t="s">
        <v>1693</v>
      </c>
      <c r="C684" s="28" t="s">
        <v>1656</v>
      </c>
      <c r="D684" s="67" t="n">
        <v>0.1</v>
      </c>
      <c r="E684" s="30" t="n">
        <f aca="false">'Harga Bahan dan Tenaga'!$D$8</f>
        <v>170000</v>
      </c>
      <c r="F684" s="36" t="n">
        <f aca="false">D684*E684</f>
        <v>17000</v>
      </c>
    </row>
    <row r="685" customFormat="false" ht="15" hidden="false" customHeight="false" outlineLevel="0" collapsed="false">
      <c r="A685" s="66" t="n">
        <v>3</v>
      </c>
      <c r="B685" s="29" t="s">
        <v>1657</v>
      </c>
      <c r="C685" s="28" t="s">
        <v>1656</v>
      </c>
      <c r="D685" s="67" t="n">
        <v>0.01</v>
      </c>
      <c r="E685" s="30" t="n">
        <f aca="false">'Harga Bahan dan Tenaga'!$D$15</f>
        <v>200000</v>
      </c>
      <c r="F685" s="36" t="n">
        <f aca="false">D685*E685</f>
        <v>2000</v>
      </c>
    </row>
    <row r="686" customFormat="false" ht="15" hidden="false" customHeight="false" outlineLevel="0" collapsed="false">
      <c r="B686" s="2" t="s">
        <v>1658</v>
      </c>
      <c r="F686" s="39" t="n">
        <f aca="false">SUM(F683:F685)</f>
        <v>32500</v>
      </c>
    </row>
    <row r="687" customFormat="false" ht="15" hidden="false" customHeight="false" outlineLevel="0" collapsed="false">
      <c r="B687" s="2" t="s">
        <v>1673</v>
      </c>
    </row>
    <row r="688" customFormat="false" ht="15" hidden="false" customHeight="false" outlineLevel="0" collapsed="false">
      <c r="A688" s="66" t="n">
        <v>1</v>
      </c>
      <c r="B688" s="29" t="s">
        <v>1773</v>
      </c>
      <c r="C688" s="28" t="s">
        <v>219</v>
      </c>
      <c r="D688" s="67" t="n">
        <v>1.15</v>
      </c>
      <c r="E688" s="30" t="n">
        <f aca="false">'Harga Bahan dan Tenaga'!$D$60</f>
        <v>108000</v>
      </c>
      <c r="F688" s="36" t="n">
        <f aca="false">D688*E688</f>
        <v>124200</v>
      </c>
    </row>
    <row r="689" customFormat="false" ht="15" hidden="false" customHeight="false" outlineLevel="0" collapsed="false">
      <c r="A689" s="66" t="n">
        <v>2</v>
      </c>
      <c r="B689" s="29" t="s">
        <v>1774</v>
      </c>
      <c r="C689" s="28" t="s">
        <v>976</v>
      </c>
      <c r="D689" s="67" t="n">
        <v>0.3</v>
      </c>
      <c r="E689" s="30" t="n">
        <f aca="false">'Harga Bahan dan Tenaga'!$D$61</f>
        <v>45000</v>
      </c>
      <c r="F689" s="36" t="n">
        <f aca="false">D689*E689</f>
        <v>13500</v>
      </c>
    </row>
    <row r="690" customFormat="false" ht="15" hidden="false" customHeight="false" outlineLevel="0" collapsed="false">
      <c r="B690" s="2" t="s">
        <v>1675</v>
      </c>
      <c r="F690" s="39" t="n">
        <f aca="false">SUM(F688:F689)</f>
        <v>137700</v>
      </c>
    </row>
    <row r="691" customFormat="false" ht="15" hidden="false" customHeight="false" outlineLevel="0" collapsed="false">
      <c r="B691" s="2" t="s">
        <v>1663</v>
      </c>
      <c r="F691" s="39" t="n">
        <f aca="false">F686+F690</f>
        <v>170200</v>
      </c>
    </row>
    <row r="692" customFormat="false" ht="15" hidden="false" customHeight="false" outlineLevel="0" collapsed="false">
      <c r="B692" s="5" t="s">
        <v>1664</v>
      </c>
      <c r="D692" s="68" t="n">
        <f aca="false">'Informasi Proyek'!$C$20</f>
        <v>0.1</v>
      </c>
      <c r="F692" s="36" t="n">
        <f aca="false">F691*D692</f>
        <v>17020</v>
      </c>
    </row>
    <row r="693" customFormat="false" ht="15" hidden="false" customHeight="false" outlineLevel="0" collapsed="false">
      <c r="A693" s="57"/>
      <c r="B693" s="69" t="s">
        <v>1689</v>
      </c>
      <c r="C693" s="57"/>
      <c r="D693" s="57"/>
      <c r="E693" s="57"/>
      <c r="F693" s="34" t="n">
        <f aca="false">ROUND(F691+F692,0)</f>
        <v>187220</v>
      </c>
    </row>
    <row r="695" customFormat="false" ht="15" hidden="false" customHeight="false" outlineLevel="0" collapsed="false">
      <c r="A695" s="24" t="s">
        <v>502</v>
      </c>
      <c r="B695" s="24" t="s">
        <v>1775</v>
      </c>
      <c r="C695" s="59" t="s">
        <v>219</v>
      </c>
      <c r="D695" s="23"/>
      <c r="E695" s="23"/>
      <c r="F695" s="23"/>
      <c r="G695" s="64" t="s">
        <v>1692</v>
      </c>
    </row>
    <row r="696" customFormat="false" ht="15" hidden="false" customHeight="false" outlineLevel="0" collapsed="false">
      <c r="A696" s="65" t="s">
        <v>69</v>
      </c>
      <c r="B696" s="65" t="s">
        <v>1649</v>
      </c>
      <c r="C696" s="65" t="s">
        <v>1650</v>
      </c>
      <c r="D696" s="65" t="s">
        <v>1651</v>
      </c>
      <c r="E696" s="65" t="s">
        <v>1652</v>
      </c>
      <c r="F696" s="65" t="s">
        <v>1653</v>
      </c>
    </row>
    <row r="697" customFormat="false" ht="15" hidden="false" customHeight="false" outlineLevel="0" collapsed="false">
      <c r="B697" s="2" t="s">
        <v>1654</v>
      </c>
    </row>
    <row r="698" customFormat="false" ht="15" hidden="false" customHeight="false" outlineLevel="0" collapsed="false">
      <c r="A698" s="66" t="n">
        <v>1</v>
      </c>
      <c r="B698" s="29" t="s">
        <v>1655</v>
      </c>
      <c r="C698" s="28" t="s">
        <v>1656</v>
      </c>
      <c r="D698" s="67" t="n">
        <v>0.02</v>
      </c>
      <c r="E698" s="30" t="n">
        <f aca="false">'Harga Bahan dan Tenaga'!$D$7</f>
        <v>135000</v>
      </c>
      <c r="F698" s="36" t="n">
        <f aca="false">D698*E698</f>
        <v>2700</v>
      </c>
    </row>
    <row r="699" customFormat="false" ht="15" hidden="false" customHeight="false" outlineLevel="0" collapsed="false">
      <c r="A699" s="66" t="n">
        <v>2</v>
      </c>
      <c r="B699" s="29" t="s">
        <v>1776</v>
      </c>
      <c r="C699" s="28" t="s">
        <v>1656</v>
      </c>
      <c r="D699" s="67" t="n">
        <v>0.063</v>
      </c>
      <c r="E699" s="30" t="n">
        <f aca="false">'Harga Bahan dan Tenaga'!$D$11</f>
        <v>165000</v>
      </c>
      <c r="F699" s="36" t="n">
        <f aca="false">D699*E699</f>
        <v>10395</v>
      </c>
    </row>
    <row r="700" customFormat="false" ht="15" hidden="false" customHeight="false" outlineLevel="0" collapsed="false">
      <c r="A700" s="66" t="n">
        <v>3</v>
      </c>
      <c r="B700" s="29" t="s">
        <v>1694</v>
      </c>
      <c r="C700" s="28" t="s">
        <v>1656</v>
      </c>
      <c r="D700" s="67" t="n">
        <v>0.0063</v>
      </c>
      <c r="E700" s="30" t="n">
        <f aca="false">'Harga Bahan dan Tenaga'!$D$14</f>
        <v>190000</v>
      </c>
      <c r="F700" s="36" t="n">
        <f aca="false">D700*E700</f>
        <v>1197</v>
      </c>
    </row>
    <row r="701" customFormat="false" ht="15" hidden="false" customHeight="false" outlineLevel="0" collapsed="false">
      <c r="A701" s="66" t="n">
        <v>4</v>
      </c>
      <c r="B701" s="29" t="s">
        <v>1657</v>
      </c>
      <c r="C701" s="28" t="s">
        <v>1656</v>
      </c>
      <c r="D701" s="67" t="n">
        <v>0.0033</v>
      </c>
      <c r="E701" s="30" t="n">
        <f aca="false">'Harga Bahan dan Tenaga'!$D$15</f>
        <v>200000</v>
      </c>
      <c r="F701" s="36" t="n">
        <f aca="false">D701*E701</f>
        <v>660</v>
      </c>
    </row>
    <row r="702" customFormat="false" ht="15" hidden="false" customHeight="false" outlineLevel="0" collapsed="false">
      <c r="B702" s="2" t="s">
        <v>1658</v>
      </c>
      <c r="F702" s="39" t="n">
        <f aca="false">SUM(F698:F701)</f>
        <v>14952</v>
      </c>
    </row>
    <row r="703" customFormat="false" ht="15" hidden="false" customHeight="false" outlineLevel="0" collapsed="false">
      <c r="B703" s="2" t="s">
        <v>1673</v>
      </c>
    </row>
    <row r="704" customFormat="false" ht="15" hidden="false" customHeight="false" outlineLevel="0" collapsed="false">
      <c r="A704" s="66" t="n">
        <v>1</v>
      </c>
      <c r="B704" s="29" t="s">
        <v>1777</v>
      </c>
      <c r="C704" s="28" t="s">
        <v>976</v>
      </c>
      <c r="D704" s="67" t="n">
        <v>0.1</v>
      </c>
      <c r="E704" s="30" t="n">
        <f aca="false">'Harga Bahan dan Tenaga'!$D$41</f>
        <v>22000</v>
      </c>
      <c r="F704" s="36" t="n">
        <f aca="false">D704*E704</f>
        <v>2200</v>
      </c>
    </row>
    <row r="705" customFormat="false" ht="15" hidden="false" customHeight="false" outlineLevel="0" collapsed="false">
      <c r="A705" s="66" t="n">
        <v>2</v>
      </c>
      <c r="B705" s="29" t="s">
        <v>1778</v>
      </c>
      <c r="C705" s="28" t="s">
        <v>976</v>
      </c>
      <c r="D705" s="67" t="n">
        <v>0.1</v>
      </c>
      <c r="E705" s="30" t="n">
        <f aca="false">'Harga Bahan dan Tenaga'!$D$42</f>
        <v>42000</v>
      </c>
      <c r="F705" s="36" t="n">
        <f aca="false">D705*E705</f>
        <v>4200</v>
      </c>
    </row>
    <row r="706" customFormat="false" ht="15" hidden="false" customHeight="false" outlineLevel="0" collapsed="false">
      <c r="A706" s="66" t="n">
        <v>3</v>
      </c>
      <c r="B706" s="29" t="s">
        <v>1779</v>
      </c>
      <c r="C706" s="28" t="s">
        <v>976</v>
      </c>
      <c r="D706" s="67" t="n">
        <v>0.26</v>
      </c>
      <c r="E706" s="30" t="n">
        <f aca="false">'Harga Bahan dan Tenaga'!$D$43</f>
        <v>52000</v>
      </c>
      <c r="F706" s="36" t="n">
        <f aca="false">D706*E706</f>
        <v>13520</v>
      </c>
    </row>
    <row r="707" customFormat="false" ht="15" hidden="false" customHeight="false" outlineLevel="0" collapsed="false">
      <c r="A707" s="66" t="n">
        <v>4</v>
      </c>
      <c r="B707" s="29" t="s">
        <v>1780</v>
      </c>
      <c r="C707" s="28" t="s">
        <v>1720</v>
      </c>
      <c r="D707" s="67" t="n">
        <v>0.05</v>
      </c>
      <c r="E707" s="30" t="n">
        <f aca="false">'Harga Bahan dan Tenaga'!$D$46</f>
        <v>7000</v>
      </c>
      <c r="F707" s="36" t="n">
        <f aca="false">D707*E707</f>
        <v>350</v>
      </c>
    </row>
    <row r="708" customFormat="false" ht="15" hidden="false" customHeight="false" outlineLevel="0" collapsed="false">
      <c r="B708" s="2" t="s">
        <v>1675</v>
      </c>
      <c r="F708" s="39" t="n">
        <f aca="false">SUM(F704:F707)</f>
        <v>20270</v>
      </c>
    </row>
    <row r="709" customFormat="false" ht="15" hidden="false" customHeight="false" outlineLevel="0" collapsed="false">
      <c r="B709" s="2" t="s">
        <v>1663</v>
      </c>
      <c r="F709" s="39" t="n">
        <f aca="false">F702+F708</f>
        <v>35222</v>
      </c>
    </row>
    <row r="710" customFormat="false" ht="15" hidden="false" customHeight="false" outlineLevel="0" collapsed="false">
      <c r="B710" s="5" t="s">
        <v>1664</v>
      </c>
      <c r="D710" s="68" t="n">
        <f aca="false">'Informasi Proyek'!$C$20</f>
        <v>0.1</v>
      </c>
      <c r="F710" s="36" t="n">
        <f aca="false">F709*D710</f>
        <v>3522.2</v>
      </c>
    </row>
    <row r="711" customFormat="false" ht="15" hidden="false" customHeight="false" outlineLevel="0" collapsed="false">
      <c r="A711" s="57"/>
      <c r="B711" s="69" t="s">
        <v>1689</v>
      </c>
      <c r="C711" s="57"/>
      <c r="D711" s="57"/>
      <c r="E711" s="57"/>
      <c r="F711" s="34" t="n">
        <f aca="false">ROUND(F709+F710,0)</f>
        <v>38744</v>
      </c>
    </row>
    <row r="713" customFormat="false" ht="15" hidden="false" customHeight="false" outlineLevel="0" collapsed="false">
      <c r="A713" s="24" t="s">
        <v>504</v>
      </c>
      <c r="B713" s="24" t="s">
        <v>1781</v>
      </c>
      <c r="C713" s="59" t="s">
        <v>219</v>
      </c>
      <c r="D713" s="23"/>
      <c r="E713" s="23"/>
      <c r="F713" s="23"/>
      <c r="G713" s="64" t="s">
        <v>1692</v>
      </c>
    </row>
    <row r="714" customFormat="false" ht="15" hidden="false" customHeight="false" outlineLevel="0" collapsed="false">
      <c r="A714" s="65" t="s">
        <v>69</v>
      </c>
      <c r="B714" s="65" t="s">
        <v>1649</v>
      </c>
      <c r="C714" s="65" t="s">
        <v>1650</v>
      </c>
      <c r="D714" s="65" t="s">
        <v>1651</v>
      </c>
      <c r="E714" s="65" t="s">
        <v>1652</v>
      </c>
      <c r="F714" s="65" t="s">
        <v>1653</v>
      </c>
    </row>
    <row r="715" customFormat="false" ht="15" hidden="false" customHeight="false" outlineLevel="0" collapsed="false">
      <c r="B715" s="2" t="s">
        <v>1654</v>
      </c>
    </row>
    <row r="716" customFormat="false" ht="15" hidden="false" customHeight="false" outlineLevel="0" collapsed="false">
      <c r="A716" s="66" t="n">
        <v>1</v>
      </c>
      <c r="B716" s="29" t="s">
        <v>1655</v>
      </c>
      <c r="C716" s="28" t="s">
        <v>1656</v>
      </c>
      <c r="D716" s="67" t="n">
        <v>0.02</v>
      </c>
      <c r="E716" s="30" t="n">
        <f aca="false">'Harga Bahan dan Tenaga'!$D$7</f>
        <v>135000</v>
      </c>
      <c r="F716" s="36" t="n">
        <f aca="false">D716*E716</f>
        <v>2700</v>
      </c>
    </row>
    <row r="717" customFormat="false" ht="15" hidden="false" customHeight="false" outlineLevel="0" collapsed="false">
      <c r="A717" s="66" t="n">
        <v>2</v>
      </c>
      <c r="B717" s="29" t="s">
        <v>1776</v>
      </c>
      <c r="C717" s="28" t="s">
        <v>1656</v>
      </c>
      <c r="D717" s="67" t="n">
        <v>0.063</v>
      </c>
      <c r="E717" s="30" t="n">
        <f aca="false">'Harga Bahan dan Tenaga'!$D$11</f>
        <v>165000</v>
      </c>
      <c r="F717" s="36" t="n">
        <f aca="false">D717*E717</f>
        <v>10395</v>
      </c>
    </row>
    <row r="718" customFormat="false" ht="15" hidden="false" customHeight="false" outlineLevel="0" collapsed="false">
      <c r="A718" s="66" t="n">
        <v>3</v>
      </c>
      <c r="B718" s="29" t="s">
        <v>1694</v>
      </c>
      <c r="C718" s="28" t="s">
        <v>1656</v>
      </c>
      <c r="D718" s="67" t="n">
        <v>0.0063</v>
      </c>
      <c r="E718" s="30" t="n">
        <f aca="false">'Harga Bahan dan Tenaga'!$D$14</f>
        <v>190000</v>
      </c>
      <c r="F718" s="36" t="n">
        <f aca="false">D718*E718</f>
        <v>1197</v>
      </c>
    </row>
    <row r="719" customFormat="false" ht="15" hidden="false" customHeight="false" outlineLevel="0" collapsed="false">
      <c r="A719" s="66" t="n">
        <v>4</v>
      </c>
      <c r="B719" s="29" t="s">
        <v>1657</v>
      </c>
      <c r="C719" s="28" t="s">
        <v>1656</v>
      </c>
      <c r="D719" s="67" t="n">
        <v>0.0033</v>
      </c>
      <c r="E719" s="30" t="n">
        <f aca="false">'Harga Bahan dan Tenaga'!$D$15</f>
        <v>200000</v>
      </c>
      <c r="F719" s="36" t="n">
        <f aca="false">D719*E719</f>
        <v>660</v>
      </c>
    </row>
    <row r="720" customFormat="false" ht="15" hidden="false" customHeight="false" outlineLevel="0" collapsed="false">
      <c r="B720" s="2" t="s">
        <v>1658</v>
      </c>
      <c r="F720" s="39" t="n">
        <f aca="false">SUM(F716:F719)</f>
        <v>14952</v>
      </c>
    </row>
    <row r="721" customFormat="false" ht="15" hidden="false" customHeight="false" outlineLevel="0" collapsed="false">
      <c r="B721" s="2" t="s">
        <v>1673</v>
      </c>
    </row>
    <row r="722" customFormat="false" ht="15" hidden="false" customHeight="false" outlineLevel="0" collapsed="false">
      <c r="A722" s="66" t="n">
        <v>1</v>
      </c>
      <c r="B722" s="29" t="s">
        <v>1777</v>
      </c>
      <c r="C722" s="28" t="s">
        <v>976</v>
      </c>
      <c r="D722" s="67" t="n">
        <v>0.1</v>
      </c>
      <c r="E722" s="30" t="n">
        <f aca="false">'Harga Bahan dan Tenaga'!$D$41</f>
        <v>22000</v>
      </c>
      <c r="F722" s="36" t="n">
        <f aca="false">D722*E722</f>
        <v>2200</v>
      </c>
    </row>
    <row r="723" customFormat="false" ht="15" hidden="false" customHeight="false" outlineLevel="0" collapsed="false">
      <c r="A723" s="66" t="n">
        <v>2</v>
      </c>
      <c r="B723" s="29" t="s">
        <v>1778</v>
      </c>
      <c r="C723" s="28" t="s">
        <v>976</v>
      </c>
      <c r="D723" s="67" t="n">
        <v>0.1</v>
      </c>
      <c r="E723" s="30" t="n">
        <f aca="false">'Harga Bahan dan Tenaga'!$D$42</f>
        <v>42000</v>
      </c>
      <c r="F723" s="36" t="n">
        <f aca="false">D723*E723</f>
        <v>4200</v>
      </c>
    </row>
    <row r="724" customFormat="false" ht="15" hidden="false" customHeight="false" outlineLevel="0" collapsed="false">
      <c r="A724" s="66" t="n">
        <v>3</v>
      </c>
      <c r="B724" s="29" t="s">
        <v>1782</v>
      </c>
      <c r="C724" s="28" t="s">
        <v>976</v>
      </c>
      <c r="D724" s="67" t="n">
        <v>0.28</v>
      </c>
      <c r="E724" s="30" t="n">
        <f aca="false">'Harga Bahan dan Tenaga'!$D$44</f>
        <v>78000</v>
      </c>
      <c r="F724" s="36" t="n">
        <f aca="false">D724*E724</f>
        <v>21840</v>
      </c>
    </row>
    <row r="725" customFormat="false" ht="15" hidden="false" customHeight="false" outlineLevel="0" collapsed="false">
      <c r="A725" s="66" t="n">
        <v>4</v>
      </c>
      <c r="B725" s="29" t="s">
        <v>1780</v>
      </c>
      <c r="C725" s="28" t="s">
        <v>1720</v>
      </c>
      <c r="D725" s="67" t="n">
        <v>0.05</v>
      </c>
      <c r="E725" s="30" t="n">
        <f aca="false">'Harga Bahan dan Tenaga'!$D$46</f>
        <v>7000</v>
      </c>
      <c r="F725" s="36" t="n">
        <f aca="false">D725*E725</f>
        <v>350</v>
      </c>
    </row>
    <row r="726" customFormat="false" ht="15" hidden="false" customHeight="false" outlineLevel="0" collapsed="false">
      <c r="B726" s="2" t="s">
        <v>1675</v>
      </c>
      <c r="F726" s="39" t="n">
        <f aca="false">SUM(F722:F725)</f>
        <v>28590</v>
      </c>
    </row>
    <row r="727" customFormat="false" ht="15" hidden="false" customHeight="false" outlineLevel="0" collapsed="false">
      <c r="B727" s="2" t="s">
        <v>1663</v>
      </c>
      <c r="F727" s="39" t="n">
        <f aca="false">F720+F726</f>
        <v>43542</v>
      </c>
    </row>
    <row r="728" customFormat="false" ht="15" hidden="false" customHeight="false" outlineLevel="0" collapsed="false">
      <c r="B728" s="5" t="s">
        <v>1664</v>
      </c>
      <c r="D728" s="68" t="n">
        <f aca="false">'Informasi Proyek'!$C$20</f>
        <v>0.1</v>
      </c>
      <c r="F728" s="36" t="n">
        <f aca="false">F727*D728</f>
        <v>4354.2</v>
      </c>
    </row>
    <row r="729" customFormat="false" ht="15" hidden="false" customHeight="false" outlineLevel="0" collapsed="false">
      <c r="A729" s="57"/>
      <c r="B729" s="69" t="s">
        <v>1689</v>
      </c>
      <c r="C729" s="57"/>
      <c r="D729" s="57"/>
      <c r="E729" s="57"/>
      <c r="F729" s="34" t="n">
        <f aca="false">ROUND(F727+F728,0)</f>
        <v>47896</v>
      </c>
    </row>
    <row r="731" customFormat="false" ht="15" hidden="false" customHeight="false" outlineLevel="0" collapsed="false">
      <c r="A731" s="24" t="s">
        <v>506</v>
      </c>
      <c r="B731" s="24" t="s">
        <v>1783</v>
      </c>
      <c r="C731" s="59" t="s">
        <v>219</v>
      </c>
      <c r="D731" s="23"/>
      <c r="E731" s="23"/>
      <c r="F731" s="23"/>
      <c r="G731" s="64" t="s">
        <v>1692</v>
      </c>
    </row>
    <row r="732" customFormat="false" ht="15" hidden="false" customHeight="false" outlineLevel="0" collapsed="false">
      <c r="A732" s="65" t="s">
        <v>69</v>
      </c>
      <c r="B732" s="65" t="s">
        <v>1649</v>
      </c>
      <c r="C732" s="65" t="s">
        <v>1650</v>
      </c>
      <c r="D732" s="65" t="s">
        <v>1651</v>
      </c>
      <c r="E732" s="65" t="s">
        <v>1652</v>
      </c>
      <c r="F732" s="65" t="s">
        <v>1653</v>
      </c>
    </row>
    <row r="733" customFormat="false" ht="15" hidden="false" customHeight="false" outlineLevel="0" collapsed="false">
      <c r="B733" s="2" t="s">
        <v>1654</v>
      </c>
    </row>
    <row r="734" customFormat="false" ht="15" hidden="false" customHeight="false" outlineLevel="0" collapsed="false">
      <c r="A734" s="66" t="n">
        <v>1</v>
      </c>
      <c r="B734" s="29" t="s">
        <v>1655</v>
      </c>
      <c r="C734" s="28" t="s">
        <v>1656</v>
      </c>
      <c r="D734" s="67" t="n">
        <v>0.02</v>
      </c>
      <c r="E734" s="30" t="n">
        <f aca="false">'Harga Bahan dan Tenaga'!$D$7</f>
        <v>135000</v>
      </c>
      <c r="F734" s="36" t="n">
        <f aca="false">D734*E734</f>
        <v>2700</v>
      </c>
    </row>
    <row r="735" customFormat="false" ht="15" hidden="false" customHeight="false" outlineLevel="0" collapsed="false">
      <c r="A735" s="66" t="n">
        <v>2</v>
      </c>
      <c r="B735" s="29" t="s">
        <v>1776</v>
      </c>
      <c r="C735" s="28" t="s">
        <v>1656</v>
      </c>
      <c r="D735" s="67" t="n">
        <v>0.063</v>
      </c>
      <c r="E735" s="30" t="n">
        <f aca="false">'Harga Bahan dan Tenaga'!$D$11</f>
        <v>165000</v>
      </c>
      <c r="F735" s="36" t="n">
        <f aca="false">D735*E735</f>
        <v>10395</v>
      </c>
    </row>
    <row r="736" customFormat="false" ht="15" hidden="false" customHeight="false" outlineLevel="0" collapsed="false">
      <c r="A736" s="66" t="n">
        <v>3</v>
      </c>
      <c r="B736" s="29" t="s">
        <v>1694</v>
      </c>
      <c r="C736" s="28" t="s">
        <v>1656</v>
      </c>
      <c r="D736" s="67" t="n">
        <v>0.0063</v>
      </c>
      <c r="E736" s="30" t="n">
        <f aca="false">'Harga Bahan dan Tenaga'!$D$14</f>
        <v>190000</v>
      </c>
      <c r="F736" s="36" t="n">
        <f aca="false">D736*E736</f>
        <v>1197</v>
      </c>
    </row>
    <row r="737" customFormat="false" ht="15" hidden="false" customHeight="false" outlineLevel="0" collapsed="false">
      <c r="A737" s="66" t="n">
        <v>4</v>
      </c>
      <c r="B737" s="29" t="s">
        <v>1657</v>
      </c>
      <c r="C737" s="28" t="s">
        <v>1656</v>
      </c>
      <c r="D737" s="67" t="n">
        <v>0.0033</v>
      </c>
      <c r="E737" s="30" t="n">
        <f aca="false">'Harga Bahan dan Tenaga'!$D$15</f>
        <v>200000</v>
      </c>
      <c r="F737" s="36" t="n">
        <f aca="false">D737*E737</f>
        <v>660</v>
      </c>
    </row>
    <row r="738" customFormat="false" ht="15" hidden="false" customHeight="false" outlineLevel="0" collapsed="false">
      <c r="B738" s="2" t="s">
        <v>1658</v>
      </c>
      <c r="F738" s="39" t="n">
        <f aca="false">SUM(F734:F737)</f>
        <v>14952</v>
      </c>
    </row>
    <row r="739" customFormat="false" ht="15" hidden="false" customHeight="false" outlineLevel="0" collapsed="false">
      <c r="B739" s="2" t="s">
        <v>1673</v>
      </c>
    </row>
    <row r="740" customFormat="false" ht="15" hidden="false" customHeight="false" outlineLevel="0" collapsed="false">
      <c r="A740" s="66" t="n">
        <v>1</v>
      </c>
      <c r="B740" s="29" t="s">
        <v>1777</v>
      </c>
      <c r="C740" s="28" t="s">
        <v>976</v>
      </c>
      <c r="D740" s="67" t="n">
        <v>0.1</v>
      </c>
      <c r="E740" s="30" t="n">
        <f aca="false">'Harga Bahan dan Tenaga'!$D$41</f>
        <v>22000</v>
      </c>
      <c r="F740" s="36" t="n">
        <f aca="false">D740*E740</f>
        <v>2200</v>
      </c>
    </row>
    <row r="741" customFormat="false" ht="15" hidden="false" customHeight="false" outlineLevel="0" collapsed="false">
      <c r="A741" s="66" t="n">
        <v>2</v>
      </c>
      <c r="B741" s="29" t="s">
        <v>1784</v>
      </c>
      <c r="C741" s="28" t="s">
        <v>976</v>
      </c>
      <c r="D741" s="67" t="n">
        <v>0.2</v>
      </c>
      <c r="E741" s="30" t="n">
        <f aca="false">'Harga Bahan dan Tenaga'!$D$45</f>
        <v>44000</v>
      </c>
      <c r="F741" s="36" t="n">
        <f aca="false">D741*E741</f>
        <v>8800</v>
      </c>
    </row>
    <row r="742" customFormat="false" ht="15" hidden="false" customHeight="false" outlineLevel="0" collapsed="false">
      <c r="A742" s="66" t="n">
        <v>3</v>
      </c>
      <c r="B742" s="29" t="s">
        <v>1780</v>
      </c>
      <c r="C742" s="28" t="s">
        <v>1720</v>
      </c>
      <c r="D742" s="67" t="n">
        <v>0.05</v>
      </c>
      <c r="E742" s="30" t="n">
        <f aca="false">'Harga Bahan dan Tenaga'!$D$46</f>
        <v>7000</v>
      </c>
      <c r="F742" s="36" t="n">
        <f aca="false">D742*E742</f>
        <v>350</v>
      </c>
    </row>
    <row r="743" customFormat="false" ht="15" hidden="false" customHeight="false" outlineLevel="0" collapsed="false">
      <c r="B743" s="2" t="s">
        <v>1675</v>
      </c>
      <c r="F743" s="39" t="n">
        <f aca="false">SUM(F740:F742)</f>
        <v>11350</v>
      </c>
    </row>
    <row r="744" customFormat="false" ht="15" hidden="false" customHeight="false" outlineLevel="0" collapsed="false">
      <c r="B744" s="2" t="s">
        <v>1663</v>
      </c>
      <c r="F744" s="39" t="n">
        <f aca="false">F738+F743</f>
        <v>26302</v>
      </c>
    </row>
    <row r="745" customFormat="false" ht="15" hidden="false" customHeight="false" outlineLevel="0" collapsed="false">
      <c r="B745" s="5" t="s">
        <v>1664</v>
      </c>
      <c r="D745" s="68" t="n">
        <f aca="false">'Informasi Proyek'!$C$20</f>
        <v>0.1</v>
      </c>
      <c r="F745" s="36" t="n">
        <f aca="false">F744*D745</f>
        <v>2630.2</v>
      </c>
    </row>
    <row r="746" customFormat="false" ht="15" hidden="false" customHeight="false" outlineLevel="0" collapsed="false">
      <c r="A746" s="57"/>
      <c r="B746" s="69" t="s">
        <v>1689</v>
      </c>
      <c r="C746" s="57"/>
      <c r="D746" s="57"/>
      <c r="E746" s="57"/>
      <c r="F746" s="34" t="n">
        <f aca="false">ROUND(F744+F745,0)</f>
        <v>28932</v>
      </c>
    </row>
    <row r="748" customFormat="false" ht="15" hidden="false" customHeight="false" outlineLevel="0" collapsed="false">
      <c r="A748" s="24" t="s">
        <v>977</v>
      </c>
      <c r="B748" s="24" t="s">
        <v>1785</v>
      </c>
      <c r="C748" s="59" t="s">
        <v>976</v>
      </c>
      <c r="D748" s="23"/>
      <c r="E748" s="23"/>
      <c r="F748" s="23"/>
      <c r="G748" s="64" t="s">
        <v>1677</v>
      </c>
    </row>
    <row r="749" customFormat="false" ht="15" hidden="false" customHeight="false" outlineLevel="0" collapsed="false">
      <c r="A749" s="65" t="s">
        <v>69</v>
      </c>
      <c r="B749" s="65" t="s">
        <v>1649</v>
      </c>
      <c r="C749" s="65" t="s">
        <v>1650</v>
      </c>
      <c r="D749" s="65" t="s">
        <v>1651</v>
      </c>
      <c r="E749" s="65" t="s">
        <v>1652</v>
      </c>
      <c r="F749" s="65" t="s">
        <v>1653</v>
      </c>
    </row>
    <row r="750" customFormat="false" ht="15" hidden="false" customHeight="false" outlineLevel="0" collapsed="false">
      <c r="B750" s="2" t="s">
        <v>1654</v>
      </c>
    </row>
    <row r="751" customFormat="false" ht="15" hidden="false" customHeight="false" outlineLevel="0" collapsed="false">
      <c r="A751" s="66" t="n">
        <v>1</v>
      </c>
      <c r="B751" s="29" t="s">
        <v>1655</v>
      </c>
      <c r="C751" s="28" t="s">
        <v>1656</v>
      </c>
      <c r="D751" s="67" t="n">
        <v>0.01</v>
      </c>
      <c r="E751" s="30" t="n">
        <f aca="false">'Harga Bahan dan Tenaga'!$D$7</f>
        <v>135000</v>
      </c>
      <c r="F751" s="36" t="n">
        <f aca="false">D751*E751</f>
        <v>1350</v>
      </c>
    </row>
    <row r="752" customFormat="false" ht="15" hidden="false" customHeight="false" outlineLevel="0" collapsed="false">
      <c r="A752" s="66" t="n">
        <v>2</v>
      </c>
      <c r="B752" s="29" t="s">
        <v>1786</v>
      </c>
      <c r="C752" s="28" t="s">
        <v>1656</v>
      </c>
      <c r="D752" s="67" t="n">
        <v>0.006</v>
      </c>
      <c r="E752" s="30" t="n">
        <f aca="false">'Harga Bahan dan Tenaga'!$D$12</f>
        <v>190000</v>
      </c>
      <c r="F752" s="36" t="n">
        <f aca="false">D752*E752</f>
        <v>1140</v>
      </c>
    </row>
    <row r="753" customFormat="false" ht="15" hidden="false" customHeight="false" outlineLevel="0" collapsed="false">
      <c r="A753" s="66" t="n">
        <v>3</v>
      </c>
      <c r="B753" s="29" t="s">
        <v>1694</v>
      </c>
      <c r="C753" s="28" t="s">
        <v>1656</v>
      </c>
      <c r="D753" s="67" t="n">
        <v>0.0006</v>
      </c>
      <c r="E753" s="30" t="n">
        <f aca="false">'Harga Bahan dan Tenaga'!$D$14</f>
        <v>190000</v>
      </c>
      <c r="F753" s="36" t="n">
        <f aca="false">D753*E753</f>
        <v>114</v>
      </c>
    </row>
    <row r="754" customFormat="false" ht="15" hidden="false" customHeight="false" outlineLevel="0" collapsed="false">
      <c r="A754" s="66" t="n">
        <v>4</v>
      </c>
      <c r="B754" s="29" t="s">
        <v>1657</v>
      </c>
      <c r="C754" s="28" t="s">
        <v>1656</v>
      </c>
      <c r="D754" s="67" t="n">
        <v>0.0006</v>
      </c>
      <c r="E754" s="30" t="n">
        <f aca="false">'Harga Bahan dan Tenaga'!$D$15</f>
        <v>200000</v>
      </c>
      <c r="F754" s="36" t="n">
        <f aca="false">D754*E754</f>
        <v>120</v>
      </c>
    </row>
    <row r="755" customFormat="false" ht="15" hidden="false" customHeight="false" outlineLevel="0" collapsed="false">
      <c r="B755" s="2" t="s">
        <v>1658</v>
      </c>
      <c r="F755" s="39" t="n">
        <f aca="false">SUM(F751:F754)</f>
        <v>2724</v>
      </c>
    </row>
    <row r="756" customFormat="false" ht="15" hidden="false" customHeight="false" outlineLevel="0" collapsed="false">
      <c r="B756" s="2" t="s">
        <v>1673</v>
      </c>
    </row>
    <row r="757" customFormat="false" ht="15" hidden="false" customHeight="false" outlineLevel="0" collapsed="false">
      <c r="A757" s="66" t="n">
        <v>1</v>
      </c>
      <c r="B757" s="29" t="s">
        <v>1787</v>
      </c>
      <c r="C757" s="28" t="s">
        <v>976</v>
      </c>
      <c r="D757" s="67" t="n">
        <v>1.03</v>
      </c>
      <c r="E757" s="30" t="n">
        <f aca="false">'Harga Bahan dan Tenaga'!$D$38</f>
        <v>17200</v>
      </c>
      <c r="F757" s="36" t="n">
        <f aca="false">D757*E757</f>
        <v>17716</v>
      </c>
    </row>
    <row r="758" customFormat="false" ht="15" hidden="false" customHeight="false" outlineLevel="0" collapsed="false">
      <c r="A758" s="66" t="n">
        <v>2</v>
      </c>
      <c r="B758" s="29" t="s">
        <v>1788</v>
      </c>
      <c r="C758" s="28" t="s">
        <v>976</v>
      </c>
      <c r="D758" s="67" t="n">
        <v>0.005</v>
      </c>
      <c r="E758" s="30" t="n">
        <f aca="false">'Harga Bahan dan Tenaga'!$D$39</f>
        <v>38000</v>
      </c>
      <c r="F758" s="36" t="n">
        <f aca="false">D758*E758</f>
        <v>190</v>
      </c>
    </row>
    <row r="759" customFormat="false" ht="15" hidden="false" customHeight="false" outlineLevel="0" collapsed="false">
      <c r="B759" s="2" t="s">
        <v>1675</v>
      </c>
      <c r="F759" s="39" t="n">
        <f aca="false">SUM(F757:F758)</f>
        <v>17906</v>
      </c>
    </row>
    <row r="760" customFormat="false" ht="15" hidden="false" customHeight="false" outlineLevel="0" collapsed="false">
      <c r="B760" s="2" t="s">
        <v>1659</v>
      </c>
    </row>
    <row r="761" customFormat="false" ht="15" hidden="false" customHeight="false" outlineLevel="0" collapsed="false">
      <c r="A761" s="66" t="n">
        <v>1</v>
      </c>
      <c r="B761" s="29" t="s">
        <v>1789</v>
      </c>
      <c r="C761" s="28" t="s">
        <v>1661</v>
      </c>
      <c r="D761" s="67" t="n">
        <v>0.006</v>
      </c>
      <c r="E761" s="30" t="n">
        <f aca="false">'Harga Bahan dan Tenaga'!$D$72</f>
        <v>95000</v>
      </c>
      <c r="F761" s="36" t="n">
        <f aca="false">D761*E761</f>
        <v>570</v>
      </c>
    </row>
    <row r="762" customFormat="false" ht="15" hidden="false" customHeight="false" outlineLevel="0" collapsed="false">
      <c r="B762" s="2" t="s">
        <v>1662</v>
      </c>
      <c r="F762" s="39" t="n">
        <f aca="false">SUM(F761:F761)</f>
        <v>570</v>
      </c>
    </row>
    <row r="763" customFormat="false" ht="15" hidden="false" customHeight="false" outlineLevel="0" collapsed="false">
      <c r="B763" s="2" t="s">
        <v>1663</v>
      </c>
      <c r="F763" s="39" t="n">
        <f aca="false">F755+F759+F762</f>
        <v>21200</v>
      </c>
    </row>
    <row r="764" customFormat="false" ht="15" hidden="false" customHeight="false" outlineLevel="0" collapsed="false">
      <c r="B764" s="5" t="s">
        <v>1664</v>
      </c>
      <c r="D764" s="68" t="n">
        <f aca="false">'Informasi Proyek'!$C$20</f>
        <v>0.1</v>
      </c>
      <c r="F764" s="36" t="n">
        <f aca="false">F763*D764</f>
        <v>2120</v>
      </c>
    </row>
    <row r="765" customFormat="false" ht="15" hidden="false" customHeight="false" outlineLevel="0" collapsed="false">
      <c r="A765" s="57"/>
      <c r="B765" s="69" t="s">
        <v>1713</v>
      </c>
      <c r="C765" s="57"/>
      <c r="D765" s="57"/>
      <c r="E765" s="57"/>
      <c r="F765" s="34" t="n">
        <f aca="false">ROUND(F763+F764,0)</f>
        <v>23320</v>
      </c>
    </row>
    <row r="767" customFormat="false" ht="15" hidden="false" customHeight="false" outlineLevel="0" collapsed="false">
      <c r="A767" s="24" t="s">
        <v>996</v>
      </c>
      <c r="B767" s="24" t="s">
        <v>1790</v>
      </c>
      <c r="C767" s="59" t="s">
        <v>976</v>
      </c>
      <c r="D767" s="23"/>
      <c r="E767" s="23"/>
      <c r="F767" s="23"/>
      <c r="G767" s="64" t="s">
        <v>1677</v>
      </c>
    </row>
    <row r="768" customFormat="false" ht="15" hidden="false" customHeight="false" outlineLevel="0" collapsed="false">
      <c r="A768" s="65" t="s">
        <v>69</v>
      </c>
      <c r="B768" s="65" t="s">
        <v>1649</v>
      </c>
      <c r="C768" s="65" t="s">
        <v>1650</v>
      </c>
      <c r="D768" s="65" t="s">
        <v>1651</v>
      </c>
      <c r="E768" s="65" t="s">
        <v>1652</v>
      </c>
      <c r="F768" s="65" t="s">
        <v>1653</v>
      </c>
    </row>
    <row r="769" customFormat="false" ht="15" hidden="false" customHeight="false" outlineLevel="0" collapsed="false">
      <c r="B769" s="2" t="s">
        <v>1654</v>
      </c>
    </row>
    <row r="770" customFormat="false" ht="15" hidden="false" customHeight="false" outlineLevel="0" collapsed="false">
      <c r="A770" s="66" t="n">
        <v>1</v>
      </c>
      <c r="B770" s="29" t="s">
        <v>1655</v>
      </c>
      <c r="C770" s="28" t="s">
        <v>1656</v>
      </c>
      <c r="D770" s="67" t="n">
        <v>0.02</v>
      </c>
      <c r="E770" s="30" t="n">
        <f aca="false">'Harga Bahan dan Tenaga'!$D$7</f>
        <v>135000</v>
      </c>
      <c r="F770" s="36" t="n">
        <f aca="false">D770*E770</f>
        <v>2700</v>
      </c>
    </row>
    <row r="771" customFormat="false" ht="15" hidden="false" customHeight="false" outlineLevel="0" collapsed="false">
      <c r="A771" s="66" t="n">
        <v>2</v>
      </c>
      <c r="B771" s="29" t="s">
        <v>1786</v>
      </c>
      <c r="C771" s="28" t="s">
        <v>1656</v>
      </c>
      <c r="D771" s="67" t="n">
        <v>0.012</v>
      </c>
      <c r="E771" s="30" t="n">
        <f aca="false">'Harga Bahan dan Tenaga'!$D$12</f>
        <v>190000</v>
      </c>
      <c r="F771" s="36" t="n">
        <f aca="false">D771*E771</f>
        <v>2280</v>
      </c>
    </row>
    <row r="772" customFormat="false" ht="15" hidden="false" customHeight="false" outlineLevel="0" collapsed="false">
      <c r="A772" s="66" t="n">
        <v>3</v>
      </c>
      <c r="B772" s="29" t="s">
        <v>1694</v>
      </c>
      <c r="C772" s="28" t="s">
        <v>1656</v>
      </c>
      <c r="D772" s="67" t="n">
        <v>0.0012</v>
      </c>
      <c r="E772" s="30" t="n">
        <f aca="false">'Harga Bahan dan Tenaga'!$D$14</f>
        <v>190000</v>
      </c>
      <c r="F772" s="36" t="n">
        <f aca="false">D772*E772</f>
        <v>228</v>
      </c>
    </row>
    <row r="773" customFormat="false" ht="15" hidden="false" customHeight="false" outlineLevel="0" collapsed="false">
      <c r="A773" s="66" t="n">
        <v>4</v>
      </c>
      <c r="B773" s="29" t="s">
        <v>1657</v>
      </c>
      <c r="C773" s="28" t="s">
        <v>1656</v>
      </c>
      <c r="D773" s="67" t="n">
        <v>0.001</v>
      </c>
      <c r="E773" s="30" t="n">
        <f aca="false">'Harga Bahan dan Tenaga'!$D$15</f>
        <v>200000</v>
      </c>
      <c r="F773" s="36" t="n">
        <f aca="false">D773*E773</f>
        <v>200</v>
      </c>
    </row>
    <row r="774" customFormat="false" ht="15" hidden="false" customHeight="false" outlineLevel="0" collapsed="false">
      <c r="B774" s="2" t="s">
        <v>1658</v>
      </c>
      <c r="F774" s="39" t="n">
        <f aca="false">SUM(F770:F773)</f>
        <v>5408</v>
      </c>
    </row>
    <row r="775" customFormat="false" ht="15" hidden="false" customHeight="false" outlineLevel="0" collapsed="false">
      <c r="B775" s="2" t="s">
        <v>1673</v>
      </c>
    </row>
    <row r="776" customFormat="false" ht="15" hidden="false" customHeight="false" outlineLevel="0" collapsed="false">
      <c r="A776" s="66" t="n">
        <v>1</v>
      </c>
      <c r="B776" s="29" t="s">
        <v>1788</v>
      </c>
      <c r="C776" s="28" t="s">
        <v>976</v>
      </c>
      <c r="D776" s="67" t="n">
        <v>0.03</v>
      </c>
      <c r="E776" s="30" t="n">
        <f aca="false">'Harga Bahan dan Tenaga'!$D$39</f>
        <v>38000</v>
      </c>
      <c r="F776" s="36" t="n">
        <f aca="false">D776*E776</f>
        <v>1140</v>
      </c>
    </row>
    <row r="777" customFormat="false" ht="15" hidden="false" customHeight="false" outlineLevel="0" collapsed="false">
      <c r="A777" s="66" t="n">
        <v>2</v>
      </c>
      <c r="B777" s="29" t="s">
        <v>1791</v>
      </c>
      <c r="C777" s="28" t="s">
        <v>976</v>
      </c>
      <c r="D777" s="67" t="n">
        <v>0.04</v>
      </c>
      <c r="E777" s="30" t="n">
        <f aca="false">'Harga Bahan dan Tenaga'!$D$40</f>
        <v>72000</v>
      </c>
      <c r="F777" s="36" t="n">
        <f aca="false">D777*E777</f>
        <v>2880</v>
      </c>
    </row>
    <row r="778" customFormat="false" ht="15" hidden="false" customHeight="false" outlineLevel="0" collapsed="false">
      <c r="B778" s="2" t="s">
        <v>1675</v>
      </c>
      <c r="F778" s="39" t="n">
        <f aca="false">SUM(F776:F777)</f>
        <v>4020</v>
      </c>
    </row>
    <row r="779" customFormat="false" ht="15" hidden="false" customHeight="false" outlineLevel="0" collapsed="false">
      <c r="B779" s="2" t="s">
        <v>1659</v>
      </c>
    </row>
    <row r="780" customFormat="false" ht="15" hidden="false" customHeight="false" outlineLevel="0" collapsed="false">
      <c r="A780" s="66" t="n">
        <v>1</v>
      </c>
      <c r="B780" s="29" t="s">
        <v>1792</v>
      </c>
      <c r="C780" s="28" t="s">
        <v>1661</v>
      </c>
      <c r="D780" s="67" t="n">
        <v>0.003</v>
      </c>
      <c r="E780" s="30" t="n">
        <f aca="false">'Harga Bahan dan Tenaga'!$D$71</f>
        <v>850000</v>
      </c>
      <c r="F780" s="36" t="n">
        <f aca="false">D780*E780</f>
        <v>2550</v>
      </c>
    </row>
    <row r="781" customFormat="false" ht="15" hidden="false" customHeight="false" outlineLevel="0" collapsed="false">
      <c r="A781" s="66" t="n">
        <v>2</v>
      </c>
      <c r="B781" s="29" t="s">
        <v>1789</v>
      </c>
      <c r="C781" s="28" t="s">
        <v>1661</v>
      </c>
      <c r="D781" s="67" t="n">
        <v>0.012</v>
      </c>
      <c r="E781" s="30" t="n">
        <f aca="false">'Harga Bahan dan Tenaga'!$D$72</f>
        <v>95000</v>
      </c>
      <c r="F781" s="36" t="n">
        <f aca="false">D781*E781</f>
        <v>1140</v>
      </c>
    </row>
    <row r="782" customFormat="false" ht="15" hidden="false" customHeight="false" outlineLevel="0" collapsed="false">
      <c r="B782" s="2" t="s">
        <v>1662</v>
      </c>
      <c r="F782" s="39" t="n">
        <f aca="false">SUM(F780:F781)</f>
        <v>3690</v>
      </c>
    </row>
    <row r="783" customFormat="false" ht="15" hidden="false" customHeight="false" outlineLevel="0" collapsed="false">
      <c r="B783" s="2" t="s">
        <v>1663</v>
      </c>
      <c r="F783" s="39" t="n">
        <f aca="false">F774+F778+F782</f>
        <v>13118</v>
      </c>
    </row>
    <row r="784" customFormat="false" ht="15" hidden="false" customHeight="false" outlineLevel="0" collapsed="false">
      <c r="B784" s="5" t="s">
        <v>1664</v>
      </c>
      <c r="D784" s="68" t="n">
        <f aca="false">'Informasi Proyek'!$C$20</f>
        <v>0.1</v>
      </c>
      <c r="F784" s="36" t="n">
        <f aca="false">F783*D784</f>
        <v>1311.8</v>
      </c>
    </row>
    <row r="785" customFormat="false" ht="15" hidden="false" customHeight="false" outlineLevel="0" collapsed="false">
      <c r="A785" s="57"/>
      <c r="B785" s="69" t="s">
        <v>1713</v>
      </c>
      <c r="C785" s="57"/>
      <c r="D785" s="57"/>
      <c r="E785" s="57"/>
      <c r="F785" s="34" t="n">
        <f aca="false">ROUND(F783+F784,0)</f>
        <v>14430</v>
      </c>
    </row>
    <row r="787" customFormat="false" ht="15" hidden="false" customHeight="false" outlineLevel="0" collapsed="false">
      <c r="A787" s="24" t="s">
        <v>515</v>
      </c>
      <c r="B787" s="24" t="s">
        <v>1793</v>
      </c>
      <c r="C787" s="59" t="s">
        <v>219</v>
      </c>
      <c r="D787" s="23"/>
      <c r="E787" s="23"/>
      <c r="F787" s="23"/>
      <c r="G787" s="64" t="s">
        <v>1794</v>
      </c>
    </row>
    <row r="788" customFormat="false" ht="15" hidden="false" customHeight="false" outlineLevel="0" collapsed="false">
      <c r="A788" s="65" t="s">
        <v>69</v>
      </c>
      <c r="B788" s="65" t="s">
        <v>1649</v>
      </c>
      <c r="C788" s="65" t="s">
        <v>1650</v>
      </c>
      <c r="D788" s="65" t="s">
        <v>1651</v>
      </c>
      <c r="E788" s="65" t="s">
        <v>1652</v>
      </c>
      <c r="F788" s="65" t="s">
        <v>1653</v>
      </c>
    </row>
    <row r="789" customFormat="false" ht="15" hidden="false" customHeight="false" outlineLevel="0" collapsed="false">
      <c r="B789" s="2" t="s">
        <v>1654</v>
      </c>
    </row>
    <row r="790" customFormat="false" ht="15" hidden="false" customHeight="false" outlineLevel="0" collapsed="false">
      <c r="A790" s="66" t="n">
        <v>1</v>
      </c>
      <c r="B790" s="29" t="s">
        <v>1655</v>
      </c>
      <c r="C790" s="28" t="s">
        <v>1656</v>
      </c>
      <c r="D790" s="67" t="n">
        <v>0.015</v>
      </c>
      <c r="E790" s="30" t="n">
        <f aca="false">'Harga Bahan dan Tenaga'!$D$7</f>
        <v>135000</v>
      </c>
      <c r="F790" s="36" t="n">
        <f aca="false">D790*E790</f>
        <v>2025</v>
      </c>
    </row>
    <row r="791" customFormat="false" ht="15" hidden="false" customHeight="false" outlineLevel="0" collapsed="false">
      <c r="A791" s="66" t="n">
        <v>2</v>
      </c>
      <c r="B791" s="29" t="s">
        <v>1657</v>
      </c>
      <c r="C791" s="28" t="s">
        <v>1656</v>
      </c>
      <c r="D791" s="67" t="n">
        <v>0.001</v>
      </c>
      <c r="E791" s="30" t="n">
        <f aca="false">'Harga Bahan dan Tenaga'!$D$15</f>
        <v>200000</v>
      </c>
      <c r="F791" s="36" t="n">
        <f aca="false">D791*E791</f>
        <v>200</v>
      </c>
    </row>
    <row r="792" customFormat="false" ht="15" hidden="false" customHeight="false" outlineLevel="0" collapsed="false">
      <c r="B792" s="2" t="s">
        <v>1658</v>
      </c>
      <c r="F792" s="39" t="n">
        <f aca="false">SUM(F790:F791)</f>
        <v>2225</v>
      </c>
    </row>
    <row r="793" customFormat="false" ht="15" hidden="false" customHeight="false" outlineLevel="0" collapsed="false">
      <c r="B793" s="2" t="s">
        <v>1673</v>
      </c>
    </row>
    <row r="794" customFormat="false" ht="15" hidden="false" customHeight="false" outlineLevel="0" collapsed="false">
      <c r="A794" s="66" t="n">
        <v>1</v>
      </c>
      <c r="B794" s="29" t="s">
        <v>1674</v>
      </c>
      <c r="C794" s="28" t="s">
        <v>1647</v>
      </c>
      <c r="D794" s="67" t="n">
        <v>0.06</v>
      </c>
      <c r="E794" s="30" t="n">
        <f aca="false">'Harga Bahan dan Tenaga'!$D$19</f>
        <v>320000</v>
      </c>
      <c r="F794" s="36" t="n">
        <f aca="false">D794*E794</f>
        <v>19200</v>
      </c>
    </row>
    <row r="795" customFormat="false" ht="15" hidden="false" customHeight="false" outlineLevel="0" collapsed="false">
      <c r="B795" s="2" t="s">
        <v>1675</v>
      </c>
      <c r="F795" s="39" t="n">
        <f aca="false">SUM(F794:F794)</f>
        <v>19200</v>
      </c>
    </row>
    <row r="796" customFormat="false" ht="15" hidden="false" customHeight="false" outlineLevel="0" collapsed="false">
      <c r="B796" s="2" t="s">
        <v>1663</v>
      </c>
      <c r="F796" s="39" t="n">
        <f aca="false">F792+F795</f>
        <v>21425</v>
      </c>
    </row>
    <row r="797" customFormat="false" ht="15" hidden="false" customHeight="false" outlineLevel="0" collapsed="false">
      <c r="B797" s="5" t="s">
        <v>1664</v>
      </c>
      <c r="D797" s="68" t="n">
        <f aca="false">'Informasi Proyek'!$C$20</f>
        <v>0.1</v>
      </c>
      <c r="F797" s="36" t="n">
        <f aca="false">F796*D797</f>
        <v>2142.5</v>
      </c>
    </row>
    <row r="798" customFormat="false" ht="15" hidden="false" customHeight="false" outlineLevel="0" collapsed="false">
      <c r="A798" s="57"/>
      <c r="B798" s="69" t="s">
        <v>1689</v>
      </c>
      <c r="C798" s="57"/>
      <c r="D798" s="57"/>
      <c r="E798" s="57"/>
      <c r="F798" s="34" t="n">
        <f aca="false">ROUND(F796+F797,0)</f>
        <v>23568</v>
      </c>
    </row>
    <row r="800" customFormat="false" ht="15" hidden="false" customHeight="false" outlineLevel="0" collapsed="false">
      <c r="A800" s="3" t="s">
        <v>1795</v>
      </c>
      <c r="B800" s="4"/>
      <c r="C800" s="4"/>
      <c r="D800" s="4"/>
      <c r="E800" s="4"/>
      <c r="F800" s="4"/>
      <c r="G800" s="4"/>
      <c r="H800" s="4"/>
    </row>
    <row r="801" customFormat="false" ht="15" hidden="false" customHeight="false" outlineLevel="0" collapsed="false">
      <c r="A801" s="41" t="s">
        <v>1796</v>
      </c>
    </row>
    <row r="802" customFormat="false" ht="42" hidden="false" customHeight="true" outlineLevel="0" collapsed="false">
      <c r="A802" s="65" t="s">
        <v>1797</v>
      </c>
      <c r="B802" s="65" t="s">
        <v>1798</v>
      </c>
      <c r="C802" s="65" t="s">
        <v>1650</v>
      </c>
      <c r="D802" s="65" t="s">
        <v>1799</v>
      </c>
      <c r="E802" s="65" t="s">
        <v>1800</v>
      </c>
      <c r="F802" s="65" t="s">
        <v>1653</v>
      </c>
      <c r="G802" s="65" t="s">
        <v>1801</v>
      </c>
      <c r="H802" s="65" t="s">
        <v>168</v>
      </c>
    </row>
    <row r="803" customFormat="false" ht="15" hidden="false" customHeight="false" outlineLevel="0" collapsed="false">
      <c r="A803" s="66" t="s">
        <v>180</v>
      </c>
      <c r="B803" s="29" t="s">
        <v>1802</v>
      </c>
      <c r="C803" s="28" t="s">
        <v>179</v>
      </c>
      <c r="D803" s="70" t="n">
        <v>1200000</v>
      </c>
      <c r="E803" s="71" t="n">
        <v>0</v>
      </c>
      <c r="F803" s="36" t="n">
        <f aca="false">D803*(1+E803)</f>
        <v>1200000</v>
      </c>
      <c r="G803" s="36" t="n">
        <f aca="false">F803*'Informasi Proyek'!$C$20</f>
        <v>120000</v>
      </c>
      <c r="H803" s="39" t="n">
        <f aca="false">ROUND(F803+G803,0)</f>
        <v>1320000</v>
      </c>
    </row>
    <row r="804" customFormat="false" ht="15" hidden="false" customHeight="false" outlineLevel="0" collapsed="false">
      <c r="A804" s="66" t="s">
        <v>184</v>
      </c>
      <c r="B804" s="29" t="s">
        <v>1803</v>
      </c>
      <c r="C804" s="28" t="s">
        <v>183</v>
      </c>
      <c r="D804" s="70" t="n">
        <v>54000000</v>
      </c>
      <c r="E804" s="71" t="n">
        <v>0</v>
      </c>
      <c r="F804" s="36" t="n">
        <f aca="false">D804*(1+E804)</f>
        <v>54000000</v>
      </c>
      <c r="G804" s="36" t="n">
        <f aca="false">F804*'Informasi Proyek'!$C$20</f>
        <v>5400000</v>
      </c>
      <c r="H804" s="39" t="n">
        <f aca="false">ROUND(F804+G804,0)</f>
        <v>59400000</v>
      </c>
    </row>
    <row r="805" customFormat="false" ht="15" hidden="false" customHeight="false" outlineLevel="0" collapsed="false">
      <c r="A805" s="66" t="s">
        <v>186</v>
      </c>
      <c r="B805" s="29" t="s">
        <v>1804</v>
      </c>
      <c r="C805" s="28" t="s">
        <v>183</v>
      </c>
      <c r="D805" s="70" t="n">
        <v>35200000</v>
      </c>
      <c r="E805" s="71" t="n">
        <v>0</v>
      </c>
      <c r="F805" s="36" t="n">
        <f aca="false">D805*(1+E805)</f>
        <v>35200000</v>
      </c>
      <c r="G805" s="36" t="n">
        <f aca="false">F805*'Informasi Proyek'!$C$20</f>
        <v>3520000</v>
      </c>
      <c r="H805" s="39" t="n">
        <f aca="false">ROUND(F805+G805,0)</f>
        <v>38720000</v>
      </c>
    </row>
    <row r="806" customFormat="false" ht="15" hidden="false" customHeight="false" outlineLevel="0" collapsed="false">
      <c r="A806" s="66" t="s">
        <v>188</v>
      </c>
      <c r="B806" s="29" t="s">
        <v>1805</v>
      </c>
      <c r="C806" s="28" t="s">
        <v>179</v>
      </c>
      <c r="D806" s="70" t="n">
        <v>18000000</v>
      </c>
      <c r="E806" s="71" t="n">
        <v>0</v>
      </c>
      <c r="F806" s="36" t="n">
        <f aca="false">D806*(1+E806)</f>
        <v>18000000</v>
      </c>
      <c r="G806" s="36" t="n">
        <f aca="false">F806*'Informasi Proyek'!$C$20</f>
        <v>1800000</v>
      </c>
      <c r="H806" s="39" t="n">
        <f aca="false">ROUND(F806+G806,0)</f>
        <v>19800000</v>
      </c>
    </row>
    <row r="807" customFormat="false" ht="15" hidden="false" customHeight="false" outlineLevel="0" collapsed="false">
      <c r="A807" s="66" t="s">
        <v>192</v>
      </c>
      <c r="B807" s="29" t="s">
        <v>1806</v>
      </c>
      <c r="C807" s="28" t="s">
        <v>191</v>
      </c>
      <c r="D807" s="70" t="n">
        <v>8500000</v>
      </c>
      <c r="E807" s="71" t="n">
        <v>0</v>
      </c>
      <c r="F807" s="36" t="n">
        <f aca="false">D807*(1+E807)</f>
        <v>8500000</v>
      </c>
      <c r="G807" s="36" t="n">
        <f aca="false">F807*'Informasi Proyek'!$C$20</f>
        <v>850000</v>
      </c>
      <c r="H807" s="39" t="n">
        <f aca="false">ROUND(F807+G807,0)</f>
        <v>9350000</v>
      </c>
    </row>
    <row r="808" customFormat="false" ht="15" hidden="false" customHeight="false" outlineLevel="0" collapsed="false">
      <c r="A808" s="66" t="s">
        <v>194</v>
      </c>
      <c r="B808" s="29" t="s">
        <v>1807</v>
      </c>
      <c r="C808" s="28" t="s">
        <v>179</v>
      </c>
      <c r="D808" s="70" t="n">
        <v>285000000</v>
      </c>
      <c r="E808" s="71" t="n">
        <v>0</v>
      </c>
      <c r="F808" s="36" t="n">
        <f aca="false">D808*(1+E808)</f>
        <v>285000000</v>
      </c>
      <c r="G808" s="36" t="n">
        <f aca="false">F808*'Informasi Proyek'!$C$20</f>
        <v>28500000</v>
      </c>
      <c r="H808" s="39" t="n">
        <f aca="false">ROUND(F808+G808,0)</f>
        <v>313500000</v>
      </c>
    </row>
    <row r="809" customFormat="false" ht="15" hidden="false" customHeight="false" outlineLevel="0" collapsed="false">
      <c r="A809" s="66" t="s">
        <v>198</v>
      </c>
      <c r="B809" s="29" t="s">
        <v>1808</v>
      </c>
      <c r="C809" s="28" t="s">
        <v>191</v>
      </c>
      <c r="D809" s="70" t="n">
        <v>15000000</v>
      </c>
      <c r="E809" s="71" t="n">
        <v>0</v>
      </c>
      <c r="F809" s="36" t="n">
        <f aca="false">D809*(1+E809)</f>
        <v>15000000</v>
      </c>
      <c r="G809" s="36" t="n">
        <f aca="false">F809*'Informasi Proyek'!$C$20</f>
        <v>1500000</v>
      </c>
      <c r="H809" s="39" t="n">
        <f aca="false">ROUND(F809+G809,0)</f>
        <v>16500000</v>
      </c>
    </row>
    <row r="810" customFormat="false" ht="15" hidden="false" customHeight="false" outlineLevel="0" collapsed="false">
      <c r="A810" s="66" t="s">
        <v>200</v>
      </c>
      <c r="B810" s="29" t="s">
        <v>1809</v>
      </c>
      <c r="C810" s="28" t="s">
        <v>191</v>
      </c>
      <c r="D810" s="70" t="n">
        <v>3500000</v>
      </c>
      <c r="E810" s="71" t="n">
        <v>0</v>
      </c>
      <c r="F810" s="36" t="n">
        <f aca="false">D810*(1+E810)</f>
        <v>3500000</v>
      </c>
      <c r="G810" s="36" t="n">
        <f aca="false">F810*'Informasi Proyek'!$C$20</f>
        <v>350000</v>
      </c>
      <c r="H810" s="39" t="n">
        <f aca="false">ROUND(F810+G810,0)</f>
        <v>3850000</v>
      </c>
    </row>
    <row r="811" customFormat="false" ht="15" hidden="false" customHeight="false" outlineLevel="0" collapsed="false">
      <c r="A811" s="66" t="s">
        <v>204</v>
      </c>
      <c r="B811" s="29" t="s">
        <v>1810</v>
      </c>
      <c r="C811" s="28" t="s">
        <v>203</v>
      </c>
      <c r="D811" s="70" t="n">
        <v>2500000</v>
      </c>
      <c r="E811" s="71" t="n">
        <v>0</v>
      </c>
      <c r="F811" s="36" t="n">
        <f aca="false">D811*(1+E811)</f>
        <v>2500000</v>
      </c>
      <c r="G811" s="36" t="n">
        <f aca="false">F811*'Informasi Proyek'!$C$20</f>
        <v>250000</v>
      </c>
      <c r="H811" s="39" t="n">
        <f aca="false">ROUND(F811+G811,0)</f>
        <v>2750000</v>
      </c>
    </row>
    <row r="812" customFormat="false" ht="15" hidden="false" customHeight="false" outlineLevel="0" collapsed="false">
      <c r="A812" s="66" t="s">
        <v>207</v>
      </c>
      <c r="B812" s="29" t="s">
        <v>1811</v>
      </c>
      <c r="C812" s="28" t="s">
        <v>206</v>
      </c>
      <c r="D812" s="70" t="n">
        <v>3500000</v>
      </c>
      <c r="E812" s="71" t="n">
        <v>0</v>
      </c>
      <c r="F812" s="36" t="n">
        <f aca="false">D812*(1+E812)</f>
        <v>3500000</v>
      </c>
      <c r="G812" s="36" t="n">
        <f aca="false">F812*'Informasi Proyek'!$C$20</f>
        <v>350000</v>
      </c>
      <c r="H812" s="39" t="n">
        <f aca="false">ROUND(F812+G812,0)</f>
        <v>3850000</v>
      </c>
    </row>
    <row r="813" customFormat="false" ht="15" hidden="false" customHeight="false" outlineLevel="0" collapsed="false">
      <c r="A813" s="66" t="s">
        <v>210</v>
      </c>
      <c r="B813" s="29" t="s">
        <v>1812</v>
      </c>
      <c r="C813" s="28" t="s">
        <v>183</v>
      </c>
      <c r="D813" s="70" t="n">
        <v>85000000</v>
      </c>
      <c r="E813" s="71" t="n">
        <v>0</v>
      </c>
      <c r="F813" s="36" t="n">
        <f aca="false">D813*(1+E813)</f>
        <v>85000000</v>
      </c>
      <c r="G813" s="36" t="n">
        <f aca="false">F813*'Informasi Proyek'!$C$20</f>
        <v>8500000</v>
      </c>
      <c r="H813" s="39" t="n">
        <f aca="false">ROUND(F813+G813,0)</f>
        <v>93500000</v>
      </c>
    </row>
    <row r="814" customFormat="false" ht="15" hidden="false" customHeight="false" outlineLevel="0" collapsed="false">
      <c r="A814" s="66" t="s">
        <v>220</v>
      </c>
      <c r="B814" s="29" t="s">
        <v>1813</v>
      </c>
      <c r="C814" s="28" t="s">
        <v>219</v>
      </c>
      <c r="D814" s="70" t="n">
        <v>85000</v>
      </c>
      <c r="E814" s="71" t="n">
        <v>0</v>
      </c>
      <c r="F814" s="36" t="n">
        <f aca="false">D814*(1+E814)</f>
        <v>85000</v>
      </c>
      <c r="G814" s="36" t="n">
        <f aca="false">F814*'Informasi Proyek'!$C$20</f>
        <v>8500</v>
      </c>
      <c r="H814" s="39" t="n">
        <f aca="false">ROUND(F814+G814,0)</f>
        <v>93500</v>
      </c>
    </row>
    <row r="815" customFormat="false" ht="15" hidden="false" customHeight="false" outlineLevel="0" collapsed="false">
      <c r="A815" s="66" t="s">
        <v>223</v>
      </c>
      <c r="B815" s="29" t="s">
        <v>1814</v>
      </c>
      <c r="C815" s="28" t="s">
        <v>179</v>
      </c>
      <c r="D815" s="70" t="n">
        <v>65000000</v>
      </c>
      <c r="E815" s="71" t="n">
        <v>0</v>
      </c>
      <c r="F815" s="36" t="n">
        <f aca="false">D815*(1+E815)</f>
        <v>65000000</v>
      </c>
      <c r="G815" s="36" t="n">
        <f aca="false">F815*'Informasi Proyek'!$C$20</f>
        <v>6500000</v>
      </c>
      <c r="H815" s="39" t="n">
        <f aca="false">ROUND(F815+G815,0)</f>
        <v>71500000</v>
      </c>
    </row>
    <row r="816" customFormat="false" ht="15" hidden="false" customHeight="false" outlineLevel="0" collapsed="false">
      <c r="A816" s="66" t="s">
        <v>228</v>
      </c>
      <c r="B816" s="29" t="s">
        <v>1815</v>
      </c>
      <c r="C816" s="28" t="s">
        <v>183</v>
      </c>
      <c r="D816" s="70" t="n">
        <v>12000000</v>
      </c>
      <c r="E816" s="71" t="n">
        <v>0</v>
      </c>
      <c r="F816" s="36" t="n">
        <f aca="false">D816*(1+E816)</f>
        <v>12000000</v>
      </c>
      <c r="G816" s="36" t="n">
        <f aca="false">F816*'Informasi Proyek'!$C$20</f>
        <v>1200000</v>
      </c>
      <c r="H816" s="39" t="n">
        <f aca="false">ROUND(F816+G816,0)</f>
        <v>13200000</v>
      </c>
    </row>
    <row r="817" customFormat="false" ht="15" hidden="false" customHeight="false" outlineLevel="0" collapsed="false">
      <c r="A817" s="66" t="s">
        <v>231</v>
      </c>
      <c r="B817" s="29" t="s">
        <v>1816</v>
      </c>
      <c r="C817" s="28" t="s">
        <v>183</v>
      </c>
      <c r="D817" s="70" t="n">
        <v>6000000</v>
      </c>
      <c r="E817" s="71" t="n">
        <v>0</v>
      </c>
      <c r="F817" s="36" t="n">
        <f aca="false">D817*(1+E817)</f>
        <v>6000000</v>
      </c>
      <c r="G817" s="36" t="n">
        <f aca="false">F817*'Informasi Proyek'!$C$20</f>
        <v>600000</v>
      </c>
      <c r="H817" s="39" t="n">
        <f aca="false">ROUND(F817+G817,0)</f>
        <v>6600000</v>
      </c>
    </row>
    <row r="818" customFormat="false" ht="15" hidden="false" customHeight="false" outlineLevel="0" collapsed="false">
      <c r="A818" s="66" t="s">
        <v>234</v>
      </c>
      <c r="B818" s="29" t="s">
        <v>1817</v>
      </c>
      <c r="C818" s="28" t="s">
        <v>183</v>
      </c>
      <c r="D818" s="70" t="n">
        <v>8000000</v>
      </c>
      <c r="E818" s="71" t="n">
        <v>0</v>
      </c>
      <c r="F818" s="36" t="n">
        <f aca="false">D818*(1+E818)</f>
        <v>8000000</v>
      </c>
      <c r="G818" s="36" t="n">
        <f aca="false">F818*'Informasi Proyek'!$C$20</f>
        <v>800000</v>
      </c>
      <c r="H818" s="39" t="n">
        <f aca="false">ROUND(F818+G818,0)</f>
        <v>8800000</v>
      </c>
    </row>
    <row r="819" customFormat="false" ht="15" hidden="false" customHeight="false" outlineLevel="0" collapsed="false">
      <c r="A819" s="66" t="s">
        <v>238</v>
      </c>
      <c r="B819" s="29" t="s">
        <v>1818</v>
      </c>
      <c r="C819" s="28" t="s">
        <v>237</v>
      </c>
      <c r="D819" s="70" t="n">
        <v>1250000</v>
      </c>
      <c r="E819" s="71" t="n">
        <v>0</v>
      </c>
      <c r="F819" s="36" t="n">
        <f aca="false">D819*(1+E819)</f>
        <v>1250000</v>
      </c>
      <c r="G819" s="36" t="n">
        <f aca="false">F819*'Informasi Proyek'!$C$20</f>
        <v>125000</v>
      </c>
      <c r="H819" s="39" t="n">
        <f aca="false">ROUND(F819+G819,0)</f>
        <v>1375000</v>
      </c>
    </row>
    <row r="820" customFormat="false" ht="15" hidden="false" customHeight="false" outlineLevel="0" collapsed="false">
      <c r="A820" s="66" t="s">
        <v>240</v>
      </c>
      <c r="B820" s="29" t="s">
        <v>1819</v>
      </c>
      <c r="C820" s="28" t="s">
        <v>237</v>
      </c>
      <c r="D820" s="70" t="n">
        <v>750000</v>
      </c>
      <c r="E820" s="71" t="n">
        <v>0</v>
      </c>
      <c r="F820" s="36" t="n">
        <f aca="false">D820*(1+E820)</f>
        <v>750000</v>
      </c>
      <c r="G820" s="36" t="n">
        <f aca="false">F820*'Informasi Proyek'!$C$20</f>
        <v>75000</v>
      </c>
      <c r="H820" s="39" t="n">
        <f aca="false">ROUND(F820+G820,0)</f>
        <v>825000</v>
      </c>
    </row>
    <row r="821" customFormat="false" ht="15" hidden="false" customHeight="false" outlineLevel="0" collapsed="false">
      <c r="A821" s="66" t="s">
        <v>244</v>
      </c>
      <c r="B821" s="29" t="s">
        <v>242</v>
      </c>
      <c r="C821" s="28" t="s">
        <v>243</v>
      </c>
      <c r="D821" s="70" t="n">
        <v>1500000</v>
      </c>
      <c r="E821" s="71" t="n">
        <v>0</v>
      </c>
      <c r="F821" s="36" t="n">
        <f aca="false">D821*(1+E821)</f>
        <v>1500000</v>
      </c>
      <c r="G821" s="36" t="n">
        <f aca="false">F821*'Informasi Proyek'!$C$20</f>
        <v>150000</v>
      </c>
      <c r="H821" s="39" t="n">
        <f aca="false">ROUND(F821+G821,0)</f>
        <v>1650000</v>
      </c>
    </row>
    <row r="822" customFormat="false" ht="15" hidden="false" customHeight="false" outlineLevel="0" collapsed="false">
      <c r="A822" s="66" t="s">
        <v>247</v>
      </c>
      <c r="B822" s="29" t="s">
        <v>1820</v>
      </c>
      <c r="C822" s="28" t="s">
        <v>179</v>
      </c>
      <c r="D822" s="70" t="n">
        <v>5000000</v>
      </c>
      <c r="E822" s="71" t="n">
        <v>0</v>
      </c>
      <c r="F822" s="36" t="n">
        <f aca="false">D822*(1+E822)</f>
        <v>5000000</v>
      </c>
      <c r="G822" s="36" t="n">
        <f aca="false">F822*'Informasi Proyek'!$C$20</f>
        <v>500000</v>
      </c>
      <c r="H822" s="39" t="n">
        <f aca="false">ROUND(F822+G822,0)</f>
        <v>5500000</v>
      </c>
    </row>
    <row r="823" customFormat="false" ht="15" hidden="false" customHeight="false" outlineLevel="0" collapsed="false">
      <c r="A823" s="66" t="s">
        <v>251</v>
      </c>
      <c r="B823" s="29" t="s">
        <v>1821</v>
      </c>
      <c r="C823" s="28" t="s">
        <v>250</v>
      </c>
      <c r="D823" s="70" t="n">
        <v>450000</v>
      </c>
      <c r="E823" s="71" t="n">
        <v>0</v>
      </c>
      <c r="F823" s="36" t="n">
        <f aca="false">D823*(1+E823)</f>
        <v>450000</v>
      </c>
      <c r="G823" s="36" t="n">
        <f aca="false">F823*'Informasi Proyek'!$C$20</f>
        <v>45000</v>
      </c>
      <c r="H823" s="39" t="n">
        <f aca="false">ROUND(F823+G823,0)</f>
        <v>495000</v>
      </c>
    </row>
    <row r="824" customFormat="false" ht="15" hidden="false" customHeight="false" outlineLevel="0" collapsed="false">
      <c r="A824" s="66" t="s">
        <v>254</v>
      </c>
      <c r="B824" s="29" t="s">
        <v>1822</v>
      </c>
      <c r="C824" s="28" t="s">
        <v>250</v>
      </c>
      <c r="D824" s="70" t="n">
        <v>250000</v>
      </c>
      <c r="E824" s="71" t="n">
        <v>0</v>
      </c>
      <c r="F824" s="36" t="n">
        <f aca="false">D824*(1+E824)</f>
        <v>250000</v>
      </c>
      <c r="G824" s="36" t="n">
        <f aca="false">F824*'Informasi Proyek'!$C$20</f>
        <v>25000</v>
      </c>
      <c r="H824" s="39" t="n">
        <f aca="false">ROUND(F824+G824,0)</f>
        <v>275000</v>
      </c>
    </row>
    <row r="825" customFormat="false" ht="15" hidden="false" customHeight="false" outlineLevel="0" collapsed="false">
      <c r="A825" s="66" t="s">
        <v>258</v>
      </c>
      <c r="B825" s="29" t="s">
        <v>1823</v>
      </c>
      <c r="C825" s="28" t="s">
        <v>257</v>
      </c>
      <c r="D825" s="70" t="n">
        <v>1500000</v>
      </c>
      <c r="E825" s="71" t="n">
        <v>0</v>
      </c>
      <c r="F825" s="36" t="n">
        <f aca="false">D825*(1+E825)</f>
        <v>1500000</v>
      </c>
      <c r="G825" s="36" t="n">
        <f aca="false">F825*'Informasi Proyek'!$C$20</f>
        <v>150000</v>
      </c>
      <c r="H825" s="39" t="n">
        <f aca="false">ROUND(F825+G825,0)</f>
        <v>1650000</v>
      </c>
    </row>
    <row r="826" customFormat="false" ht="15" hidden="false" customHeight="false" outlineLevel="0" collapsed="false">
      <c r="A826" s="66" t="s">
        <v>263</v>
      </c>
      <c r="B826" s="29" t="s">
        <v>1824</v>
      </c>
      <c r="C826" s="28" t="s">
        <v>262</v>
      </c>
      <c r="D826" s="70" t="n">
        <v>185000</v>
      </c>
      <c r="E826" s="71" t="n">
        <v>0</v>
      </c>
      <c r="F826" s="36" t="n">
        <f aca="false">D826*(1+E826)</f>
        <v>185000</v>
      </c>
      <c r="G826" s="36" t="n">
        <f aca="false">F826*'Informasi Proyek'!$C$20</f>
        <v>18500</v>
      </c>
      <c r="H826" s="39" t="n">
        <f aca="false">ROUND(F826+G826,0)</f>
        <v>203500</v>
      </c>
    </row>
    <row r="827" customFormat="false" ht="15" hidden="false" customHeight="false" outlineLevel="0" collapsed="false">
      <c r="A827" s="66" t="s">
        <v>266</v>
      </c>
      <c r="B827" s="29" t="s">
        <v>1825</v>
      </c>
      <c r="C827" s="28" t="s">
        <v>257</v>
      </c>
      <c r="D827" s="70" t="n">
        <v>85000</v>
      </c>
      <c r="E827" s="71" t="n">
        <v>0</v>
      </c>
      <c r="F827" s="36" t="n">
        <f aca="false">D827*(1+E827)</f>
        <v>85000</v>
      </c>
      <c r="G827" s="36" t="n">
        <f aca="false">F827*'Informasi Proyek'!$C$20</f>
        <v>8500</v>
      </c>
      <c r="H827" s="39" t="n">
        <f aca="false">ROUND(F827+G827,0)</f>
        <v>93500</v>
      </c>
    </row>
    <row r="828" customFormat="false" ht="15" hidden="false" customHeight="false" outlineLevel="0" collapsed="false">
      <c r="A828" s="66" t="s">
        <v>268</v>
      </c>
      <c r="B828" s="29" t="s">
        <v>1826</v>
      </c>
      <c r="C828" s="28" t="s">
        <v>257</v>
      </c>
      <c r="D828" s="70" t="n">
        <v>55000</v>
      </c>
      <c r="E828" s="71" t="n">
        <v>0</v>
      </c>
      <c r="F828" s="36" t="n">
        <f aca="false">D828*(1+E828)</f>
        <v>55000</v>
      </c>
      <c r="G828" s="36" t="n">
        <f aca="false">F828*'Informasi Proyek'!$C$20</f>
        <v>5500</v>
      </c>
      <c r="H828" s="39" t="n">
        <f aca="false">ROUND(F828+G828,0)</f>
        <v>60500</v>
      </c>
    </row>
    <row r="829" customFormat="false" ht="15" hidden="false" customHeight="false" outlineLevel="0" collapsed="false">
      <c r="A829" s="66" t="s">
        <v>270</v>
      </c>
      <c r="B829" s="29" t="s">
        <v>1827</v>
      </c>
      <c r="C829" s="28" t="s">
        <v>257</v>
      </c>
      <c r="D829" s="70" t="n">
        <v>75000</v>
      </c>
      <c r="E829" s="71" t="n">
        <v>0</v>
      </c>
      <c r="F829" s="36" t="n">
        <f aca="false">D829*(1+E829)</f>
        <v>75000</v>
      </c>
      <c r="G829" s="36" t="n">
        <f aca="false">F829*'Informasi Proyek'!$C$20</f>
        <v>7500</v>
      </c>
      <c r="H829" s="39" t="n">
        <f aca="false">ROUND(F829+G829,0)</f>
        <v>82500</v>
      </c>
    </row>
    <row r="830" customFormat="false" ht="15" hidden="false" customHeight="false" outlineLevel="0" collapsed="false">
      <c r="A830" s="66" t="s">
        <v>273</v>
      </c>
      <c r="B830" s="29" t="s">
        <v>1828</v>
      </c>
      <c r="C830" s="28" t="s">
        <v>272</v>
      </c>
      <c r="D830" s="70" t="n">
        <v>45000</v>
      </c>
      <c r="E830" s="71" t="n">
        <v>0</v>
      </c>
      <c r="F830" s="36" t="n">
        <f aca="false">D830*(1+E830)</f>
        <v>45000</v>
      </c>
      <c r="G830" s="36" t="n">
        <f aca="false">F830*'Informasi Proyek'!$C$20</f>
        <v>4500</v>
      </c>
      <c r="H830" s="39" t="n">
        <f aca="false">ROUND(F830+G830,0)</f>
        <v>49500</v>
      </c>
    </row>
    <row r="831" customFormat="false" ht="15" hidden="false" customHeight="false" outlineLevel="0" collapsed="false">
      <c r="A831" s="66" t="s">
        <v>275</v>
      </c>
      <c r="B831" s="29" t="s">
        <v>1829</v>
      </c>
      <c r="C831" s="28" t="s">
        <v>272</v>
      </c>
      <c r="D831" s="70" t="n">
        <v>380000</v>
      </c>
      <c r="E831" s="71" t="n">
        <v>0</v>
      </c>
      <c r="F831" s="36" t="n">
        <f aca="false">D831*(1+E831)</f>
        <v>380000</v>
      </c>
      <c r="G831" s="36" t="n">
        <f aca="false">F831*'Informasi Proyek'!$C$20</f>
        <v>38000</v>
      </c>
      <c r="H831" s="39" t="n">
        <f aca="false">ROUND(F831+G831,0)</f>
        <v>418000</v>
      </c>
    </row>
    <row r="832" customFormat="false" ht="15" hidden="false" customHeight="false" outlineLevel="0" collapsed="false">
      <c r="A832" s="66" t="s">
        <v>277</v>
      </c>
      <c r="B832" s="29" t="s">
        <v>1830</v>
      </c>
      <c r="C832" s="28" t="s">
        <v>257</v>
      </c>
      <c r="D832" s="70" t="n">
        <v>85000</v>
      </c>
      <c r="E832" s="71" t="n">
        <v>0</v>
      </c>
      <c r="F832" s="36" t="n">
        <f aca="false">D832*(1+E832)</f>
        <v>85000</v>
      </c>
      <c r="G832" s="36" t="n">
        <f aca="false">F832*'Informasi Proyek'!$C$20</f>
        <v>8500</v>
      </c>
      <c r="H832" s="39" t="n">
        <f aca="false">ROUND(F832+G832,0)</f>
        <v>93500</v>
      </c>
    </row>
    <row r="833" customFormat="false" ht="15" hidden="false" customHeight="false" outlineLevel="0" collapsed="false">
      <c r="A833" s="66" t="s">
        <v>280</v>
      </c>
      <c r="B833" s="29" t="s">
        <v>279</v>
      </c>
      <c r="C833" s="28" t="s">
        <v>183</v>
      </c>
      <c r="D833" s="70" t="n">
        <v>3500000</v>
      </c>
      <c r="E833" s="71" t="n">
        <v>0</v>
      </c>
      <c r="F833" s="36" t="n">
        <f aca="false">D833*(1+E833)</f>
        <v>3500000</v>
      </c>
      <c r="G833" s="36" t="n">
        <f aca="false">F833*'Informasi Proyek'!$C$20</f>
        <v>350000</v>
      </c>
      <c r="H833" s="39" t="n">
        <f aca="false">ROUND(F833+G833,0)</f>
        <v>3850000</v>
      </c>
    </row>
    <row r="834" customFormat="false" ht="15" hidden="false" customHeight="false" outlineLevel="0" collapsed="false">
      <c r="A834" s="66" t="s">
        <v>283</v>
      </c>
      <c r="B834" s="29" t="s">
        <v>1831</v>
      </c>
      <c r="C834" s="28" t="s">
        <v>257</v>
      </c>
      <c r="D834" s="70" t="n">
        <v>350000</v>
      </c>
      <c r="E834" s="71" t="n">
        <v>0</v>
      </c>
      <c r="F834" s="36" t="n">
        <f aca="false">D834*(1+E834)</f>
        <v>350000</v>
      </c>
      <c r="G834" s="36" t="n">
        <f aca="false">F834*'Informasi Proyek'!$C$20</f>
        <v>35000</v>
      </c>
      <c r="H834" s="39" t="n">
        <f aca="false">ROUND(F834+G834,0)</f>
        <v>385000</v>
      </c>
    </row>
    <row r="835" customFormat="false" ht="15" hidden="false" customHeight="false" outlineLevel="0" collapsed="false">
      <c r="A835" s="66" t="s">
        <v>291</v>
      </c>
      <c r="B835" s="29" t="s">
        <v>290</v>
      </c>
      <c r="C835" s="28" t="s">
        <v>257</v>
      </c>
      <c r="D835" s="70" t="n">
        <v>450000</v>
      </c>
      <c r="E835" s="71" t="n">
        <v>0</v>
      </c>
      <c r="F835" s="36" t="n">
        <f aca="false">D835*(1+E835)</f>
        <v>450000</v>
      </c>
      <c r="G835" s="36" t="n">
        <f aca="false">F835*'Informasi Proyek'!$C$20</f>
        <v>45000</v>
      </c>
      <c r="H835" s="39" t="n">
        <f aca="false">ROUND(F835+G835,0)</f>
        <v>495000</v>
      </c>
    </row>
    <row r="836" customFormat="false" ht="15" hidden="false" customHeight="false" outlineLevel="0" collapsed="false">
      <c r="A836" s="66" t="s">
        <v>293</v>
      </c>
      <c r="B836" s="29" t="s">
        <v>1832</v>
      </c>
      <c r="C836" s="28" t="s">
        <v>257</v>
      </c>
      <c r="D836" s="70" t="n">
        <v>250000</v>
      </c>
      <c r="E836" s="71" t="n">
        <v>0</v>
      </c>
      <c r="F836" s="36" t="n">
        <f aca="false">D836*(1+E836)</f>
        <v>250000</v>
      </c>
      <c r="G836" s="36" t="n">
        <f aca="false">F836*'Informasi Proyek'!$C$20</f>
        <v>25000</v>
      </c>
      <c r="H836" s="39" t="n">
        <f aca="false">ROUND(F836+G836,0)</f>
        <v>275000</v>
      </c>
    </row>
    <row r="837" customFormat="false" ht="15" hidden="false" customHeight="false" outlineLevel="0" collapsed="false">
      <c r="A837" s="66" t="s">
        <v>296</v>
      </c>
      <c r="B837" s="29" t="s">
        <v>1833</v>
      </c>
      <c r="C837" s="28" t="s">
        <v>257</v>
      </c>
      <c r="D837" s="70" t="n">
        <v>650000</v>
      </c>
      <c r="E837" s="71" t="n">
        <v>0</v>
      </c>
      <c r="F837" s="36" t="n">
        <f aca="false">D837*(1+E837)</f>
        <v>650000</v>
      </c>
      <c r="G837" s="36" t="n">
        <f aca="false">F837*'Informasi Proyek'!$C$20</f>
        <v>65000</v>
      </c>
      <c r="H837" s="39" t="n">
        <f aca="false">ROUND(F837+G837,0)</f>
        <v>715000</v>
      </c>
    </row>
    <row r="838" customFormat="false" ht="15" hidden="false" customHeight="false" outlineLevel="0" collapsed="false">
      <c r="A838" s="66" t="s">
        <v>298</v>
      </c>
      <c r="B838" s="29" t="s">
        <v>297</v>
      </c>
      <c r="C838" s="28" t="s">
        <v>257</v>
      </c>
      <c r="D838" s="70" t="n">
        <v>150000</v>
      </c>
      <c r="E838" s="71" t="n">
        <v>0</v>
      </c>
      <c r="F838" s="36" t="n">
        <f aca="false">D838*(1+E838)</f>
        <v>150000</v>
      </c>
      <c r="G838" s="36" t="n">
        <f aca="false">F838*'Informasi Proyek'!$C$20</f>
        <v>15000</v>
      </c>
      <c r="H838" s="39" t="n">
        <f aca="false">ROUND(F838+G838,0)</f>
        <v>165000</v>
      </c>
    </row>
    <row r="839" customFormat="false" ht="15" hidden="false" customHeight="false" outlineLevel="0" collapsed="false">
      <c r="A839" s="66" t="s">
        <v>343</v>
      </c>
      <c r="B839" s="29" t="s">
        <v>1834</v>
      </c>
      <c r="C839" s="28" t="s">
        <v>342</v>
      </c>
      <c r="D839" s="70" t="n">
        <v>6800000</v>
      </c>
      <c r="E839" s="71" t="n">
        <v>0</v>
      </c>
      <c r="F839" s="36" t="n">
        <f aca="false">D839*(1+E839)</f>
        <v>6800000</v>
      </c>
      <c r="G839" s="36" t="n">
        <f aca="false">F839*'Informasi Proyek'!$C$20</f>
        <v>680000</v>
      </c>
      <c r="H839" s="39" t="n">
        <f aca="false">ROUND(F839+G839,0)</f>
        <v>7480000</v>
      </c>
    </row>
    <row r="840" customFormat="false" ht="15" hidden="false" customHeight="false" outlineLevel="0" collapsed="false">
      <c r="A840" s="66" t="s">
        <v>345</v>
      </c>
      <c r="B840" s="29" t="s">
        <v>1835</v>
      </c>
      <c r="C840" s="28" t="s">
        <v>262</v>
      </c>
      <c r="D840" s="70" t="n">
        <v>165000</v>
      </c>
      <c r="E840" s="71" t="n">
        <v>0</v>
      </c>
      <c r="F840" s="36" t="n">
        <f aca="false">D840*(1+E840)</f>
        <v>165000</v>
      </c>
      <c r="G840" s="36" t="n">
        <f aca="false">F840*'Informasi Proyek'!$C$20</f>
        <v>16500</v>
      </c>
      <c r="H840" s="39" t="n">
        <f aca="false">ROUND(F840+G840,0)</f>
        <v>181500</v>
      </c>
    </row>
    <row r="841" customFormat="false" ht="15" hidden="false" customHeight="false" outlineLevel="0" collapsed="false">
      <c r="A841" s="66" t="s">
        <v>347</v>
      </c>
      <c r="B841" s="29" t="s">
        <v>1836</v>
      </c>
      <c r="C841" s="28" t="s">
        <v>191</v>
      </c>
      <c r="D841" s="70" t="n">
        <v>285000</v>
      </c>
      <c r="E841" s="71" t="n">
        <v>0</v>
      </c>
      <c r="F841" s="36" t="n">
        <f aca="false">D841*(1+E841)</f>
        <v>285000</v>
      </c>
      <c r="G841" s="36" t="n">
        <f aca="false">F841*'Informasi Proyek'!$C$20</f>
        <v>28500</v>
      </c>
      <c r="H841" s="39" t="n">
        <f aca="false">ROUND(F841+G841,0)</f>
        <v>313500</v>
      </c>
    </row>
    <row r="842" customFormat="false" ht="15" hidden="false" customHeight="false" outlineLevel="0" collapsed="false">
      <c r="A842" s="66" t="s">
        <v>411</v>
      </c>
      <c r="B842" s="29" t="s">
        <v>1837</v>
      </c>
      <c r="C842" s="28" t="s">
        <v>331</v>
      </c>
      <c r="D842" s="70" t="n">
        <v>520000</v>
      </c>
      <c r="E842" s="71" t="n">
        <v>0.25</v>
      </c>
      <c r="F842" s="36" t="n">
        <f aca="false">D842*(1+E842)</f>
        <v>650000</v>
      </c>
      <c r="G842" s="36" t="n">
        <f aca="false">F842*'Informasi Proyek'!$C$20</f>
        <v>65000</v>
      </c>
      <c r="H842" s="39" t="n">
        <f aca="false">ROUND(F842+G842,0)</f>
        <v>715000</v>
      </c>
    </row>
    <row r="843" customFormat="false" ht="15" hidden="false" customHeight="false" outlineLevel="0" collapsed="false">
      <c r="A843" s="66" t="s">
        <v>414</v>
      </c>
      <c r="B843" s="29" t="s">
        <v>1838</v>
      </c>
      <c r="C843" s="28" t="s">
        <v>183</v>
      </c>
      <c r="D843" s="70" t="n">
        <v>165000000</v>
      </c>
      <c r="E843" s="71" t="n">
        <v>0</v>
      </c>
      <c r="F843" s="36" t="n">
        <f aca="false">D843*(1+E843)</f>
        <v>165000000</v>
      </c>
      <c r="G843" s="36" t="n">
        <f aca="false">F843*'Informasi Proyek'!$C$20</f>
        <v>16500000</v>
      </c>
      <c r="H843" s="39" t="n">
        <f aca="false">ROUND(F843+G843,0)</f>
        <v>181500000</v>
      </c>
    </row>
    <row r="844" customFormat="false" ht="15" hidden="false" customHeight="false" outlineLevel="0" collapsed="false">
      <c r="A844" s="66" t="s">
        <v>416</v>
      </c>
      <c r="B844" s="29" t="s">
        <v>1839</v>
      </c>
      <c r="C844" s="28" t="s">
        <v>183</v>
      </c>
      <c r="D844" s="70" t="n">
        <v>195000000</v>
      </c>
      <c r="E844" s="71" t="n">
        <v>0</v>
      </c>
      <c r="F844" s="36" t="n">
        <f aca="false">D844*(1+E844)</f>
        <v>195000000</v>
      </c>
      <c r="G844" s="36" t="n">
        <f aca="false">F844*'Informasi Proyek'!$C$20</f>
        <v>19500000</v>
      </c>
      <c r="H844" s="39" t="n">
        <f aca="false">ROUND(F844+G844,0)</f>
        <v>214500000</v>
      </c>
    </row>
    <row r="845" customFormat="false" ht="15" hidden="false" customHeight="false" outlineLevel="0" collapsed="false">
      <c r="A845" s="66" t="s">
        <v>418</v>
      </c>
      <c r="B845" s="29" t="s">
        <v>1840</v>
      </c>
      <c r="C845" s="28" t="s">
        <v>183</v>
      </c>
      <c r="D845" s="70" t="n">
        <v>165000000</v>
      </c>
      <c r="E845" s="71" t="n">
        <v>0</v>
      </c>
      <c r="F845" s="36" t="n">
        <f aca="false">D845*(1+E845)</f>
        <v>165000000</v>
      </c>
      <c r="G845" s="36" t="n">
        <f aca="false">F845*'Informasi Proyek'!$C$20</f>
        <v>16500000</v>
      </c>
      <c r="H845" s="39" t="n">
        <f aca="false">ROUND(F845+G845,0)</f>
        <v>181500000</v>
      </c>
    </row>
    <row r="846" customFormat="false" ht="15" hidden="false" customHeight="false" outlineLevel="0" collapsed="false">
      <c r="A846" s="66" t="s">
        <v>420</v>
      </c>
      <c r="B846" s="29" t="s">
        <v>1841</v>
      </c>
      <c r="C846" s="28" t="s">
        <v>183</v>
      </c>
      <c r="D846" s="70" t="n">
        <v>120000000</v>
      </c>
      <c r="E846" s="71" t="n">
        <v>0</v>
      </c>
      <c r="F846" s="36" t="n">
        <f aca="false">D846*(1+E846)</f>
        <v>120000000</v>
      </c>
      <c r="G846" s="36" t="n">
        <f aca="false">F846*'Informasi Proyek'!$C$20</f>
        <v>12000000</v>
      </c>
      <c r="H846" s="39" t="n">
        <f aca="false">ROUND(F846+G846,0)</f>
        <v>132000000</v>
      </c>
    </row>
    <row r="847" customFormat="false" ht="15" hidden="false" customHeight="false" outlineLevel="0" collapsed="false">
      <c r="A847" s="66" t="s">
        <v>422</v>
      </c>
      <c r="B847" s="29" t="s">
        <v>1842</v>
      </c>
      <c r="C847" s="28" t="s">
        <v>183</v>
      </c>
      <c r="D847" s="70" t="n">
        <v>95000000</v>
      </c>
      <c r="E847" s="71" t="n">
        <v>0</v>
      </c>
      <c r="F847" s="36" t="n">
        <f aca="false">D847*(1+E847)</f>
        <v>95000000</v>
      </c>
      <c r="G847" s="36" t="n">
        <f aca="false">F847*'Informasi Proyek'!$C$20</f>
        <v>9500000</v>
      </c>
      <c r="H847" s="39" t="n">
        <f aca="false">ROUND(F847+G847,0)</f>
        <v>104500000</v>
      </c>
    </row>
    <row r="848" customFormat="false" ht="15" hidden="false" customHeight="false" outlineLevel="0" collapsed="false">
      <c r="A848" s="66" t="s">
        <v>425</v>
      </c>
      <c r="B848" s="29" t="s">
        <v>1843</v>
      </c>
      <c r="C848" s="28" t="s">
        <v>183</v>
      </c>
      <c r="D848" s="70" t="n">
        <v>60000000</v>
      </c>
      <c r="E848" s="71" t="n">
        <v>0</v>
      </c>
      <c r="F848" s="36" t="n">
        <f aca="false">D848*(1+E848)</f>
        <v>60000000</v>
      </c>
      <c r="G848" s="36" t="n">
        <f aca="false">F848*'Informasi Proyek'!$C$20</f>
        <v>6000000</v>
      </c>
      <c r="H848" s="39" t="n">
        <f aca="false">ROUND(F848+G848,0)</f>
        <v>66000000</v>
      </c>
    </row>
    <row r="849" customFormat="false" ht="15" hidden="false" customHeight="false" outlineLevel="0" collapsed="false">
      <c r="A849" s="66" t="s">
        <v>427</v>
      </c>
      <c r="B849" s="29" t="s">
        <v>1844</v>
      </c>
      <c r="C849" s="28" t="s">
        <v>183</v>
      </c>
      <c r="D849" s="70" t="n">
        <v>85000000</v>
      </c>
      <c r="E849" s="71" t="n">
        <v>0</v>
      </c>
      <c r="F849" s="36" t="n">
        <f aca="false">D849*(1+E849)</f>
        <v>85000000</v>
      </c>
      <c r="G849" s="36" t="n">
        <f aca="false">F849*'Informasi Proyek'!$C$20</f>
        <v>8500000</v>
      </c>
      <c r="H849" s="39" t="n">
        <f aca="false">ROUND(F849+G849,0)</f>
        <v>93500000</v>
      </c>
    </row>
    <row r="850" customFormat="false" ht="15" hidden="false" customHeight="false" outlineLevel="0" collapsed="false">
      <c r="A850" s="66" t="s">
        <v>429</v>
      </c>
      <c r="B850" s="29" t="s">
        <v>1845</v>
      </c>
      <c r="C850" s="28" t="s">
        <v>331</v>
      </c>
      <c r="D850" s="70" t="n">
        <v>4500000</v>
      </c>
      <c r="E850" s="71" t="n">
        <v>0</v>
      </c>
      <c r="F850" s="36" t="n">
        <f aca="false">D850*(1+E850)</f>
        <v>4500000</v>
      </c>
      <c r="G850" s="36" t="n">
        <f aca="false">F850*'Informasi Proyek'!$C$20</f>
        <v>450000</v>
      </c>
      <c r="H850" s="39" t="n">
        <f aca="false">ROUND(F850+G850,0)</f>
        <v>4950000</v>
      </c>
    </row>
    <row r="851" customFormat="false" ht="15" hidden="false" customHeight="false" outlineLevel="0" collapsed="false">
      <c r="A851" s="66" t="s">
        <v>432</v>
      </c>
      <c r="B851" s="29" t="s">
        <v>1846</v>
      </c>
      <c r="C851" s="28" t="s">
        <v>1728</v>
      </c>
      <c r="D851" s="70" t="n">
        <v>2100000</v>
      </c>
      <c r="E851" s="71" t="n">
        <v>0.1</v>
      </c>
      <c r="F851" s="36" t="n">
        <f aca="false">D851*(1+E851)</f>
        <v>2310000</v>
      </c>
      <c r="G851" s="36" t="n">
        <f aca="false">F851*'Informasi Proyek'!$C$20</f>
        <v>231000</v>
      </c>
      <c r="H851" s="39" t="n">
        <f aca="false">ROUND(F851+G851,0)</f>
        <v>2541000</v>
      </c>
    </row>
    <row r="852" customFormat="false" ht="15" hidden="false" customHeight="false" outlineLevel="0" collapsed="false">
      <c r="A852" s="66" t="s">
        <v>455</v>
      </c>
      <c r="B852" s="29" t="s">
        <v>1847</v>
      </c>
      <c r="C852" s="28" t="s">
        <v>183</v>
      </c>
      <c r="D852" s="70" t="n">
        <v>16500000</v>
      </c>
      <c r="E852" s="71" t="n">
        <v>0.08</v>
      </c>
      <c r="F852" s="36" t="n">
        <f aca="false">D852*(1+E852)</f>
        <v>17820000</v>
      </c>
      <c r="G852" s="36" t="n">
        <f aca="false">F852*'Informasi Proyek'!$C$20</f>
        <v>1782000</v>
      </c>
      <c r="H852" s="39" t="n">
        <f aca="false">ROUND(F852+G852,0)</f>
        <v>19602000</v>
      </c>
    </row>
    <row r="853" customFormat="false" ht="15" hidden="false" customHeight="false" outlineLevel="0" collapsed="false">
      <c r="A853" s="66" t="s">
        <v>457</v>
      </c>
      <c r="B853" s="29" t="s">
        <v>1848</v>
      </c>
      <c r="C853" s="28" t="s">
        <v>183</v>
      </c>
      <c r="D853" s="70" t="n">
        <v>14500000</v>
      </c>
      <c r="E853" s="71" t="n">
        <v>0.08</v>
      </c>
      <c r="F853" s="36" t="n">
        <f aca="false">D853*(1+E853)</f>
        <v>15660000</v>
      </c>
      <c r="G853" s="36" t="n">
        <f aca="false">F853*'Informasi Proyek'!$C$20</f>
        <v>1566000</v>
      </c>
      <c r="H853" s="39" t="n">
        <f aca="false">ROUND(F853+G853,0)</f>
        <v>17226000</v>
      </c>
    </row>
    <row r="854" customFormat="false" ht="15" hidden="false" customHeight="false" outlineLevel="0" collapsed="false">
      <c r="A854" s="66" t="s">
        <v>459</v>
      </c>
      <c r="B854" s="29" t="s">
        <v>1849</v>
      </c>
      <c r="C854" s="28" t="s">
        <v>183</v>
      </c>
      <c r="D854" s="70" t="n">
        <v>9500000</v>
      </c>
      <c r="E854" s="71" t="n">
        <v>0.08</v>
      </c>
      <c r="F854" s="36" t="n">
        <f aca="false">D854*(1+E854)</f>
        <v>10260000</v>
      </c>
      <c r="G854" s="36" t="n">
        <f aca="false">F854*'Informasi Proyek'!$C$20</f>
        <v>1026000</v>
      </c>
      <c r="H854" s="39" t="n">
        <f aca="false">ROUND(F854+G854,0)</f>
        <v>11286000</v>
      </c>
    </row>
    <row r="855" customFormat="false" ht="15" hidden="false" customHeight="false" outlineLevel="0" collapsed="false">
      <c r="A855" s="66" t="s">
        <v>461</v>
      </c>
      <c r="B855" s="29" t="s">
        <v>1850</v>
      </c>
      <c r="C855" s="28" t="s">
        <v>183</v>
      </c>
      <c r="D855" s="70" t="n">
        <v>4250000</v>
      </c>
      <c r="E855" s="71" t="n">
        <v>0.08</v>
      </c>
      <c r="F855" s="36" t="n">
        <f aca="false">D855*(1+E855)</f>
        <v>4590000</v>
      </c>
      <c r="G855" s="36" t="n">
        <f aca="false">F855*'Informasi Proyek'!$C$20</f>
        <v>459000</v>
      </c>
      <c r="H855" s="39" t="n">
        <f aca="false">ROUND(F855+G855,0)</f>
        <v>5049000</v>
      </c>
    </row>
    <row r="856" customFormat="false" ht="15" hidden="false" customHeight="false" outlineLevel="0" collapsed="false">
      <c r="A856" s="66" t="s">
        <v>463</v>
      </c>
      <c r="B856" s="29" t="s">
        <v>1851</v>
      </c>
      <c r="C856" s="28" t="s">
        <v>183</v>
      </c>
      <c r="D856" s="70" t="n">
        <v>3600000</v>
      </c>
      <c r="E856" s="71" t="n">
        <v>0.08</v>
      </c>
      <c r="F856" s="36" t="n">
        <f aca="false">D856*(1+E856)</f>
        <v>3888000</v>
      </c>
      <c r="G856" s="36" t="n">
        <f aca="false">F856*'Informasi Proyek'!$C$20</f>
        <v>388800</v>
      </c>
      <c r="H856" s="39" t="n">
        <f aca="false">ROUND(F856+G856,0)</f>
        <v>4276800</v>
      </c>
    </row>
    <row r="857" customFormat="false" ht="15" hidden="false" customHeight="false" outlineLevel="0" collapsed="false">
      <c r="A857" s="66" t="s">
        <v>465</v>
      </c>
      <c r="B857" s="29" t="s">
        <v>1852</v>
      </c>
      <c r="C857" s="28" t="s">
        <v>183</v>
      </c>
      <c r="D857" s="70" t="n">
        <v>2350000</v>
      </c>
      <c r="E857" s="71" t="n">
        <v>0.08</v>
      </c>
      <c r="F857" s="36" t="n">
        <f aca="false">D857*(1+E857)</f>
        <v>2538000</v>
      </c>
      <c r="G857" s="36" t="n">
        <f aca="false">F857*'Informasi Proyek'!$C$20</f>
        <v>253800</v>
      </c>
      <c r="H857" s="39" t="n">
        <f aca="false">ROUND(F857+G857,0)</f>
        <v>2791800</v>
      </c>
    </row>
    <row r="858" customFormat="false" ht="15" hidden="false" customHeight="false" outlineLevel="0" collapsed="false">
      <c r="A858" s="66" t="s">
        <v>467</v>
      </c>
      <c r="B858" s="29" t="s">
        <v>1853</v>
      </c>
      <c r="C858" s="28" t="s">
        <v>183</v>
      </c>
      <c r="D858" s="70" t="n">
        <v>3100000</v>
      </c>
      <c r="E858" s="71" t="n">
        <v>0.08</v>
      </c>
      <c r="F858" s="36" t="n">
        <f aca="false">D858*(1+E858)</f>
        <v>3348000</v>
      </c>
      <c r="G858" s="36" t="n">
        <f aca="false">F858*'Informasi Proyek'!$C$20</f>
        <v>334800</v>
      </c>
      <c r="H858" s="39" t="n">
        <f aca="false">ROUND(F858+G858,0)</f>
        <v>3682800</v>
      </c>
    </row>
    <row r="859" customFormat="false" ht="15" hidden="false" customHeight="false" outlineLevel="0" collapsed="false">
      <c r="A859" s="66" t="s">
        <v>469</v>
      </c>
      <c r="B859" s="29" t="s">
        <v>1854</v>
      </c>
      <c r="C859" s="28" t="s">
        <v>183</v>
      </c>
      <c r="D859" s="70" t="n">
        <v>2200000</v>
      </c>
      <c r="E859" s="71" t="n">
        <v>0.08</v>
      </c>
      <c r="F859" s="36" t="n">
        <f aca="false">D859*(1+E859)</f>
        <v>2376000</v>
      </c>
      <c r="G859" s="36" t="n">
        <f aca="false">F859*'Informasi Proyek'!$C$20</f>
        <v>237600</v>
      </c>
      <c r="H859" s="39" t="n">
        <f aca="false">ROUND(F859+G859,0)</f>
        <v>2613600</v>
      </c>
    </row>
    <row r="860" customFormat="false" ht="15" hidden="false" customHeight="false" outlineLevel="0" collapsed="false">
      <c r="A860" s="66" t="s">
        <v>471</v>
      </c>
      <c r="B860" s="29" t="s">
        <v>1855</v>
      </c>
      <c r="C860" s="28" t="s">
        <v>183</v>
      </c>
      <c r="D860" s="70" t="n">
        <v>2800000</v>
      </c>
      <c r="E860" s="71" t="n">
        <v>0.08</v>
      </c>
      <c r="F860" s="36" t="n">
        <f aca="false">D860*(1+E860)</f>
        <v>3024000</v>
      </c>
      <c r="G860" s="36" t="n">
        <f aca="false">F860*'Informasi Proyek'!$C$20</f>
        <v>302400</v>
      </c>
      <c r="H860" s="39" t="n">
        <f aca="false">ROUND(F860+G860,0)</f>
        <v>3326400</v>
      </c>
    </row>
    <row r="861" customFormat="false" ht="15" hidden="false" customHeight="false" outlineLevel="0" collapsed="false">
      <c r="A861" s="66" t="s">
        <v>473</v>
      </c>
      <c r="B861" s="29" t="s">
        <v>1856</v>
      </c>
      <c r="C861" s="28" t="s">
        <v>183</v>
      </c>
      <c r="D861" s="70" t="n">
        <v>850000</v>
      </c>
      <c r="E861" s="71" t="n">
        <v>0.08</v>
      </c>
      <c r="F861" s="36" t="n">
        <f aca="false">D861*(1+E861)</f>
        <v>918000</v>
      </c>
      <c r="G861" s="36" t="n">
        <f aca="false">F861*'Informasi Proyek'!$C$20</f>
        <v>91800</v>
      </c>
      <c r="H861" s="39" t="n">
        <f aca="false">ROUND(F861+G861,0)</f>
        <v>1009800</v>
      </c>
    </row>
    <row r="862" customFormat="false" ht="15" hidden="false" customHeight="false" outlineLevel="0" collapsed="false">
      <c r="A862" s="66" t="s">
        <v>475</v>
      </c>
      <c r="B862" s="29" t="s">
        <v>1857</v>
      </c>
      <c r="C862" s="28" t="s">
        <v>183</v>
      </c>
      <c r="D862" s="70" t="n">
        <v>650000</v>
      </c>
      <c r="E862" s="71" t="n">
        <v>0.08</v>
      </c>
      <c r="F862" s="36" t="n">
        <f aca="false">D862*(1+E862)</f>
        <v>702000</v>
      </c>
      <c r="G862" s="36" t="n">
        <f aca="false">F862*'Informasi Proyek'!$C$20</f>
        <v>70200</v>
      </c>
      <c r="H862" s="39" t="n">
        <f aca="false">ROUND(F862+G862,0)</f>
        <v>772200</v>
      </c>
    </row>
    <row r="863" customFormat="false" ht="15" hidden="false" customHeight="false" outlineLevel="0" collapsed="false">
      <c r="A863" s="66" t="s">
        <v>477</v>
      </c>
      <c r="B863" s="29" t="s">
        <v>1858</v>
      </c>
      <c r="C863" s="28" t="s">
        <v>183</v>
      </c>
      <c r="D863" s="70" t="n">
        <v>3000000</v>
      </c>
      <c r="E863" s="71" t="n">
        <v>0.08</v>
      </c>
      <c r="F863" s="36" t="n">
        <f aca="false">D863*(1+E863)</f>
        <v>3240000</v>
      </c>
      <c r="G863" s="36" t="n">
        <f aca="false">F863*'Informasi Proyek'!$C$20</f>
        <v>324000</v>
      </c>
      <c r="H863" s="39" t="n">
        <f aca="false">ROUND(F863+G863,0)</f>
        <v>3564000</v>
      </c>
    </row>
    <row r="864" customFormat="false" ht="15" hidden="false" customHeight="false" outlineLevel="0" collapsed="false">
      <c r="A864" s="66" t="s">
        <v>494</v>
      </c>
      <c r="B864" s="29" t="s">
        <v>1859</v>
      </c>
      <c r="C864" s="28" t="s">
        <v>331</v>
      </c>
      <c r="D864" s="70" t="n">
        <v>195000</v>
      </c>
      <c r="E864" s="71" t="n">
        <v>0.25</v>
      </c>
      <c r="F864" s="36" t="n">
        <f aca="false">D864*(1+E864)</f>
        <v>243750</v>
      </c>
      <c r="G864" s="36" t="n">
        <f aca="false">F864*'Informasi Proyek'!$C$20</f>
        <v>24375</v>
      </c>
      <c r="H864" s="39" t="n">
        <f aca="false">ROUND(F864+G864,0)</f>
        <v>268125</v>
      </c>
    </row>
    <row r="865" customFormat="false" ht="15" hidden="false" customHeight="false" outlineLevel="0" collapsed="false">
      <c r="A865" s="66" t="s">
        <v>496</v>
      </c>
      <c r="B865" s="29" t="s">
        <v>1860</v>
      </c>
      <c r="C865" s="28" t="s">
        <v>1861</v>
      </c>
      <c r="D865" s="70" t="n">
        <v>145000</v>
      </c>
      <c r="E865" s="71" t="n">
        <v>0.25</v>
      </c>
      <c r="F865" s="36" t="n">
        <f aca="false">D865*(1+E865)</f>
        <v>181250</v>
      </c>
      <c r="G865" s="36" t="n">
        <f aca="false">F865*'Informasi Proyek'!$C$20</f>
        <v>18125</v>
      </c>
      <c r="H865" s="39" t="n">
        <f aca="false">ROUND(F865+G865,0)</f>
        <v>199375</v>
      </c>
    </row>
    <row r="866" customFormat="false" ht="15" hidden="false" customHeight="false" outlineLevel="0" collapsed="false">
      <c r="A866" s="66" t="s">
        <v>498</v>
      </c>
      <c r="B866" s="29" t="s">
        <v>1862</v>
      </c>
      <c r="C866" s="28" t="s">
        <v>1728</v>
      </c>
      <c r="D866" s="70" t="n">
        <v>95000</v>
      </c>
      <c r="E866" s="71" t="n">
        <v>0.2</v>
      </c>
      <c r="F866" s="36" t="n">
        <f aca="false">D866*(1+E866)</f>
        <v>114000</v>
      </c>
      <c r="G866" s="36" t="n">
        <f aca="false">F866*'Informasi Proyek'!$C$20</f>
        <v>11400</v>
      </c>
      <c r="H866" s="39" t="n">
        <f aca="false">ROUND(F866+G866,0)</f>
        <v>125400</v>
      </c>
    </row>
    <row r="867" customFormat="false" ht="15" hidden="false" customHeight="false" outlineLevel="0" collapsed="false">
      <c r="A867" s="66" t="s">
        <v>514</v>
      </c>
      <c r="B867" s="29" t="s">
        <v>1863</v>
      </c>
      <c r="C867" s="28" t="s">
        <v>206</v>
      </c>
      <c r="D867" s="70" t="n">
        <v>1150000</v>
      </c>
      <c r="E867" s="71" t="n">
        <v>0.2</v>
      </c>
      <c r="F867" s="36" t="n">
        <f aca="false">D867*(1+E867)</f>
        <v>1380000</v>
      </c>
      <c r="G867" s="36" t="n">
        <f aca="false">F867*'Informasi Proyek'!$C$20</f>
        <v>138000</v>
      </c>
      <c r="H867" s="39" t="n">
        <f aca="false">ROUND(F867+G867,0)</f>
        <v>1518000</v>
      </c>
    </row>
    <row r="868" customFormat="false" ht="15" hidden="false" customHeight="false" outlineLevel="0" collapsed="false">
      <c r="A868" s="66" t="s">
        <v>521</v>
      </c>
      <c r="B868" s="29" t="s">
        <v>1864</v>
      </c>
      <c r="C868" s="28" t="s">
        <v>520</v>
      </c>
      <c r="D868" s="70" t="n">
        <v>650000</v>
      </c>
      <c r="E868" s="71" t="n">
        <v>0</v>
      </c>
      <c r="F868" s="36" t="n">
        <f aca="false">D868*(1+E868)</f>
        <v>650000</v>
      </c>
      <c r="G868" s="36" t="n">
        <f aca="false">F868*'Informasi Proyek'!$C$20</f>
        <v>65000</v>
      </c>
      <c r="H868" s="39" t="n">
        <f aca="false">ROUND(F868+G868,0)</f>
        <v>715000</v>
      </c>
    </row>
    <row r="869" customFormat="false" ht="15" hidden="false" customHeight="false" outlineLevel="0" collapsed="false">
      <c r="A869" s="66" t="s">
        <v>527</v>
      </c>
      <c r="B869" s="29" t="s">
        <v>1865</v>
      </c>
      <c r="C869" s="28" t="s">
        <v>520</v>
      </c>
      <c r="D869" s="70" t="n">
        <v>7800000</v>
      </c>
      <c r="E869" s="71" t="n">
        <v>0</v>
      </c>
      <c r="F869" s="36" t="n">
        <f aca="false">D869*(1+E869)</f>
        <v>7800000</v>
      </c>
      <c r="G869" s="36" t="n">
        <f aca="false">F869*'Informasi Proyek'!$C$20</f>
        <v>780000</v>
      </c>
      <c r="H869" s="39" t="n">
        <f aca="false">ROUND(F869+G869,0)</f>
        <v>8580000</v>
      </c>
    </row>
    <row r="870" customFormat="false" ht="15" hidden="false" customHeight="false" outlineLevel="0" collapsed="false">
      <c r="A870" s="66" t="s">
        <v>529</v>
      </c>
      <c r="B870" s="29" t="s">
        <v>1866</v>
      </c>
      <c r="C870" s="28" t="s">
        <v>520</v>
      </c>
      <c r="D870" s="70" t="n">
        <v>9200000</v>
      </c>
      <c r="E870" s="71" t="n">
        <v>0</v>
      </c>
      <c r="F870" s="36" t="n">
        <f aca="false">D870*(1+E870)</f>
        <v>9200000</v>
      </c>
      <c r="G870" s="36" t="n">
        <f aca="false">F870*'Informasi Proyek'!$C$20</f>
        <v>920000</v>
      </c>
      <c r="H870" s="39" t="n">
        <f aca="false">ROUND(F870+G870,0)</f>
        <v>10120000</v>
      </c>
    </row>
    <row r="871" customFormat="false" ht="15" hidden="false" customHeight="false" outlineLevel="0" collapsed="false">
      <c r="A871" s="66" t="s">
        <v>531</v>
      </c>
      <c r="B871" s="29" t="s">
        <v>1867</v>
      </c>
      <c r="C871" s="28" t="s">
        <v>520</v>
      </c>
      <c r="D871" s="70" t="n">
        <v>11800000</v>
      </c>
      <c r="E871" s="71" t="n">
        <v>0</v>
      </c>
      <c r="F871" s="36" t="n">
        <f aca="false">D871*(1+E871)</f>
        <v>11800000</v>
      </c>
      <c r="G871" s="36" t="n">
        <f aca="false">F871*'Informasi Proyek'!$C$20</f>
        <v>1180000</v>
      </c>
      <c r="H871" s="39" t="n">
        <f aca="false">ROUND(F871+G871,0)</f>
        <v>12980000</v>
      </c>
    </row>
    <row r="872" customFormat="false" ht="15" hidden="false" customHeight="false" outlineLevel="0" collapsed="false">
      <c r="A872" s="66" t="s">
        <v>533</v>
      </c>
      <c r="B872" s="29" t="s">
        <v>1868</v>
      </c>
      <c r="C872" s="28" t="s">
        <v>520</v>
      </c>
      <c r="D872" s="70" t="n">
        <v>12500000</v>
      </c>
      <c r="E872" s="71" t="n">
        <v>0</v>
      </c>
      <c r="F872" s="36" t="n">
        <f aca="false">D872*(1+E872)</f>
        <v>12500000</v>
      </c>
      <c r="G872" s="36" t="n">
        <f aca="false">F872*'Informasi Proyek'!$C$20</f>
        <v>1250000</v>
      </c>
      <c r="H872" s="39" t="n">
        <f aca="false">ROUND(F872+G872,0)</f>
        <v>13750000</v>
      </c>
    </row>
    <row r="873" customFormat="false" ht="15" hidden="false" customHeight="false" outlineLevel="0" collapsed="false">
      <c r="A873" s="66" t="s">
        <v>535</v>
      </c>
      <c r="B873" s="29" t="s">
        <v>1869</v>
      </c>
      <c r="C873" s="28" t="s">
        <v>520</v>
      </c>
      <c r="D873" s="70" t="n">
        <v>14500000</v>
      </c>
      <c r="E873" s="71" t="n">
        <v>0</v>
      </c>
      <c r="F873" s="36" t="n">
        <f aca="false">D873*(1+E873)</f>
        <v>14500000</v>
      </c>
      <c r="G873" s="36" t="n">
        <f aca="false">F873*'Informasi Proyek'!$C$20</f>
        <v>1450000</v>
      </c>
      <c r="H873" s="39" t="n">
        <f aca="false">ROUND(F873+G873,0)</f>
        <v>15950000</v>
      </c>
    </row>
    <row r="874" customFormat="false" ht="15" hidden="false" customHeight="false" outlineLevel="0" collapsed="false">
      <c r="A874" s="66" t="s">
        <v>537</v>
      </c>
      <c r="B874" s="29" t="s">
        <v>1870</v>
      </c>
      <c r="C874" s="28" t="s">
        <v>520</v>
      </c>
      <c r="D874" s="70" t="n">
        <v>17500000</v>
      </c>
      <c r="E874" s="71" t="n">
        <v>0</v>
      </c>
      <c r="F874" s="36" t="n">
        <f aca="false">D874*(1+E874)</f>
        <v>17500000</v>
      </c>
      <c r="G874" s="36" t="n">
        <f aca="false">F874*'Informasi Proyek'!$C$20</f>
        <v>1750000</v>
      </c>
      <c r="H874" s="39" t="n">
        <f aca="false">ROUND(F874+G874,0)</f>
        <v>19250000</v>
      </c>
    </row>
    <row r="875" customFormat="false" ht="15" hidden="false" customHeight="false" outlineLevel="0" collapsed="false">
      <c r="A875" s="66" t="s">
        <v>540</v>
      </c>
      <c r="B875" s="29" t="s">
        <v>1871</v>
      </c>
      <c r="C875" s="28" t="s">
        <v>520</v>
      </c>
      <c r="D875" s="70" t="n">
        <v>10500000</v>
      </c>
      <c r="E875" s="71" t="n">
        <v>0</v>
      </c>
      <c r="F875" s="36" t="n">
        <f aca="false">D875*(1+E875)</f>
        <v>10500000</v>
      </c>
      <c r="G875" s="36" t="n">
        <f aca="false">F875*'Informasi Proyek'!$C$20</f>
        <v>1050000</v>
      </c>
      <c r="H875" s="39" t="n">
        <f aca="false">ROUND(F875+G875,0)</f>
        <v>11550000</v>
      </c>
    </row>
    <row r="876" customFormat="false" ht="15" hidden="false" customHeight="false" outlineLevel="0" collapsed="false">
      <c r="A876" s="66" t="s">
        <v>542</v>
      </c>
      <c r="B876" s="29" t="s">
        <v>1872</v>
      </c>
      <c r="C876" s="28" t="s">
        <v>520</v>
      </c>
      <c r="D876" s="70" t="n">
        <v>19500000</v>
      </c>
      <c r="E876" s="71" t="n">
        <v>0</v>
      </c>
      <c r="F876" s="36" t="n">
        <f aca="false">D876*(1+E876)</f>
        <v>19500000</v>
      </c>
      <c r="G876" s="36" t="n">
        <f aca="false">F876*'Informasi Proyek'!$C$20</f>
        <v>1950000</v>
      </c>
      <c r="H876" s="39" t="n">
        <f aca="false">ROUND(F876+G876,0)</f>
        <v>21450000</v>
      </c>
    </row>
    <row r="877" customFormat="false" ht="15" hidden="false" customHeight="false" outlineLevel="0" collapsed="false">
      <c r="A877" s="66" t="s">
        <v>544</v>
      </c>
      <c r="B877" s="29" t="s">
        <v>1873</v>
      </c>
      <c r="C877" s="28" t="s">
        <v>520</v>
      </c>
      <c r="D877" s="70" t="n">
        <v>21500000</v>
      </c>
      <c r="E877" s="71" t="n">
        <v>0</v>
      </c>
      <c r="F877" s="36" t="n">
        <f aca="false">D877*(1+E877)</f>
        <v>21500000</v>
      </c>
      <c r="G877" s="36" t="n">
        <f aca="false">F877*'Informasi Proyek'!$C$20</f>
        <v>2150000</v>
      </c>
      <c r="H877" s="39" t="n">
        <f aca="false">ROUND(F877+G877,0)</f>
        <v>23650000</v>
      </c>
    </row>
    <row r="878" customFormat="false" ht="15" hidden="false" customHeight="false" outlineLevel="0" collapsed="false">
      <c r="A878" s="66" t="s">
        <v>547</v>
      </c>
      <c r="B878" s="29" t="s">
        <v>1874</v>
      </c>
      <c r="C878" s="28" t="s">
        <v>520</v>
      </c>
      <c r="D878" s="70" t="n">
        <v>9500000</v>
      </c>
      <c r="E878" s="71" t="n">
        <v>0</v>
      </c>
      <c r="F878" s="36" t="n">
        <f aca="false">D878*(1+E878)</f>
        <v>9500000</v>
      </c>
      <c r="G878" s="36" t="n">
        <f aca="false">F878*'Informasi Proyek'!$C$20</f>
        <v>950000</v>
      </c>
      <c r="H878" s="39" t="n">
        <f aca="false">ROUND(F878+G878,0)</f>
        <v>10450000</v>
      </c>
    </row>
    <row r="879" customFormat="false" ht="15" hidden="false" customHeight="false" outlineLevel="0" collapsed="false">
      <c r="A879" s="66" t="s">
        <v>550</v>
      </c>
      <c r="B879" s="29" t="s">
        <v>1875</v>
      </c>
      <c r="C879" s="28" t="s">
        <v>520</v>
      </c>
      <c r="D879" s="70" t="n">
        <v>285000000</v>
      </c>
      <c r="E879" s="71" t="n">
        <v>0</v>
      </c>
      <c r="F879" s="36" t="n">
        <f aca="false">D879*(1+E879)</f>
        <v>285000000</v>
      </c>
      <c r="G879" s="36" t="n">
        <f aca="false">F879*'Informasi Proyek'!$C$20</f>
        <v>28500000</v>
      </c>
      <c r="H879" s="39" t="n">
        <f aca="false">ROUND(F879+G879,0)</f>
        <v>313500000</v>
      </c>
    </row>
    <row r="880" customFormat="false" ht="15" hidden="false" customHeight="false" outlineLevel="0" collapsed="false">
      <c r="A880" s="66" t="s">
        <v>552</v>
      </c>
      <c r="B880" s="29" t="s">
        <v>1876</v>
      </c>
      <c r="C880" s="28" t="s">
        <v>520</v>
      </c>
      <c r="D880" s="70" t="n">
        <v>315000000</v>
      </c>
      <c r="E880" s="71" t="n">
        <v>0</v>
      </c>
      <c r="F880" s="36" t="n">
        <f aca="false">D880*(1+E880)</f>
        <v>315000000</v>
      </c>
      <c r="G880" s="36" t="n">
        <f aca="false">F880*'Informasi Proyek'!$C$20</f>
        <v>31500000</v>
      </c>
      <c r="H880" s="39" t="n">
        <f aca="false">ROUND(F880+G880,0)</f>
        <v>346500000</v>
      </c>
    </row>
    <row r="881" customFormat="false" ht="15" hidden="false" customHeight="false" outlineLevel="0" collapsed="false">
      <c r="A881" s="66" t="s">
        <v>556</v>
      </c>
      <c r="B881" s="29" t="s">
        <v>1877</v>
      </c>
      <c r="C881" s="28" t="s">
        <v>520</v>
      </c>
      <c r="D881" s="70" t="n">
        <v>1850000</v>
      </c>
      <c r="E881" s="71" t="n">
        <v>0</v>
      </c>
      <c r="F881" s="36" t="n">
        <f aca="false">D881*(1+E881)</f>
        <v>1850000</v>
      </c>
      <c r="G881" s="36" t="n">
        <f aca="false">F881*'Informasi Proyek'!$C$20</f>
        <v>185000</v>
      </c>
      <c r="H881" s="39" t="n">
        <f aca="false">ROUND(F881+G881,0)</f>
        <v>2035000</v>
      </c>
    </row>
    <row r="882" customFormat="false" ht="15" hidden="false" customHeight="false" outlineLevel="0" collapsed="false">
      <c r="A882" s="66" t="s">
        <v>558</v>
      </c>
      <c r="B882" s="29" t="s">
        <v>1878</v>
      </c>
      <c r="C882" s="28" t="s">
        <v>520</v>
      </c>
      <c r="D882" s="70" t="n">
        <v>950000</v>
      </c>
      <c r="E882" s="71" t="n">
        <v>0</v>
      </c>
      <c r="F882" s="36" t="n">
        <f aca="false">D882*(1+E882)</f>
        <v>950000</v>
      </c>
      <c r="G882" s="36" t="n">
        <f aca="false">F882*'Informasi Proyek'!$C$20</f>
        <v>95000</v>
      </c>
      <c r="H882" s="39" t="n">
        <f aca="false">ROUND(F882+G882,0)</f>
        <v>1045000</v>
      </c>
    </row>
    <row r="883" customFormat="false" ht="15" hidden="false" customHeight="false" outlineLevel="0" collapsed="false">
      <c r="A883" s="66" t="s">
        <v>560</v>
      </c>
      <c r="B883" s="29" t="s">
        <v>1879</v>
      </c>
      <c r="C883" s="28" t="s">
        <v>520</v>
      </c>
      <c r="D883" s="70" t="n">
        <v>1250000</v>
      </c>
      <c r="E883" s="71" t="n">
        <v>0</v>
      </c>
      <c r="F883" s="36" t="n">
        <f aca="false">D883*(1+E883)</f>
        <v>1250000</v>
      </c>
      <c r="G883" s="36" t="n">
        <f aca="false">F883*'Informasi Proyek'!$C$20</f>
        <v>125000</v>
      </c>
      <c r="H883" s="39" t="n">
        <f aca="false">ROUND(F883+G883,0)</f>
        <v>1375000</v>
      </c>
    </row>
    <row r="884" customFormat="false" ht="15" hidden="false" customHeight="false" outlineLevel="0" collapsed="false">
      <c r="A884" s="66" t="s">
        <v>562</v>
      </c>
      <c r="B884" s="29" t="s">
        <v>1880</v>
      </c>
      <c r="C884" s="28" t="s">
        <v>520</v>
      </c>
      <c r="D884" s="70" t="n">
        <v>8500000</v>
      </c>
      <c r="E884" s="71" t="n">
        <v>0</v>
      </c>
      <c r="F884" s="36" t="n">
        <f aca="false">D884*(1+E884)</f>
        <v>8500000</v>
      </c>
      <c r="G884" s="36" t="n">
        <f aca="false">F884*'Informasi Proyek'!$C$20</f>
        <v>850000</v>
      </c>
      <c r="H884" s="39" t="n">
        <f aca="false">ROUND(F884+G884,0)</f>
        <v>9350000</v>
      </c>
    </row>
    <row r="885" customFormat="false" ht="15" hidden="false" customHeight="false" outlineLevel="0" collapsed="false">
      <c r="A885" s="66" t="s">
        <v>566</v>
      </c>
      <c r="B885" s="29" t="s">
        <v>1881</v>
      </c>
      <c r="C885" s="28" t="s">
        <v>183</v>
      </c>
      <c r="D885" s="70" t="n">
        <v>8500000</v>
      </c>
      <c r="E885" s="71" t="n">
        <v>0</v>
      </c>
      <c r="F885" s="36" t="n">
        <f aca="false">D885*(1+E885)</f>
        <v>8500000</v>
      </c>
      <c r="G885" s="36" t="n">
        <f aca="false">F885*'Informasi Proyek'!$C$20</f>
        <v>850000</v>
      </c>
      <c r="H885" s="39" t="n">
        <f aca="false">ROUND(F885+G885,0)</f>
        <v>9350000</v>
      </c>
    </row>
    <row r="886" customFormat="false" ht="15" hidden="false" customHeight="false" outlineLevel="0" collapsed="false">
      <c r="A886" s="66" t="s">
        <v>569</v>
      </c>
      <c r="B886" s="29" t="s">
        <v>1882</v>
      </c>
      <c r="C886" s="28" t="s">
        <v>568</v>
      </c>
      <c r="D886" s="70" t="n">
        <v>2850000</v>
      </c>
      <c r="E886" s="71" t="n">
        <v>0</v>
      </c>
      <c r="F886" s="36" t="n">
        <f aca="false">D886*(1+E886)</f>
        <v>2850000</v>
      </c>
      <c r="G886" s="36" t="n">
        <f aca="false">F886*'Informasi Proyek'!$C$20</f>
        <v>285000</v>
      </c>
      <c r="H886" s="39" t="n">
        <f aca="false">ROUND(F886+G886,0)</f>
        <v>3135000</v>
      </c>
    </row>
    <row r="887" customFormat="false" ht="15" hidden="false" customHeight="false" outlineLevel="0" collapsed="false">
      <c r="A887" s="66" t="s">
        <v>571</v>
      </c>
      <c r="B887" s="29" t="s">
        <v>1883</v>
      </c>
      <c r="C887" s="28" t="s">
        <v>1728</v>
      </c>
      <c r="D887" s="70" t="n">
        <v>285000</v>
      </c>
      <c r="E887" s="71" t="n">
        <v>0</v>
      </c>
      <c r="F887" s="36" t="n">
        <f aca="false">D887*(1+E887)</f>
        <v>285000</v>
      </c>
      <c r="G887" s="36" t="n">
        <f aca="false">F887*'Informasi Proyek'!$C$20</f>
        <v>28500</v>
      </c>
      <c r="H887" s="39" t="n">
        <f aca="false">ROUND(F887+G887,0)</f>
        <v>313500</v>
      </c>
    </row>
    <row r="888" customFormat="false" ht="15" hidden="false" customHeight="false" outlineLevel="0" collapsed="false">
      <c r="A888" s="66" t="s">
        <v>574</v>
      </c>
      <c r="B888" s="29" t="s">
        <v>1884</v>
      </c>
      <c r="C888" s="28" t="s">
        <v>520</v>
      </c>
      <c r="D888" s="70" t="n">
        <v>1250000</v>
      </c>
      <c r="E888" s="71" t="n">
        <v>0</v>
      </c>
      <c r="F888" s="36" t="n">
        <f aca="false">D888*(1+E888)</f>
        <v>1250000</v>
      </c>
      <c r="G888" s="36" t="n">
        <f aca="false">F888*'Informasi Proyek'!$C$20</f>
        <v>125000</v>
      </c>
      <c r="H888" s="39" t="n">
        <f aca="false">ROUND(F888+G888,0)</f>
        <v>1375000</v>
      </c>
    </row>
    <row r="889" customFormat="false" ht="15" hidden="false" customHeight="false" outlineLevel="0" collapsed="false">
      <c r="A889" s="66" t="s">
        <v>576</v>
      </c>
      <c r="B889" s="29" t="s">
        <v>1885</v>
      </c>
      <c r="C889" s="28" t="s">
        <v>520</v>
      </c>
      <c r="D889" s="70" t="n">
        <v>1650000</v>
      </c>
      <c r="E889" s="71" t="n">
        <v>0</v>
      </c>
      <c r="F889" s="36" t="n">
        <f aca="false">D889*(1+E889)</f>
        <v>1650000</v>
      </c>
      <c r="G889" s="36" t="n">
        <f aca="false">F889*'Informasi Proyek'!$C$20</f>
        <v>165000</v>
      </c>
      <c r="H889" s="39" t="n">
        <f aca="false">ROUND(F889+G889,0)</f>
        <v>1815000</v>
      </c>
    </row>
    <row r="890" customFormat="false" ht="15" hidden="false" customHeight="false" outlineLevel="0" collapsed="false">
      <c r="A890" s="66" t="s">
        <v>579</v>
      </c>
      <c r="B890" s="29" t="s">
        <v>1886</v>
      </c>
      <c r="C890" s="28" t="s">
        <v>520</v>
      </c>
      <c r="D890" s="70" t="n">
        <v>650000</v>
      </c>
      <c r="E890" s="71" t="n">
        <v>0</v>
      </c>
      <c r="F890" s="36" t="n">
        <f aca="false">D890*(1+E890)</f>
        <v>650000</v>
      </c>
      <c r="G890" s="36" t="n">
        <f aca="false">F890*'Informasi Proyek'!$C$20</f>
        <v>65000</v>
      </c>
      <c r="H890" s="39" t="n">
        <f aca="false">ROUND(F890+G890,0)</f>
        <v>715000</v>
      </c>
    </row>
    <row r="891" customFormat="false" ht="15" hidden="false" customHeight="false" outlineLevel="0" collapsed="false">
      <c r="A891" s="66" t="s">
        <v>582</v>
      </c>
      <c r="B891" s="29" t="s">
        <v>1887</v>
      </c>
      <c r="C891" s="28" t="s">
        <v>520</v>
      </c>
      <c r="D891" s="70" t="n">
        <v>1850000</v>
      </c>
      <c r="E891" s="71" t="n">
        <v>0</v>
      </c>
      <c r="F891" s="36" t="n">
        <f aca="false">D891*(1+E891)</f>
        <v>1850000</v>
      </c>
      <c r="G891" s="36" t="n">
        <f aca="false">F891*'Informasi Proyek'!$C$20</f>
        <v>185000</v>
      </c>
      <c r="H891" s="39" t="n">
        <f aca="false">ROUND(F891+G891,0)</f>
        <v>2035000</v>
      </c>
    </row>
    <row r="892" customFormat="false" ht="15" hidden="false" customHeight="false" outlineLevel="0" collapsed="false">
      <c r="A892" s="66" t="s">
        <v>586</v>
      </c>
      <c r="B892" s="29" t="s">
        <v>1888</v>
      </c>
      <c r="C892" s="28" t="s">
        <v>1728</v>
      </c>
      <c r="D892" s="70" t="n">
        <v>245000</v>
      </c>
      <c r="E892" s="71" t="n">
        <v>0</v>
      </c>
      <c r="F892" s="36" t="n">
        <f aca="false">D892*(1+E892)</f>
        <v>245000</v>
      </c>
      <c r="G892" s="36" t="n">
        <f aca="false">F892*'Informasi Proyek'!$C$20</f>
        <v>24500</v>
      </c>
      <c r="H892" s="39" t="n">
        <f aca="false">ROUND(F892+G892,0)</f>
        <v>269500</v>
      </c>
    </row>
    <row r="893" customFormat="false" ht="15" hidden="false" customHeight="false" outlineLevel="0" collapsed="false">
      <c r="A893" s="66" t="s">
        <v>590</v>
      </c>
      <c r="B893" s="29" t="s">
        <v>1889</v>
      </c>
      <c r="C893" s="28" t="s">
        <v>1728</v>
      </c>
      <c r="D893" s="70" t="n">
        <v>95000</v>
      </c>
      <c r="E893" s="71" t="n">
        <v>0</v>
      </c>
      <c r="F893" s="36" t="n">
        <f aca="false">D893*(1+E893)</f>
        <v>95000</v>
      </c>
      <c r="G893" s="36" t="n">
        <f aca="false">F893*'Informasi Proyek'!$C$20</f>
        <v>9500</v>
      </c>
      <c r="H893" s="39" t="n">
        <f aca="false">ROUND(F893+G893,0)</f>
        <v>104500</v>
      </c>
    </row>
    <row r="894" customFormat="false" ht="15" hidden="false" customHeight="false" outlineLevel="0" collapsed="false">
      <c r="A894" s="66" t="s">
        <v>592</v>
      </c>
      <c r="B894" s="29" t="s">
        <v>1890</v>
      </c>
      <c r="C894" s="28" t="s">
        <v>1728</v>
      </c>
      <c r="D894" s="70" t="n">
        <v>125000</v>
      </c>
      <c r="E894" s="71" t="n">
        <v>0</v>
      </c>
      <c r="F894" s="36" t="n">
        <f aca="false">D894*(1+E894)</f>
        <v>125000</v>
      </c>
      <c r="G894" s="36" t="n">
        <f aca="false">F894*'Informasi Proyek'!$C$20</f>
        <v>12500</v>
      </c>
      <c r="H894" s="39" t="n">
        <f aca="false">ROUND(F894+G894,0)</f>
        <v>137500</v>
      </c>
    </row>
    <row r="895" customFormat="false" ht="15" hidden="false" customHeight="false" outlineLevel="0" collapsed="false">
      <c r="A895" s="66" t="s">
        <v>594</v>
      </c>
      <c r="B895" s="29" t="s">
        <v>1891</v>
      </c>
      <c r="C895" s="28" t="s">
        <v>1728</v>
      </c>
      <c r="D895" s="70" t="n">
        <v>155000</v>
      </c>
      <c r="E895" s="71" t="n">
        <v>0</v>
      </c>
      <c r="F895" s="36" t="n">
        <f aca="false">D895*(1+E895)</f>
        <v>155000</v>
      </c>
      <c r="G895" s="36" t="n">
        <f aca="false">F895*'Informasi Proyek'!$C$20</f>
        <v>15500</v>
      </c>
      <c r="H895" s="39" t="n">
        <f aca="false">ROUND(F895+G895,0)</f>
        <v>170500</v>
      </c>
    </row>
    <row r="896" customFormat="false" ht="15" hidden="false" customHeight="false" outlineLevel="0" collapsed="false">
      <c r="A896" s="66" t="s">
        <v>596</v>
      </c>
      <c r="B896" s="29" t="s">
        <v>1892</v>
      </c>
      <c r="C896" s="28" t="s">
        <v>1728</v>
      </c>
      <c r="D896" s="70" t="n">
        <v>185000</v>
      </c>
      <c r="E896" s="71" t="n">
        <v>0</v>
      </c>
      <c r="F896" s="36" t="n">
        <f aca="false">D896*(1+E896)</f>
        <v>185000</v>
      </c>
      <c r="G896" s="36" t="n">
        <f aca="false">F896*'Informasi Proyek'!$C$20</f>
        <v>18500</v>
      </c>
      <c r="H896" s="39" t="n">
        <f aca="false">ROUND(F896+G896,0)</f>
        <v>203500</v>
      </c>
    </row>
    <row r="897" customFormat="false" ht="15" hidden="false" customHeight="false" outlineLevel="0" collapsed="false">
      <c r="A897" s="66" t="s">
        <v>598</v>
      </c>
      <c r="B897" s="29" t="s">
        <v>1893</v>
      </c>
      <c r="C897" s="28" t="s">
        <v>1728</v>
      </c>
      <c r="D897" s="70" t="n">
        <v>235000</v>
      </c>
      <c r="E897" s="71" t="n">
        <v>0</v>
      </c>
      <c r="F897" s="36" t="n">
        <f aca="false">D897*(1+E897)</f>
        <v>235000</v>
      </c>
      <c r="G897" s="36" t="n">
        <f aca="false">F897*'Informasi Proyek'!$C$20</f>
        <v>23500</v>
      </c>
      <c r="H897" s="39" t="n">
        <f aca="false">ROUND(F897+G897,0)</f>
        <v>258500</v>
      </c>
    </row>
    <row r="898" customFormat="false" ht="15" hidden="false" customHeight="false" outlineLevel="0" collapsed="false">
      <c r="A898" s="66" t="s">
        <v>600</v>
      </c>
      <c r="B898" s="29" t="s">
        <v>1894</v>
      </c>
      <c r="C898" s="28" t="s">
        <v>1728</v>
      </c>
      <c r="D898" s="70" t="n">
        <v>285000</v>
      </c>
      <c r="E898" s="71" t="n">
        <v>0</v>
      </c>
      <c r="F898" s="36" t="n">
        <f aca="false">D898*(1+E898)</f>
        <v>285000</v>
      </c>
      <c r="G898" s="36" t="n">
        <f aca="false">F898*'Informasi Proyek'!$C$20</f>
        <v>28500</v>
      </c>
      <c r="H898" s="39" t="n">
        <f aca="false">ROUND(F898+G898,0)</f>
        <v>313500</v>
      </c>
    </row>
    <row r="899" customFormat="false" ht="15" hidden="false" customHeight="false" outlineLevel="0" collapsed="false">
      <c r="A899" s="66" t="s">
        <v>602</v>
      </c>
      <c r="B899" s="29" t="s">
        <v>1895</v>
      </c>
      <c r="C899" s="28" t="s">
        <v>1728</v>
      </c>
      <c r="D899" s="70" t="n">
        <v>365000</v>
      </c>
      <c r="E899" s="71" t="n">
        <v>0</v>
      </c>
      <c r="F899" s="36" t="n">
        <f aca="false">D899*(1+E899)</f>
        <v>365000</v>
      </c>
      <c r="G899" s="36" t="n">
        <f aca="false">F899*'Informasi Proyek'!$C$20</f>
        <v>36500</v>
      </c>
      <c r="H899" s="39" t="n">
        <f aca="false">ROUND(F899+G899,0)</f>
        <v>401500</v>
      </c>
    </row>
    <row r="900" customFormat="false" ht="15" hidden="false" customHeight="false" outlineLevel="0" collapsed="false">
      <c r="A900" s="66" t="s">
        <v>604</v>
      </c>
      <c r="B900" s="29" t="s">
        <v>1896</v>
      </c>
      <c r="C900" s="28" t="s">
        <v>183</v>
      </c>
      <c r="D900" s="70" t="n">
        <v>650000</v>
      </c>
      <c r="E900" s="71" t="n">
        <v>0</v>
      </c>
      <c r="F900" s="36" t="n">
        <f aca="false">D900*(1+E900)</f>
        <v>650000</v>
      </c>
      <c r="G900" s="36" t="n">
        <f aca="false">F900*'Informasi Proyek'!$C$20</f>
        <v>65000</v>
      </c>
      <c r="H900" s="39" t="n">
        <f aca="false">ROUND(F900+G900,0)</f>
        <v>715000</v>
      </c>
    </row>
    <row r="901" customFormat="false" ht="15" hidden="false" customHeight="false" outlineLevel="0" collapsed="false">
      <c r="A901" s="66" t="s">
        <v>608</v>
      </c>
      <c r="B901" s="29" t="s">
        <v>1897</v>
      </c>
      <c r="C901" s="28" t="s">
        <v>1728</v>
      </c>
      <c r="D901" s="70" t="n">
        <v>52000</v>
      </c>
      <c r="E901" s="71" t="n">
        <v>0</v>
      </c>
      <c r="F901" s="36" t="n">
        <f aca="false">D901*(1+E901)</f>
        <v>52000</v>
      </c>
      <c r="G901" s="36" t="n">
        <f aca="false">F901*'Informasi Proyek'!$C$20</f>
        <v>5200</v>
      </c>
      <c r="H901" s="39" t="n">
        <f aca="false">ROUND(F901+G901,0)</f>
        <v>57200</v>
      </c>
    </row>
    <row r="902" customFormat="false" ht="15" hidden="false" customHeight="false" outlineLevel="0" collapsed="false">
      <c r="A902" s="66" t="s">
        <v>610</v>
      </c>
      <c r="B902" s="29" t="s">
        <v>1898</v>
      </c>
      <c r="C902" s="28" t="s">
        <v>1728</v>
      </c>
      <c r="D902" s="70" t="n">
        <v>68000</v>
      </c>
      <c r="E902" s="71" t="n">
        <v>0</v>
      </c>
      <c r="F902" s="36" t="n">
        <f aca="false">D902*(1+E902)</f>
        <v>68000</v>
      </c>
      <c r="G902" s="36" t="n">
        <f aca="false">F902*'Informasi Proyek'!$C$20</f>
        <v>6800</v>
      </c>
      <c r="H902" s="39" t="n">
        <f aca="false">ROUND(F902+G902,0)</f>
        <v>74800</v>
      </c>
    </row>
    <row r="903" customFormat="false" ht="15" hidden="false" customHeight="false" outlineLevel="0" collapsed="false">
      <c r="A903" s="66" t="s">
        <v>612</v>
      </c>
      <c r="B903" s="29" t="s">
        <v>1899</v>
      </c>
      <c r="C903" s="28" t="s">
        <v>1728</v>
      </c>
      <c r="D903" s="70" t="n">
        <v>98000</v>
      </c>
      <c r="E903" s="71" t="n">
        <v>0</v>
      </c>
      <c r="F903" s="36" t="n">
        <f aca="false">D903*(1+E903)</f>
        <v>98000</v>
      </c>
      <c r="G903" s="36" t="n">
        <f aca="false">F903*'Informasi Proyek'!$C$20</f>
        <v>9800</v>
      </c>
      <c r="H903" s="39" t="n">
        <f aca="false">ROUND(F903+G903,0)</f>
        <v>107800</v>
      </c>
    </row>
    <row r="904" customFormat="false" ht="15" hidden="false" customHeight="false" outlineLevel="0" collapsed="false">
      <c r="A904" s="66" t="s">
        <v>616</v>
      </c>
      <c r="B904" s="29" t="s">
        <v>1900</v>
      </c>
      <c r="C904" s="28" t="s">
        <v>183</v>
      </c>
      <c r="D904" s="70" t="n">
        <v>185000</v>
      </c>
      <c r="E904" s="71" t="n">
        <v>0</v>
      </c>
      <c r="F904" s="36" t="n">
        <f aca="false">D904*(1+E904)</f>
        <v>185000</v>
      </c>
      <c r="G904" s="36" t="n">
        <f aca="false">F904*'Informasi Proyek'!$C$20</f>
        <v>18500</v>
      </c>
      <c r="H904" s="39" t="n">
        <f aca="false">ROUND(F904+G904,0)</f>
        <v>203500</v>
      </c>
    </row>
    <row r="905" customFormat="false" ht="15" hidden="false" customHeight="false" outlineLevel="0" collapsed="false">
      <c r="A905" s="66" t="s">
        <v>618</v>
      </c>
      <c r="B905" s="29" t="s">
        <v>1901</v>
      </c>
      <c r="C905" s="28" t="s">
        <v>183</v>
      </c>
      <c r="D905" s="70" t="n">
        <v>225000</v>
      </c>
      <c r="E905" s="71" t="n">
        <v>0</v>
      </c>
      <c r="F905" s="36" t="n">
        <f aca="false">D905*(1+E905)</f>
        <v>225000</v>
      </c>
      <c r="G905" s="36" t="n">
        <f aca="false">F905*'Informasi Proyek'!$C$20</f>
        <v>22500</v>
      </c>
      <c r="H905" s="39" t="n">
        <f aca="false">ROUND(F905+G905,0)</f>
        <v>247500</v>
      </c>
    </row>
    <row r="906" customFormat="false" ht="15" hidden="false" customHeight="false" outlineLevel="0" collapsed="false">
      <c r="A906" s="66" t="s">
        <v>621</v>
      </c>
      <c r="B906" s="29" t="s">
        <v>1902</v>
      </c>
      <c r="C906" s="28" t="s">
        <v>183</v>
      </c>
      <c r="D906" s="70" t="n">
        <v>125000</v>
      </c>
      <c r="E906" s="71" t="n">
        <v>0</v>
      </c>
      <c r="F906" s="36" t="n">
        <f aca="false">D906*(1+E906)</f>
        <v>125000</v>
      </c>
      <c r="G906" s="36" t="n">
        <f aca="false">F906*'Informasi Proyek'!$C$20</f>
        <v>12500</v>
      </c>
      <c r="H906" s="39" t="n">
        <f aca="false">ROUND(F906+G906,0)</f>
        <v>137500</v>
      </c>
    </row>
    <row r="907" customFormat="false" ht="15" hidden="false" customHeight="false" outlineLevel="0" collapsed="false">
      <c r="A907" s="66" t="s">
        <v>623</v>
      </c>
      <c r="B907" s="29" t="s">
        <v>1903</v>
      </c>
      <c r="C907" s="28" t="s">
        <v>183</v>
      </c>
      <c r="D907" s="70" t="n">
        <v>95000</v>
      </c>
      <c r="E907" s="71" t="n">
        <v>0</v>
      </c>
      <c r="F907" s="36" t="n">
        <f aca="false">D907*(1+E907)</f>
        <v>95000</v>
      </c>
      <c r="G907" s="36" t="n">
        <f aca="false">F907*'Informasi Proyek'!$C$20</f>
        <v>9500</v>
      </c>
      <c r="H907" s="39" t="n">
        <f aca="false">ROUND(F907+G907,0)</f>
        <v>104500</v>
      </c>
    </row>
    <row r="908" customFormat="false" ht="15" hidden="false" customHeight="false" outlineLevel="0" collapsed="false">
      <c r="A908" s="66" t="s">
        <v>625</v>
      </c>
      <c r="B908" s="29" t="s">
        <v>1904</v>
      </c>
      <c r="C908" s="28" t="s">
        <v>183</v>
      </c>
      <c r="D908" s="70" t="n">
        <v>165000</v>
      </c>
      <c r="E908" s="71" t="n">
        <v>0</v>
      </c>
      <c r="F908" s="36" t="n">
        <f aca="false">D908*(1+E908)</f>
        <v>165000</v>
      </c>
      <c r="G908" s="36" t="n">
        <f aca="false">F908*'Informasi Proyek'!$C$20</f>
        <v>16500</v>
      </c>
      <c r="H908" s="39" t="n">
        <f aca="false">ROUND(F908+G908,0)</f>
        <v>181500</v>
      </c>
    </row>
    <row r="909" customFormat="false" ht="15" hidden="false" customHeight="false" outlineLevel="0" collapsed="false">
      <c r="A909" s="66" t="s">
        <v>629</v>
      </c>
      <c r="B909" s="29" t="s">
        <v>1905</v>
      </c>
      <c r="C909" s="28" t="s">
        <v>1728</v>
      </c>
      <c r="D909" s="70" t="n">
        <v>590000</v>
      </c>
      <c r="E909" s="71" t="n">
        <v>0</v>
      </c>
      <c r="F909" s="36" t="n">
        <f aca="false">D909*(1+E909)</f>
        <v>590000</v>
      </c>
      <c r="G909" s="36" t="n">
        <f aca="false">F909*'Informasi Proyek'!$C$20</f>
        <v>59000</v>
      </c>
      <c r="H909" s="39" t="n">
        <f aca="false">ROUND(F909+G909,0)</f>
        <v>649000</v>
      </c>
    </row>
    <row r="910" customFormat="false" ht="15" hidden="false" customHeight="false" outlineLevel="0" collapsed="false">
      <c r="A910" s="66" t="s">
        <v>631</v>
      </c>
      <c r="B910" s="29" t="s">
        <v>1906</v>
      </c>
      <c r="C910" s="28" t="s">
        <v>1728</v>
      </c>
      <c r="D910" s="70" t="n">
        <v>440000</v>
      </c>
      <c r="E910" s="71" t="n">
        <v>0</v>
      </c>
      <c r="F910" s="36" t="n">
        <f aca="false">D910*(1+E910)</f>
        <v>440000</v>
      </c>
      <c r="G910" s="36" t="n">
        <f aca="false">F910*'Informasi Proyek'!$C$20</f>
        <v>44000</v>
      </c>
      <c r="H910" s="39" t="n">
        <f aca="false">ROUND(F910+G910,0)</f>
        <v>484000</v>
      </c>
    </row>
    <row r="911" customFormat="false" ht="15" hidden="false" customHeight="false" outlineLevel="0" collapsed="false">
      <c r="A911" s="66" t="s">
        <v>633</v>
      </c>
      <c r="B911" s="29" t="s">
        <v>1907</v>
      </c>
      <c r="C911" s="28" t="s">
        <v>1728</v>
      </c>
      <c r="D911" s="70" t="n">
        <v>330000</v>
      </c>
      <c r="E911" s="71" t="n">
        <v>0</v>
      </c>
      <c r="F911" s="36" t="n">
        <f aca="false">D911*(1+E911)</f>
        <v>330000</v>
      </c>
      <c r="G911" s="36" t="n">
        <f aca="false">F911*'Informasi Proyek'!$C$20</f>
        <v>33000</v>
      </c>
      <c r="H911" s="39" t="n">
        <f aca="false">ROUND(F911+G911,0)</f>
        <v>363000</v>
      </c>
    </row>
    <row r="912" customFormat="false" ht="15" hidden="false" customHeight="false" outlineLevel="0" collapsed="false">
      <c r="A912" s="66" t="s">
        <v>636</v>
      </c>
      <c r="B912" s="29" t="s">
        <v>1908</v>
      </c>
      <c r="C912" s="28" t="s">
        <v>1728</v>
      </c>
      <c r="D912" s="70" t="n">
        <v>32000</v>
      </c>
      <c r="E912" s="71" t="n">
        <v>0</v>
      </c>
      <c r="F912" s="36" t="n">
        <f aca="false">D912*(1+E912)</f>
        <v>32000</v>
      </c>
      <c r="G912" s="36" t="n">
        <f aca="false">F912*'Informasi Proyek'!$C$20</f>
        <v>3200</v>
      </c>
      <c r="H912" s="39" t="n">
        <f aca="false">ROUND(F912+G912,0)</f>
        <v>35200</v>
      </c>
    </row>
    <row r="913" customFormat="false" ht="15" hidden="false" customHeight="false" outlineLevel="0" collapsed="false">
      <c r="A913" s="66" t="s">
        <v>638</v>
      </c>
      <c r="B913" s="29" t="s">
        <v>1909</v>
      </c>
      <c r="C913" s="28" t="s">
        <v>1728</v>
      </c>
      <c r="D913" s="70" t="n">
        <v>68000</v>
      </c>
      <c r="E913" s="71" t="n">
        <v>0</v>
      </c>
      <c r="F913" s="36" t="n">
        <f aca="false">D913*(1+E913)</f>
        <v>68000</v>
      </c>
      <c r="G913" s="36" t="n">
        <f aca="false">F913*'Informasi Proyek'!$C$20</f>
        <v>6800</v>
      </c>
      <c r="H913" s="39" t="n">
        <f aca="false">ROUND(F913+G913,0)</f>
        <v>74800</v>
      </c>
    </row>
    <row r="914" customFormat="false" ht="15" hidden="false" customHeight="false" outlineLevel="0" collapsed="false">
      <c r="A914" s="66" t="s">
        <v>643</v>
      </c>
      <c r="B914" s="29" t="s">
        <v>1910</v>
      </c>
      <c r="C914" s="28" t="s">
        <v>642</v>
      </c>
      <c r="D914" s="70" t="n">
        <v>95000</v>
      </c>
      <c r="E914" s="71" t="n">
        <v>0</v>
      </c>
      <c r="F914" s="36" t="n">
        <f aca="false">D914*(1+E914)</f>
        <v>95000</v>
      </c>
      <c r="G914" s="36" t="n">
        <f aca="false">F914*'Informasi Proyek'!$C$20</f>
        <v>9500</v>
      </c>
      <c r="H914" s="39" t="n">
        <f aca="false">ROUND(F914+G914,0)</f>
        <v>104500</v>
      </c>
    </row>
    <row r="915" customFormat="false" ht="15" hidden="false" customHeight="false" outlineLevel="0" collapsed="false">
      <c r="A915" s="66" t="s">
        <v>645</v>
      </c>
      <c r="B915" s="29" t="s">
        <v>1911</v>
      </c>
      <c r="C915" s="28" t="s">
        <v>179</v>
      </c>
      <c r="D915" s="70" t="n">
        <v>3500000</v>
      </c>
      <c r="E915" s="71" t="n">
        <v>0</v>
      </c>
      <c r="F915" s="36" t="n">
        <f aca="false">D915*(1+E915)</f>
        <v>3500000</v>
      </c>
      <c r="G915" s="36" t="n">
        <f aca="false">F915*'Informasi Proyek'!$C$20</f>
        <v>350000</v>
      </c>
      <c r="H915" s="39" t="n">
        <f aca="false">ROUND(F915+G915,0)</f>
        <v>3850000</v>
      </c>
    </row>
    <row r="916" customFormat="false" ht="15" hidden="false" customHeight="false" outlineLevel="0" collapsed="false">
      <c r="A916" s="66" t="s">
        <v>647</v>
      </c>
      <c r="B916" s="29" t="s">
        <v>1912</v>
      </c>
      <c r="C916" s="28" t="s">
        <v>179</v>
      </c>
      <c r="D916" s="70" t="n">
        <v>8500000</v>
      </c>
      <c r="E916" s="71" t="n">
        <v>0</v>
      </c>
      <c r="F916" s="36" t="n">
        <f aca="false">D916*(1+E916)</f>
        <v>8500000</v>
      </c>
      <c r="G916" s="36" t="n">
        <f aca="false">F916*'Informasi Proyek'!$C$20</f>
        <v>850000</v>
      </c>
      <c r="H916" s="39" t="n">
        <f aca="false">ROUND(F916+G916,0)</f>
        <v>9350000</v>
      </c>
    </row>
    <row r="917" customFormat="false" ht="15" hidden="false" customHeight="false" outlineLevel="0" collapsed="false">
      <c r="A917" s="66" t="s">
        <v>649</v>
      </c>
      <c r="B917" s="29" t="s">
        <v>1913</v>
      </c>
      <c r="C917" s="28" t="s">
        <v>179</v>
      </c>
      <c r="D917" s="70" t="n">
        <v>12500000</v>
      </c>
      <c r="E917" s="71" t="n">
        <v>0</v>
      </c>
      <c r="F917" s="36" t="n">
        <f aca="false">D917*(1+E917)</f>
        <v>12500000</v>
      </c>
      <c r="G917" s="36" t="n">
        <f aca="false">F917*'Informasi Proyek'!$C$20</f>
        <v>1250000</v>
      </c>
      <c r="H917" s="39" t="n">
        <f aca="false">ROUND(F917+G917,0)</f>
        <v>13750000</v>
      </c>
    </row>
    <row r="918" customFormat="false" ht="15" hidden="false" customHeight="false" outlineLevel="0" collapsed="false">
      <c r="A918" s="66" t="s">
        <v>651</v>
      </c>
      <c r="B918" s="29" t="s">
        <v>1914</v>
      </c>
      <c r="C918" s="28" t="s">
        <v>179</v>
      </c>
      <c r="D918" s="70" t="n">
        <v>2500000</v>
      </c>
      <c r="E918" s="71" t="n">
        <v>0</v>
      </c>
      <c r="F918" s="36" t="n">
        <f aca="false">D918*(1+E918)</f>
        <v>2500000</v>
      </c>
      <c r="G918" s="36" t="n">
        <f aca="false">F918*'Informasi Proyek'!$C$20</f>
        <v>250000</v>
      </c>
      <c r="H918" s="39" t="n">
        <f aca="false">ROUND(F918+G918,0)</f>
        <v>2750000</v>
      </c>
    </row>
    <row r="919" customFormat="false" ht="15" hidden="false" customHeight="false" outlineLevel="0" collapsed="false">
      <c r="A919" s="66" t="s">
        <v>655</v>
      </c>
      <c r="B919" s="29" t="s">
        <v>1915</v>
      </c>
      <c r="C919" s="28" t="s">
        <v>183</v>
      </c>
      <c r="D919" s="70" t="n">
        <v>785000000</v>
      </c>
      <c r="E919" s="71" t="n">
        <v>0</v>
      </c>
      <c r="F919" s="36" t="n">
        <f aca="false">D919*(1+E919)</f>
        <v>785000000</v>
      </c>
      <c r="G919" s="36" t="n">
        <f aca="false">F919*'Informasi Proyek'!$C$20</f>
        <v>78500000</v>
      </c>
      <c r="H919" s="39" t="n">
        <f aca="false">ROUND(F919+G919,0)</f>
        <v>863500000</v>
      </c>
    </row>
    <row r="920" customFormat="false" ht="15" hidden="false" customHeight="false" outlineLevel="0" collapsed="false">
      <c r="A920" s="66" t="s">
        <v>664</v>
      </c>
      <c r="B920" s="29" t="s">
        <v>1916</v>
      </c>
      <c r="C920" s="28" t="s">
        <v>1728</v>
      </c>
      <c r="D920" s="70" t="n">
        <v>95000</v>
      </c>
      <c r="E920" s="71" t="n">
        <v>0</v>
      </c>
      <c r="F920" s="36" t="n">
        <f aca="false">D920*(1+E920)</f>
        <v>95000</v>
      </c>
      <c r="G920" s="36" t="n">
        <f aca="false">F920*'Informasi Proyek'!$C$20</f>
        <v>9500</v>
      </c>
      <c r="H920" s="39" t="n">
        <f aca="false">ROUND(F920+G920,0)</f>
        <v>104500</v>
      </c>
    </row>
    <row r="921" customFormat="false" ht="15" hidden="false" customHeight="false" outlineLevel="0" collapsed="false">
      <c r="A921" s="66" t="s">
        <v>668</v>
      </c>
      <c r="B921" s="29" t="s">
        <v>1917</v>
      </c>
      <c r="C921" s="28" t="s">
        <v>520</v>
      </c>
      <c r="D921" s="70" t="n">
        <v>2450000</v>
      </c>
      <c r="E921" s="71" t="n">
        <v>0.1</v>
      </c>
      <c r="F921" s="36" t="n">
        <f aca="false">D921*(1+E921)</f>
        <v>2695000</v>
      </c>
      <c r="G921" s="36" t="n">
        <f aca="false">F921*'Informasi Proyek'!$C$20</f>
        <v>269500</v>
      </c>
      <c r="H921" s="39" t="n">
        <f aca="false">ROUND(F921+G921,0)</f>
        <v>2964500</v>
      </c>
    </row>
    <row r="922" customFormat="false" ht="15" hidden="false" customHeight="false" outlineLevel="0" collapsed="false">
      <c r="A922" s="66" t="s">
        <v>670</v>
      </c>
      <c r="B922" s="29" t="s">
        <v>1918</v>
      </c>
      <c r="C922" s="28" t="s">
        <v>520</v>
      </c>
      <c r="D922" s="70" t="n">
        <v>3850000</v>
      </c>
      <c r="E922" s="71" t="n">
        <v>0.1</v>
      </c>
      <c r="F922" s="36" t="n">
        <f aca="false">D922*(1+E922)</f>
        <v>4235000</v>
      </c>
      <c r="G922" s="36" t="n">
        <f aca="false">F922*'Informasi Proyek'!$C$20</f>
        <v>423500</v>
      </c>
      <c r="H922" s="39" t="n">
        <f aca="false">ROUND(F922+G922,0)</f>
        <v>4658500</v>
      </c>
    </row>
    <row r="923" customFormat="false" ht="15" hidden="false" customHeight="false" outlineLevel="0" collapsed="false">
      <c r="A923" s="66" t="s">
        <v>672</v>
      </c>
      <c r="B923" s="29" t="s">
        <v>1919</v>
      </c>
      <c r="C923" s="28" t="s">
        <v>520</v>
      </c>
      <c r="D923" s="70" t="n">
        <v>285000</v>
      </c>
      <c r="E923" s="71" t="n">
        <v>0.15</v>
      </c>
      <c r="F923" s="36" t="n">
        <f aca="false">D923*(1+E923)</f>
        <v>327750</v>
      </c>
      <c r="G923" s="36" t="n">
        <f aca="false">F923*'Informasi Proyek'!$C$20</f>
        <v>32775</v>
      </c>
      <c r="H923" s="39" t="n">
        <f aca="false">ROUND(F923+G923,0)</f>
        <v>360525</v>
      </c>
    </row>
    <row r="924" customFormat="false" ht="15" hidden="false" customHeight="false" outlineLevel="0" collapsed="false">
      <c r="A924" s="66" t="s">
        <v>674</v>
      </c>
      <c r="B924" s="29" t="s">
        <v>1920</v>
      </c>
      <c r="C924" s="28" t="s">
        <v>520</v>
      </c>
      <c r="D924" s="70" t="n">
        <v>165000</v>
      </c>
      <c r="E924" s="71" t="n">
        <v>0.15</v>
      </c>
      <c r="F924" s="36" t="n">
        <f aca="false">D924*(1+E924)</f>
        <v>189750</v>
      </c>
      <c r="G924" s="36" t="n">
        <f aca="false">F924*'Informasi Proyek'!$C$20</f>
        <v>18975</v>
      </c>
      <c r="H924" s="39" t="n">
        <f aca="false">ROUND(F924+G924,0)</f>
        <v>208725</v>
      </c>
    </row>
    <row r="925" customFormat="false" ht="15" hidden="false" customHeight="false" outlineLevel="0" collapsed="false">
      <c r="A925" s="66" t="s">
        <v>676</v>
      </c>
      <c r="B925" s="29" t="s">
        <v>1921</v>
      </c>
      <c r="C925" s="28" t="s">
        <v>520</v>
      </c>
      <c r="D925" s="70" t="n">
        <v>185000</v>
      </c>
      <c r="E925" s="71" t="n">
        <v>0.15</v>
      </c>
      <c r="F925" s="36" t="n">
        <f aca="false">D925*(1+E925)</f>
        <v>212750</v>
      </c>
      <c r="G925" s="36" t="n">
        <f aca="false">F925*'Informasi Proyek'!$C$20</f>
        <v>21275</v>
      </c>
      <c r="H925" s="39" t="n">
        <f aca="false">ROUND(F925+G925,0)</f>
        <v>234025</v>
      </c>
    </row>
    <row r="926" customFormat="false" ht="15" hidden="false" customHeight="false" outlineLevel="0" collapsed="false">
      <c r="A926" s="66" t="s">
        <v>678</v>
      </c>
      <c r="B926" s="29" t="s">
        <v>1922</v>
      </c>
      <c r="C926" s="28" t="s">
        <v>520</v>
      </c>
      <c r="D926" s="70" t="n">
        <v>1650000</v>
      </c>
      <c r="E926" s="71" t="n">
        <v>0.1</v>
      </c>
      <c r="F926" s="36" t="n">
        <f aca="false">D926*(1+E926)</f>
        <v>1815000</v>
      </c>
      <c r="G926" s="36" t="n">
        <f aca="false">F926*'Informasi Proyek'!$C$20</f>
        <v>181500</v>
      </c>
      <c r="H926" s="39" t="n">
        <f aca="false">ROUND(F926+G926,0)</f>
        <v>1996500</v>
      </c>
    </row>
    <row r="927" customFormat="false" ht="15" hidden="false" customHeight="false" outlineLevel="0" collapsed="false">
      <c r="A927" s="66" t="s">
        <v>680</v>
      </c>
      <c r="B927" s="29" t="s">
        <v>1923</v>
      </c>
      <c r="C927" s="28" t="s">
        <v>520</v>
      </c>
      <c r="D927" s="70" t="n">
        <v>475000</v>
      </c>
      <c r="E927" s="71" t="n">
        <v>0.1</v>
      </c>
      <c r="F927" s="36" t="n">
        <f aca="false">D927*(1+E927)</f>
        <v>522500</v>
      </c>
      <c r="G927" s="36" t="n">
        <f aca="false">F927*'Informasi Proyek'!$C$20</f>
        <v>52250</v>
      </c>
      <c r="H927" s="39" t="n">
        <f aca="false">ROUND(F927+G927,0)</f>
        <v>574750</v>
      </c>
    </row>
    <row r="928" customFormat="false" ht="15" hidden="false" customHeight="false" outlineLevel="0" collapsed="false">
      <c r="A928" s="66" t="s">
        <v>682</v>
      </c>
      <c r="B928" s="29" t="s">
        <v>1924</v>
      </c>
      <c r="C928" s="28" t="s">
        <v>183</v>
      </c>
      <c r="D928" s="70" t="n">
        <v>1350000</v>
      </c>
      <c r="E928" s="71" t="n">
        <v>0.1</v>
      </c>
      <c r="F928" s="36" t="n">
        <f aca="false">D928*(1+E928)</f>
        <v>1485000</v>
      </c>
      <c r="G928" s="36" t="n">
        <f aca="false">F928*'Informasi Proyek'!$C$20</f>
        <v>148500</v>
      </c>
      <c r="H928" s="39" t="n">
        <f aca="false">ROUND(F928+G928,0)</f>
        <v>1633500</v>
      </c>
    </row>
    <row r="929" customFormat="false" ht="15" hidden="false" customHeight="false" outlineLevel="0" collapsed="false">
      <c r="A929" s="66" t="s">
        <v>684</v>
      </c>
      <c r="B929" s="29" t="s">
        <v>1925</v>
      </c>
      <c r="C929" s="28" t="s">
        <v>520</v>
      </c>
      <c r="D929" s="70" t="n">
        <v>2150000</v>
      </c>
      <c r="E929" s="71" t="n">
        <v>0.1</v>
      </c>
      <c r="F929" s="36" t="n">
        <f aca="false">D929*(1+E929)</f>
        <v>2365000</v>
      </c>
      <c r="G929" s="36" t="n">
        <f aca="false">F929*'Informasi Proyek'!$C$20</f>
        <v>236500</v>
      </c>
      <c r="H929" s="39" t="n">
        <f aca="false">ROUND(F929+G929,0)</f>
        <v>2601500</v>
      </c>
    </row>
    <row r="930" customFormat="false" ht="15" hidden="false" customHeight="false" outlineLevel="0" collapsed="false">
      <c r="A930" s="66" t="s">
        <v>686</v>
      </c>
      <c r="B930" s="29" t="s">
        <v>1926</v>
      </c>
      <c r="C930" s="28" t="s">
        <v>520</v>
      </c>
      <c r="D930" s="70" t="n">
        <v>650000</v>
      </c>
      <c r="E930" s="71" t="n">
        <v>0.1</v>
      </c>
      <c r="F930" s="36" t="n">
        <f aca="false">D930*(1+E930)</f>
        <v>715000</v>
      </c>
      <c r="G930" s="36" t="n">
        <f aca="false">F930*'Informasi Proyek'!$C$20</f>
        <v>71500</v>
      </c>
      <c r="H930" s="39" t="n">
        <f aca="false">ROUND(F930+G930,0)</f>
        <v>786500</v>
      </c>
    </row>
    <row r="931" customFormat="false" ht="15" hidden="false" customHeight="false" outlineLevel="0" collapsed="false">
      <c r="A931" s="66" t="s">
        <v>688</v>
      </c>
      <c r="B931" s="29" t="s">
        <v>1927</v>
      </c>
      <c r="C931" s="28" t="s">
        <v>520</v>
      </c>
      <c r="D931" s="70" t="n">
        <v>1650000</v>
      </c>
      <c r="E931" s="71" t="n">
        <v>0.1</v>
      </c>
      <c r="F931" s="36" t="n">
        <f aca="false">D931*(1+E931)</f>
        <v>1815000</v>
      </c>
      <c r="G931" s="36" t="n">
        <f aca="false">F931*'Informasi Proyek'!$C$20</f>
        <v>181500</v>
      </c>
      <c r="H931" s="39" t="n">
        <f aca="false">ROUND(F931+G931,0)</f>
        <v>1996500</v>
      </c>
    </row>
    <row r="932" customFormat="false" ht="15" hidden="false" customHeight="false" outlineLevel="0" collapsed="false">
      <c r="A932" s="66" t="s">
        <v>691</v>
      </c>
      <c r="B932" s="29" t="s">
        <v>1928</v>
      </c>
      <c r="C932" s="28" t="s">
        <v>520</v>
      </c>
      <c r="D932" s="70" t="n">
        <v>1350000</v>
      </c>
      <c r="E932" s="71" t="n">
        <v>0.1</v>
      </c>
      <c r="F932" s="36" t="n">
        <f aca="false">D932*(1+E932)</f>
        <v>1485000</v>
      </c>
      <c r="G932" s="36" t="n">
        <f aca="false">F932*'Informasi Proyek'!$C$20</f>
        <v>148500</v>
      </c>
      <c r="H932" s="39" t="n">
        <f aca="false">ROUND(F932+G932,0)</f>
        <v>1633500</v>
      </c>
    </row>
    <row r="933" customFormat="false" ht="15" hidden="false" customHeight="false" outlineLevel="0" collapsed="false">
      <c r="A933" s="66" t="s">
        <v>694</v>
      </c>
      <c r="B933" s="29" t="s">
        <v>693</v>
      </c>
      <c r="C933" s="28" t="s">
        <v>520</v>
      </c>
      <c r="D933" s="70" t="n">
        <v>650000</v>
      </c>
      <c r="E933" s="71" t="n">
        <v>0.1</v>
      </c>
      <c r="F933" s="36" t="n">
        <f aca="false">D933*(1+E933)</f>
        <v>715000</v>
      </c>
      <c r="G933" s="36" t="n">
        <f aca="false">F933*'Informasi Proyek'!$C$20</f>
        <v>71500</v>
      </c>
      <c r="H933" s="39" t="n">
        <f aca="false">ROUND(F933+G933,0)</f>
        <v>786500</v>
      </c>
    </row>
    <row r="934" customFormat="false" ht="15" hidden="false" customHeight="false" outlineLevel="0" collapsed="false">
      <c r="A934" s="66" t="s">
        <v>697</v>
      </c>
      <c r="B934" s="29" t="s">
        <v>1929</v>
      </c>
      <c r="C934" s="28" t="s">
        <v>520</v>
      </c>
      <c r="D934" s="70" t="n">
        <v>850000</v>
      </c>
      <c r="E934" s="71" t="n">
        <v>0.1</v>
      </c>
      <c r="F934" s="36" t="n">
        <f aca="false">D934*(1+E934)</f>
        <v>935000</v>
      </c>
      <c r="G934" s="36" t="n">
        <f aca="false">F934*'Informasi Proyek'!$C$20</f>
        <v>93500</v>
      </c>
      <c r="H934" s="39" t="n">
        <f aca="false">ROUND(F934+G934,0)</f>
        <v>1028500</v>
      </c>
    </row>
    <row r="935" customFormat="false" ht="15" hidden="false" customHeight="false" outlineLevel="0" collapsed="false">
      <c r="A935" s="66" t="s">
        <v>702</v>
      </c>
      <c r="B935" s="29" t="s">
        <v>1930</v>
      </c>
      <c r="C935" s="28" t="s">
        <v>520</v>
      </c>
      <c r="D935" s="70" t="n">
        <v>18500000</v>
      </c>
      <c r="E935" s="71" t="n">
        <v>0</v>
      </c>
      <c r="F935" s="36" t="n">
        <f aca="false">D935*(1+E935)</f>
        <v>18500000</v>
      </c>
      <c r="G935" s="36" t="n">
        <f aca="false">F935*'Informasi Proyek'!$C$20</f>
        <v>1850000</v>
      </c>
      <c r="H935" s="39" t="n">
        <f aca="false">ROUND(F935+G935,0)</f>
        <v>20350000</v>
      </c>
    </row>
    <row r="936" customFormat="false" ht="15" hidden="false" customHeight="false" outlineLevel="0" collapsed="false">
      <c r="A936" s="66" t="s">
        <v>705</v>
      </c>
      <c r="B936" s="29" t="s">
        <v>1931</v>
      </c>
      <c r="C936" s="28" t="s">
        <v>1861</v>
      </c>
      <c r="D936" s="70" t="n">
        <v>150000</v>
      </c>
      <c r="E936" s="71" t="n">
        <v>0</v>
      </c>
      <c r="F936" s="36" t="n">
        <f aca="false">D936*(1+E936)</f>
        <v>150000</v>
      </c>
      <c r="G936" s="36" t="n">
        <f aca="false">F936*'Informasi Proyek'!$C$20</f>
        <v>15000</v>
      </c>
      <c r="H936" s="39" t="n">
        <f aca="false">ROUND(F936+G936,0)</f>
        <v>165000</v>
      </c>
    </row>
    <row r="937" customFormat="false" ht="15" hidden="false" customHeight="false" outlineLevel="0" collapsed="false">
      <c r="A937" s="66" t="s">
        <v>707</v>
      </c>
      <c r="B937" s="29" t="s">
        <v>1932</v>
      </c>
      <c r="C937" s="28" t="s">
        <v>1861</v>
      </c>
      <c r="D937" s="70" t="n">
        <v>1250000</v>
      </c>
      <c r="E937" s="71" t="n">
        <v>0</v>
      </c>
      <c r="F937" s="36" t="n">
        <f aca="false">D937*(1+E937)</f>
        <v>1250000</v>
      </c>
      <c r="G937" s="36" t="n">
        <f aca="false">F937*'Informasi Proyek'!$C$20</f>
        <v>125000</v>
      </c>
      <c r="H937" s="39" t="n">
        <f aca="false">ROUND(F937+G937,0)</f>
        <v>1375000</v>
      </c>
    </row>
    <row r="938" customFormat="false" ht="15" hidden="false" customHeight="false" outlineLevel="0" collapsed="false">
      <c r="A938" s="66" t="s">
        <v>709</v>
      </c>
      <c r="B938" s="29" t="s">
        <v>1933</v>
      </c>
      <c r="C938" s="28" t="s">
        <v>520</v>
      </c>
      <c r="D938" s="70" t="n">
        <v>2450000</v>
      </c>
      <c r="E938" s="71" t="n">
        <v>0</v>
      </c>
      <c r="F938" s="36" t="n">
        <f aca="false">D938*(1+E938)</f>
        <v>2450000</v>
      </c>
      <c r="G938" s="36" t="n">
        <f aca="false">F938*'Informasi Proyek'!$C$20</f>
        <v>245000</v>
      </c>
      <c r="H938" s="39" t="n">
        <f aca="false">ROUND(F938+G938,0)</f>
        <v>2695000</v>
      </c>
    </row>
    <row r="939" customFormat="false" ht="15" hidden="false" customHeight="false" outlineLevel="0" collapsed="false">
      <c r="A939" s="66" t="s">
        <v>711</v>
      </c>
      <c r="B939" s="29" t="s">
        <v>1934</v>
      </c>
      <c r="C939" s="28" t="s">
        <v>520</v>
      </c>
      <c r="D939" s="70" t="n">
        <v>2850000</v>
      </c>
      <c r="E939" s="71" t="n">
        <v>0</v>
      </c>
      <c r="F939" s="36" t="n">
        <f aca="false">D939*(1+E939)</f>
        <v>2850000</v>
      </c>
      <c r="G939" s="36" t="n">
        <f aca="false">F939*'Informasi Proyek'!$C$20</f>
        <v>285000</v>
      </c>
      <c r="H939" s="39" t="n">
        <f aca="false">ROUND(F939+G939,0)</f>
        <v>3135000</v>
      </c>
    </row>
    <row r="940" customFormat="false" ht="15" hidden="false" customHeight="false" outlineLevel="0" collapsed="false">
      <c r="A940" s="66" t="s">
        <v>713</v>
      </c>
      <c r="B940" s="29" t="s">
        <v>1935</v>
      </c>
      <c r="C940" s="28" t="s">
        <v>206</v>
      </c>
      <c r="D940" s="70" t="n">
        <v>385000</v>
      </c>
      <c r="E940" s="71" t="n">
        <v>0</v>
      </c>
      <c r="F940" s="36" t="n">
        <f aca="false">D940*(1+E940)</f>
        <v>385000</v>
      </c>
      <c r="G940" s="36" t="n">
        <f aca="false">F940*'Informasi Proyek'!$C$20</f>
        <v>38500</v>
      </c>
      <c r="H940" s="39" t="n">
        <f aca="false">ROUND(F940+G940,0)</f>
        <v>423500</v>
      </c>
    </row>
    <row r="941" customFormat="false" ht="15" hidden="false" customHeight="false" outlineLevel="0" collapsed="false">
      <c r="A941" s="66" t="s">
        <v>715</v>
      </c>
      <c r="B941" s="29" t="s">
        <v>1936</v>
      </c>
      <c r="C941" s="28" t="s">
        <v>206</v>
      </c>
      <c r="D941" s="70" t="n">
        <v>450000</v>
      </c>
      <c r="E941" s="71" t="n">
        <v>0</v>
      </c>
      <c r="F941" s="36" t="n">
        <f aca="false">D941*(1+E941)</f>
        <v>450000</v>
      </c>
      <c r="G941" s="36" t="n">
        <f aca="false">F941*'Informasi Proyek'!$C$20</f>
        <v>45000</v>
      </c>
      <c r="H941" s="39" t="n">
        <f aca="false">ROUND(F941+G941,0)</f>
        <v>495000</v>
      </c>
    </row>
    <row r="942" customFormat="false" ht="15" hidden="false" customHeight="false" outlineLevel="0" collapsed="false">
      <c r="A942" s="66" t="s">
        <v>717</v>
      </c>
      <c r="B942" s="29" t="s">
        <v>1937</v>
      </c>
      <c r="C942" s="28" t="s">
        <v>206</v>
      </c>
      <c r="D942" s="70" t="n">
        <v>350000</v>
      </c>
      <c r="E942" s="71" t="n">
        <v>0</v>
      </c>
      <c r="F942" s="36" t="n">
        <f aca="false">D942*(1+E942)</f>
        <v>350000</v>
      </c>
      <c r="G942" s="36" t="n">
        <f aca="false">F942*'Informasi Proyek'!$C$20</f>
        <v>35000</v>
      </c>
      <c r="H942" s="39" t="n">
        <f aca="false">ROUND(F942+G942,0)</f>
        <v>385000</v>
      </c>
    </row>
    <row r="943" customFormat="false" ht="15" hidden="false" customHeight="false" outlineLevel="0" collapsed="false">
      <c r="A943" s="66" t="s">
        <v>719</v>
      </c>
      <c r="B943" s="29" t="s">
        <v>1938</v>
      </c>
      <c r="C943" s="28" t="s">
        <v>520</v>
      </c>
      <c r="D943" s="70" t="n">
        <v>2150000</v>
      </c>
      <c r="E943" s="71" t="n">
        <v>0</v>
      </c>
      <c r="F943" s="36" t="n">
        <f aca="false">D943*(1+E943)</f>
        <v>2150000</v>
      </c>
      <c r="G943" s="36" t="n">
        <f aca="false">F943*'Informasi Proyek'!$C$20</f>
        <v>215000</v>
      </c>
      <c r="H943" s="39" t="n">
        <f aca="false">ROUND(F943+G943,0)</f>
        <v>2365000</v>
      </c>
    </row>
    <row r="944" customFormat="false" ht="15" hidden="false" customHeight="false" outlineLevel="0" collapsed="false">
      <c r="A944" s="66" t="s">
        <v>721</v>
      </c>
      <c r="B944" s="29" t="s">
        <v>1939</v>
      </c>
      <c r="C944" s="28" t="s">
        <v>206</v>
      </c>
      <c r="D944" s="70" t="n">
        <v>1650000</v>
      </c>
      <c r="E944" s="71" t="n">
        <v>0</v>
      </c>
      <c r="F944" s="36" t="n">
        <f aca="false">D944*(1+E944)</f>
        <v>1650000</v>
      </c>
      <c r="G944" s="36" t="n">
        <f aca="false">F944*'Informasi Proyek'!$C$20</f>
        <v>165000</v>
      </c>
      <c r="H944" s="39" t="n">
        <f aca="false">ROUND(F944+G944,0)</f>
        <v>1815000</v>
      </c>
    </row>
    <row r="945" customFormat="false" ht="15" hidden="false" customHeight="false" outlineLevel="0" collapsed="false">
      <c r="A945" s="66" t="s">
        <v>723</v>
      </c>
      <c r="B945" s="29" t="s">
        <v>1940</v>
      </c>
      <c r="C945" s="28" t="s">
        <v>520</v>
      </c>
      <c r="D945" s="70" t="n">
        <v>950000</v>
      </c>
      <c r="E945" s="71" t="n">
        <v>0</v>
      </c>
      <c r="F945" s="36" t="n">
        <f aca="false">D945*(1+E945)</f>
        <v>950000</v>
      </c>
      <c r="G945" s="36" t="n">
        <f aca="false">F945*'Informasi Proyek'!$C$20</f>
        <v>95000</v>
      </c>
      <c r="H945" s="39" t="n">
        <f aca="false">ROUND(F945+G945,0)</f>
        <v>1045000</v>
      </c>
    </row>
    <row r="946" customFormat="false" ht="15" hidden="false" customHeight="false" outlineLevel="0" collapsed="false">
      <c r="A946" s="66" t="s">
        <v>725</v>
      </c>
      <c r="B946" s="29" t="s">
        <v>1941</v>
      </c>
      <c r="C946" s="28" t="s">
        <v>1861</v>
      </c>
      <c r="D946" s="70" t="n">
        <v>62000</v>
      </c>
      <c r="E946" s="71" t="n">
        <v>0</v>
      </c>
      <c r="F946" s="36" t="n">
        <f aca="false">D946*(1+E946)</f>
        <v>62000</v>
      </c>
      <c r="G946" s="36" t="n">
        <f aca="false">F946*'Informasi Proyek'!$C$20</f>
        <v>6200</v>
      </c>
      <c r="H946" s="39" t="n">
        <f aca="false">ROUND(F946+G946,0)</f>
        <v>68200</v>
      </c>
    </row>
    <row r="947" customFormat="false" ht="15" hidden="false" customHeight="false" outlineLevel="0" collapsed="false">
      <c r="A947" s="66" t="s">
        <v>728</v>
      </c>
      <c r="B947" s="29" t="s">
        <v>1942</v>
      </c>
      <c r="C947" s="28" t="s">
        <v>520</v>
      </c>
      <c r="D947" s="70" t="n">
        <v>19500000</v>
      </c>
      <c r="E947" s="71" t="n">
        <v>0</v>
      </c>
      <c r="F947" s="36" t="n">
        <f aca="false">D947*(1+E947)</f>
        <v>19500000</v>
      </c>
      <c r="G947" s="36" t="n">
        <f aca="false">F947*'Informasi Proyek'!$C$20</f>
        <v>1950000</v>
      </c>
      <c r="H947" s="39" t="n">
        <f aca="false">ROUND(F947+G947,0)</f>
        <v>21450000</v>
      </c>
    </row>
    <row r="948" customFormat="false" ht="15" hidden="false" customHeight="false" outlineLevel="0" collapsed="false">
      <c r="A948" s="66" t="s">
        <v>730</v>
      </c>
      <c r="B948" s="29" t="s">
        <v>1943</v>
      </c>
      <c r="C948" s="28" t="s">
        <v>179</v>
      </c>
      <c r="D948" s="70" t="n">
        <v>1500000</v>
      </c>
      <c r="E948" s="71" t="n">
        <v>0</v>
      </c>
      <c r="F948" s="36" t="n">
        <f aca="false">D948*(1+E948)</f>
        <v>1500000</v>
      </c>
      <c r="G948" s="36" t="n">
        <f aca="false">F948*'Informasi Proyek'!$C$20</f>
        <v>150000</v>
      </c>
      <c r="H948" s="39" t="n">
        <f aca="false">ROUND(F948+G948,0)</f>
        <v>1650000</v>
      </c>
    </row>
    <row r="949" customFormat="false" ht="15" hidden="false" customHeight="false" outlineLevel="0" collapsed="false">
      <c r="A949" s="66" t="s">
        <v>735</v>
      </c>
      <c r="B949" s="29" t="s">
        <v>1944</v>
      </c>
      <c r="C949" s="28" t="s">
        <v>1861</v>
      </c>
      <c r="D949" s="70" t="n">
        <v>145000</v>
      </c>
      <c r="E949" s="71" t="n">
        <v>0</v>
      </c>
      <c r="F949" s="36" t="n">
        <f aca="false">D949*(1+E949)</f>
        <v>145000</v>
      </c>
      <c r="G949" s="36" t="n">
        <f aca="false">F949*'Informasi Proyek'!$C$20</f>
        <v>14500</v>
      </c>
      <c r="H949" s="39" t="n">
        <f aca="false">ROUND(F949+G949,0)</f>
        <v>159500</v>
      </c>
    </row>
    <row r="950" customFormat="false" ht="15" hidden="false" customHeight="false" outlineLevel="0" collapsed="false">
      <c r="A950" s="66" t="s">
        <v>737</v>
      </c>
      <c r="B950" s="29" t="s">
        <v>1945</v>
      </c>
      <c r="C950" s="28" t="s">
        <v>1861</v>
      </c>
      <c r="D950" s="70" t="n">
        <v>78000</v>
      </c>
      <c r="E950" s="71" t="n">
        <v>0</v>
      </c>
      <c r="F950" s="36" t="n">
        <f aca="false">D950*(1+E950)</f>
        <v>78000</v>
      </c>
      <c r="G950" s="36" t="n">
        <f aca="false">F950*'Informasi Proyek'!$C$20</f>
        <v>7800</v>
      </c>
      <c r="H950" s="39" t="n">
        <f aca="false">ROUND(F950+G950,0)</f>
        <v>85800</v>
      </c>
    </row>
    <row r="951" customFormat="false" ht="15" hidden="false" customHeight="false" outlineLevel="0" collapsed="false">
      <c r="A951" s="66" t="s">
        <v>739</v>
      </c>
      <c r="B951" s="29" t="s">
        <v>1946</v>
      </c>
      <c r="C951" s="28" t="s">
        <v>1861</v>
      </c>
      <c r="D951" s="70" t="n">
        <v>58000</v>
      </c>
      <c r="E951" s="71" t="n">
        <v>0</v>
      </c>
      <c r="F951" s="36" t="n">
        <f aca="false">D951*(1+E951)</f>
        <v>58000</v>
      </c>
      <c r="G951" s="36" t="n">
        <f aca="false">F951*'Informasi Proyek'!$C$20</f>
        <v>5800</v>
      </c>
      <c r="H951" s="39" t="n">
        <f aca="false">ROUND(F951+G951,0)</f>
        <v>63800</v>
      </c>
    </row>
    <row r="952" customFormat="false" ht="15" hidden="false" customHeight="false" outlineLevel="0" collapsed="false">
      <c r="A952" s="66" t="s">
        <v>741</v>
      </c>
      <c r="B952" s="29" t="s">
        <v>1947</v>
      </c>
      <c r="C952" s="28" t="s">
        <v>1861</v>
      </c>
      <c r="D952" s="70" t="n">
        <v>48000</v>
      </c>
      <c r="E952" s="71" t="n">
        <v>0</v>
      </c>
      <c r="F952" s="36" t="n">
        <f aca="false">D952*(1+E952)</f>
        <v>48000</v>
      </c>
      <c r="G952" s="36" t="n">
        <f aca="false">F952*'Informasi Proyek'!$C$20</f>
        <v>4800</v>
      </c>
      <c r="H952" s="39" t="n">
        <f aca="false">ROUND(F952+G952,0)</f>
        <v>52800</v>
      </c>
    </row>
    <row r="953" customFormat="false" ht="15" hidden="false" customHeight="false" outlineLevel="0" collapsed="false">
      <c r="A953" s="66" t="s">
        <v>743</v>
      </c>
      <c r="B953" s="29" t="s">
        <v>1948</v>
      </c>
      <c r="C953" s="28" t="s">
        <v>206</v>
      </c>
      <c r="D953" s="70" t="n">
        <v>585000</v>
      </c>
      <c r="E953" s="71" t="n">
        <v>0</v>
      </c>
      <c r="F953" s="36" t="n">
        <f aca="false">D953*(1+E953)</f>
        <v>585000</v>
      </c>
      <c r="G953" s="36" t="n">
        <f aca="false">F953*'Informasi Proyek'!$C$20</f>
        <v>58500</v>
      </c>
      <c r="H953" s="39" t="n">
        <f aca="false">ROUND(F953+G953,0)</f>
        <v>643500</v>
      </c>
    </row>
    <row r="954" customFormat="false" ht="15" hidden="false" customHeight="false" outlineLevel="0" collapsed="false">
      <c r="A954" s="66" t="s">
        <v>749</v>
      </c>
      <c r="B954" s="29" t="s">
        <v>1949</v>
      </c>
      <c r="C954" s="28" t="s">
        <v>1861</v>
      </c>
      <c r="D954" s="70" t="n">
        <v>165000</v>
      </c>
      <c r="E954" s="71" t="n">
        <v>0</v>
      </c>
      <c r="F954" s="36" t="n">
        <f aca="false">D954*(1+E954)</f>
        <v>165000</v>
      </c>
      <c r="G954" s="36" t="n">
        <f aca="false">F954*'Informasi Proyek'!$C$20</f>
        <v>16500</v>
      </c>
      <c r="H954" s="39" t="n">
        <f aca="false">ROUND(F954+G954,0)</f>
        <v>181500</v>
      </c>
    </row>
    <row r="955" customFormat="false" ht="15" hidden="false" customHeight="false" outlineLevel="0" collapsed="false">
      <c r="A955" s="66" t="s">
        <v>751</v>
      </c>
      <c r="B955" s="29" t="s">
        <v>1950</v>
      </c>
      <c r="C955" s="28" t="s">
        <v>1861</v>
      </c>
      <c r="D955" s="70" t="n">
        <v>115000</v>
      </c>
      <c r="E955" s="71" t="n">
        <v>0</v>
      </c>
      <c r="F955" s="36" t="n">
        <f aca="false">D955*(1+E955)</f>
        <v>115000</v>
      </c>
      <c r="G955" s="36" t="n">
        <f aca="false">F955*'Informasi Proyek'!$C$20</f>
        <v>11500</v>
      </c>
      <c r="H955" s="39" t="n">
        <f aca="false">ROUND(F955+G955,0)</f>
        <v>126500</v>
      </c>
    </row>
    <row r="956" customFormat="false" ht="15" hidden="false" customHeight="false" outlineLevel="0" collapsed="false">
      <c r="A956" s="66" t="s">
        <v>753</v>
      </c>
      <c r="B956" s="29" t="s">
        <v>1951</v>
      </c>
      <c r="C956" s="28" t="s">
        <v>1861</v>
      </c>
      <c r="D956" s="70" t="n">
        <v>52000</v>
      </c>
      <c r="E956" s="71" t="n">
        <v>0</v>
      </c>
      <c r="F956" s="36" t="n">
        <f aca="false">D956*(1+E956)</f>
        <v>52000</v>
      </c>
      <c r="G956" s="36" t="n">
        <f aca="false">F956*'Informasi Proyek'!$C$20</f>
        <v>5200</v>
      </c>
      <c r="H956" s="39" t="n">
        <f aca="false">ROUND(F956+G956,0)</f>
        <v>57200</v>
      </c>
    </row>
    <row r="957" customFormat="false" ht="15" hidden="false" customHeight="false" outlineLevel="0" collapsed="false">
      <c r="A957" s="66" t="s">
        <v>755</v>
      </c>
      <c r="B957" s="29" t="s">
        <v>1952</v>
      </c>
      <c r="C957" s="28" t="s">
        <v>206</v>
      </c>
      <c r="D957" s="70" t="n">
        <v>850000</v>
      </c>
      <c r="E957" s="71" t="n">
        <v>0</v>
      </c>
      <c r="F957" s="36" t="n">
        <f aca="false">D957*(1+E957)</f>
        <v>850000</v>
      </c>
      <c r="G957" s="36" t="n">
        <f aca="false">F957*'Informasi Proyek'!$C$20</f>
        <v>85000</v>
      </c>
      <c r="H957" s="39" t="n">
        <f aca="false">ROUND(F957+G957,0)</f>
        <v>935000</v>
      </c>
    </row>
    <row r="958" customFormat="false" ht="15" hidden="false" customHeight="false" outlineLevel="0" collapsed="false">
      <c r="A958" s="66" t="s">
        <v>757</v>
      </c>
      <c r="B958" s="29" t="s">
        <v>1953</v>
      </c>
      <c r="C958" s="28" t="s">
        <v>206</v>
      </c>
      <c r="D958" s="70" t="n">
        <v>285000</v>
      </c>
      <c r="E958" s="71" t="n">
        <v>0</v>
      </c>
      <c r="F958" s="36" t="n">
        <f aca="false">D958*(1+E958)</f>
        <v>285000</v>
      </c>
      <c r="G958" s="36" t="n">
        <f aca="false">F958*'Informasi Proyek'!$C$20</f>
        <v>28500</v>
      </c>
      <c r="H958" s="39" t="n">
        <f aca="false">ROUND(F958+G958,0)</f>
        <v>313500</v>
      </c>
    </row>
    <row r="959" customFormat="false" ht="15" hidden="false" customHeight="false" outlineLevel="0" collapsed="false">
      <c r="A959" s="66" t="s">
        <v>759</v>
      </c>
      <c r="B959" s="29" t="s">
        <v>1954</v>
      </c>
      <c r="C959" s="28" t="s">
        <v>183</v>
      </c>
      <c r="D959" s="70" t="n">
        <v>4500000</v>
      </c>
      <c r="E959" s="71" t="n">
        <v>0</v>
      </c>
      <c r="F959" s="36" t="n">
        <f aca="false">D959*(1+E959)</f>
        <v>4500000</v>
      </c>
      <c r="G959" s="36" t="n">
        <f aca="false">F959*'Informasi Proyek'!$C$20</f>
        <v>450000</v>
      </c>
      <c r="H959" s="39" t="n">
        <f aca="false">ROUND(F959+G959,0)</f>
        <v>4950000</v>
      </c>
    </row>
    <row r="960" customFormat="false" ht="15" hidden="false" customHeight="false" outlineLevel="0" collapsed="false">
      <c r="A960" s="66" t="s">
        <v>767</v>
      </c>
      <c r="B960" s="29" t="s">
        <v>1955</v>
      </c>
      <c r="C960" s="28" t="s">
        <v>1861</v>
      </c>
      <c r="D960" s="70" t="n">
        <v>265000</v>
      </c>
      <c r="E960" s="71" t="n">
        <v>0</v>
      </c>
      <c r="F960" s="36" t="n">
        <f aca="false">D960*(1+E960)</f>
        <v>265000</v>
      </c>
      <c r="G960" s="36" t="n">
        <f aca="false">F960*'Informasi Proyek'!$C$20</f>
        <v>26500</v>
      </c>
      <c r="H960" s="39" t="n">
        <f aca="false">ROUND(F960+G960,0)</f>
        <v>291500</v>
      </c>
    </row>
    <row r="961" customFormat="false" ht="15" hidden="false" customHeight="false" outlineLevel="0" collapsed="false">
      <c r="A961" s="66" t="s">
        <v>770</v>
      </c>
      <c r="B961" s="29" t="s">
        <v>1956</v>
      </c>
      <c r="C961" s="28" t="s">
        <v>206</v>
      </c>
      <c r="D961" s="70" t="n">
        <v>1250000</v>
      </c>
      <c r="E961" s="71" t="n">
        <v>0</v>
      </c>
      <c r="F961" s="36" t="n">
        <f aca="false">D961*(1+E961)</f>
        <v>1250000</v>
      </c>
      <c r="G961" s="36" t="n">
        <f aca="false">F961*'Informasi Proyek'!$C$20</f>
        <v>125000</v>
      </c>
      <c r="H961" s="39" t="n">
        <f aca="false">ROUND(F961+G961,0)</f>
        <v>1375000</v>
      </c>
    </row>
    <row r="962" customFormat="false" ht="15" hidden="false" customHeight="false" outlineLevel="0" collapsed="false">
      <c r="A962" s="66" t="s">
        <v>772</v>
      </c>
      <c r="B962" s="29" t="s">
        <v>1957</v>
      </c>
      <c r="C962" s="28" t="s">
        <v>206</v>
      </c>
      <c r="D962" s="70" t="n">
        <v>425000</v>
      </c>
      <c r="E962" s="71" t="n">
        <v>0</v>
      </c>
      <c r="F962" s="36" t="n">
        <f aca="false">D962*(1+E962)</f>
        <v>425000</v>
      </c>
      <c r="G962" s="36" t="n">
        <f aca="false">F962*'Informasi Proyek'!$C$20</f>
        <v>42500</v>
      </c>
      <c r="H962" s="39" t="n">
        <f aca="false">ROUND(F962+G962,0)</f>
        <v>467500</v>
      </c>
    </row>
    <row r="963" customFormat="false" ht="15" hidden="false" customHeight="false" outlineLevel="0" collapsed="false">
      <c r="A963" s="66" t="s">
        <v>774</v>
      </c>
      <c r="B963" s="29" t="s">
        <v>1958</v>
      </c>
      <c r="C963" s="28" t="s">
        <v>206</v>
      </c>
      <c r="D963" s="70" t="n">
        <v>42000000</v>
      </c>
      <c r="E963" s="71" t="n">
        <v>0</v>
      </c>
      <c r="F963" s="36" t="n">
        <f aca="false">D963*(1+E963)</f>
        <v>42000000</v>
      </c>
      <c r="G963" s="36" t="n">
        <f aca="false">F963*'Informasi Proyek'!$C$20</f>
        <v>4200000</v>
      </c>
      <c r="H963" s="39" t="n">
        <f aca="false">ROUND(F963+G963,0)</f>
        <v>46200000</v>
      </c>
    </row>
    <row r="964" customFormat="false" ht="15" hidden="false" customHeight="false" outlineLevel="0" collapsed="false">
      <c r="A964" s="66" t="s">
        <v>776</v>
      </c>
      <c r="B964" s="29" t="s">
        <v>1959</v>
      </c>
      <c r="C964" s="28" t="s">
        <v>206</v>
      </c>
      <c r="D964" s="70" t="n">
        <v>8500000</v>
      </c>
      <c r="E964" s="71" t="n">
        <v>0</v>
      </c>
      <c r="F964" s="36" t="n">
        <f aca="false">D964*(1+E964)</f>
        <v>8500000</v>
      </c>
      <c r="G964" s="36" t="n">
        <f aca="false">F964*'Informasi Proyek'!$C$20</f>
        <v>850000</v>
      </c>
      <c r="H964" s="39" t="n">
        <f aca="false">ROUND(F964+G964,0)</f>
        <v>9350000</v>
      </c>
    </row>
    <row r="965" customFormat="false" ht="15" hidden="false" customHeight="false" outlineLevel="0" collapsed="false">
      <c r="A965" s="66" t="s">
        <v>782</v>
      </c>
      <c r="B965" s="29" t="s">
        <v>1960</v>
      </c>
      <c r="C965" s="28" t="s">
        <v>206</v>
      </c>
      <c r="D965" s="70" t="n">
        <v>485000</v>
      </c>
      <c r="E965" s="71" t="n">
        <v>0</v>
      </c>
      <c r="F965" s="36" t="n">
        <f aca="false">D965*(1+E965)</f>
        <v>485000</v>
      </c>
      <c r="G965" s="36" t="n">
        <f aca="false">F965*'Informasi Proyek'!$C$20</f>
        <v>48500</v>
      </c>
      <c r="H965" s="39" t="n">
        <f aca="false">ROUND(F965+G965,0)</f>
        <v>533500</v>
      </c>
    </row>
    <row r="966" customFormat="false" ht="15" hidden="false" customHeight="false" outlineLevel="0" collapsed="false">
      <c r="A966" s="66" t="s">
        <v>785</v>
      </c>
      <c r="B966" s="29" t="s">
        <v>1961</v>
      </c>
      <c r="C966" s="28" t="s">
        <v>784</v>
      </c>
      <c r="D966" s="70" t="n">
        <v>125000</v>
      </c>
      <c r="E966" s="71" t="n">
        <v>0</v>
      </c>
      <c r="F966" s="36" t="n">
        <f aca="false">D966*(1+E966)</f>
        <v>125000</v>
      </c>
      <c r="G966" s="36" t="n">
        <f aca="false">F966*'Informasi Proyek'!$C$20</f>
        <v>12500</v>
      </c>
      <c r="H966" s="39" t="n">
        <f aca="false">ROUND(F966+G966,0)</f>
        <v>137500</v>
      </c>
    </row>
    <row r="967" customFormat="false" ht="15" hidden="false" customHeight="false" outlineLevel="0" collapsed="false">
      <c r="A967" s="66" t="s">
        <v>791</v>
      </c>
      <c r="B967" s="29" t="s">
        <v>1962</v>
      </c>
      <c r="C967" s="28" t="s">
        <v>183</v>
      </c>
      <c r="D967" s="70" t="n">
        <v>65000000</v>
      </c>
      <c r="E967" s="71" t="n">
        <v>0</v>
      </c>
      <c r="F967" s="36" t="n">
        <f aca="false">D967*(1+E967)</f>
        <v>65000000</v>
      </c>
      <c r="G967" s="36" t="n">
        <f aca="false">F967*'Informasi Proyek'!$C$20</f>
        <v>6500000</v>
      </c>
      <c r="H967" s="39" t="n">
        <f aca="false">ROUND(F967+G967,0)</f>
        <v>71500000</v>
      </c>
    </row>
    <row r="968" customFormat="false" ht="15" hidden="false" customHeight="false" outlineLevel="0" collapsed="false">
      <c r="A968" s="66" t="s">
        <v>793</v>
      </c>
      <c r="B968" s="29" t="s">
        <v>1963</v>
      </c>
      <c r="C968" s="28" t="s">
        <v>183</v>
      </c>
      <c r="D968" s="70" t="n">
        <v>28000000</v>
      </c>
      <c r="E968" s="71" t="n">
        <v>0</v>
      </c>
      <c r="F968" s="36" t="n">
        <f aca="false">D968*(1+E968)</f>
        <v>28000000</v>
      </c>
      <c r="G968" s="36" t="n">
        <f aca="false">F968*'Informasi Proyek'!$C$20</f>
        <v>2800000</v>
      </c>
      <c r="H968" s="39" t="n">
        <f aca="false">ROUND(F968+G968,0)</f>
        <v>30800000</v>
      </c>
    </row>
    <row r="969" customFormat="false" ht="15" hidden="false" customHeight="false" outlineLevel="0" collapsed="false">
      <c r="A969" s="66" t="s">
        <v>796</v>
      </c>
      <c r="B969" s="29" t="s">
        <v>1964</v>
      </c>
      <c r="C969" s="28" t="s">
        <v>183</v>
      </c>
      <c r="D969" s="70" t="n">
        <v>9500000</v>
      </c>
      <c r="E969" s="71" t="n">
        <v>0</v>
      </c>
      <c r="F969" s="36" t="n">
        <f aca="false">D969*(1+E969)</f>
        <v>9500000</v>
      </c>
      <c r="G969" s="36" t="n">
        <f aca="false">F969*'Informasi Proyek'!$C$20</f>
        <v>950000</v>
      </c>
      <c r="H969" s="39" t="n">
        <f aca="false">ROUND(F969+G969,0)</f>
        <v>10450000</v>
      </c>
    </row>
    <row r="970" customFormat="false" ht="15" hidden="false" customHeight="false" outlineLevel="0" collapsed="false">
      <c r="A970" s="66" t="s">
        <v>798</v>
      </c>
      <c r="B970" s="29" t="s">
        <v>1964</v>
      </c>
      <c r="C970" s="28" t="s">
        <v>183</v>
      </c>
      <c r="D970" s="70" t="n">
        <v>9500000</v>
      </c>
      <c r="E970" s="71" t="n">
        <v>0</v>
      </c>
      <c r="F970" s="36" t="n">
        <f aca="false">D970*(1+E970)</f>
        <v>9500000</v>
      </c>
      <c r="G970" s="36" t="n">
        <f aca="false">F970*'Informasi Proyek'!$C$20</f>
        <v>950000</v>
      </c>
      <c r="H970" s="39" t="n">
        <f aca="false">ROUND(F970+G970,0)</f>
        <v>10450000</v>
      </c>
    </row>
    <row r="971" customFormat="false" ht="15" hidden="false" customHeight="false" outlineLevel="0" collapsed="false">
      <c r="A971" s="66" t="s">
        <v>800</v>
      </c>
      <c r="B971" s="29" t="s">
        <v>1965</v>
      </c>
      <c r="C971" s="28" t="s">
        <v>183</v>
      </c>
      <c r="D971" s="70" t="n">
        <v>22000000</v>
      </c>
      <c r="E971" s="71" t="n">
        <v>0</v>
      </c>
      <c r="F971" s="36" t="n">
        <f aca="false">D971*(1+E971)</f>
        <v>22000000</v>
      </c>
      <c r="G971" s="36" t="n">
        <f aca="false">F971*'Informasi Proyek'!$C$20</f>
        <v>2200000</v>
      </c>
      <c r="H971" s="39" t="n">
        <f aca="false">ROUND(F971+G971,0)</f>
        <v>24200000</v>
      </c>
    </row>
    <row r="972" customFormat="false" ht="15" hidden="false" customHeight="false" outlineLevel="0" collapsed="false">
      <c r="A972" s="66" t="s">
        <v>804</v>
      </c>
      <c r="B972" s="29" t="s">
        <v>1966</v>
      </c>
      <c r="C972" s="28" t="s">
        <v>1728</v>
      </c>
      <c r="D972" s="70" t="n">
        <v>440000</v>
      </c>
      <c r="E972" s="71" t="n">
        <v>0</v>
      </c>
      <c r="F972" s="36" t="n">
        <f aca="false">D972*(1+E972)</f>
        <v>440000</v>
      </c>
      <c r="G972" s="36" t="n">
        <f aca="false">F972*'Informasi Proyek'!$C$20</f>
        <v>44000</v>
      </c>
      <c r="H972" s="39" t="n">
        <f aca="false">ROUND(F972+G972,0)</f>
        <v>484000</v>
      </c>
    </row>
    <row r="973" customFormat="false" ht="15" hidden="false" customHeight="false" outlineLevel="0" collapsed="false">
      <c r="A973" s="66" t="s">
        <v>807</v>
      </c>
      <c r="B973" s="29" t="s">
        <v>1967</v>
      </c>
      <c r="C973" s="28" t="s">
        <v>1728</v>
      </c>
      <c r="D973" s="70" t="n">
        <v>150000</v>
      </c>
      <c r="E973" s="71" t="n">
        <v>0</v>
      </c>
      <c r="F973" s="36" t="n">
        <f aca="false">D973*(1+E973)</f>
        <v>150000</v>
      </c>
      <c r="G973" s="36" t="n">
        <f aca="false">F973*'Informasi Proyek'!$C$20</f>
        <v>15000</v>
      </c>
      <c r="H973" s="39" t="n">
        <f aca="false">ROUND(F973+G973,0)</f>
        <v>165000</v>
      </c>
    </row>
    <row r="974" customFormat="false" ht="15" hidden="false" customHeight="false" outlineLevel="0" collapsed="false">
      <c r="A974" s="66" t="s">
        <v>810</v>
      </c>
      <c r="B974" s="29" t="s">
        <v>1968</v>
      </c>
      <c r="C974" s="28" t="s">
        <v>1728</v>
      </c>
      <c r="D974" s="70" t="n">
        <v>225000</v>
      </c>
      <c r="E974" s="71" t="n">
        <v>0</v>
      </c>
      <c r="F974" s="36" t="n">
        <f aca="false">D974*(1+E974)</f>
        <v>225000</v>
      </c>
      <c r="G974" s="36" t="n">
        <f aca="false">F974*'Informasi Proyek'!$C$20</f>
        <v>22500</v>
      </c>
      <c r="H974" s="39" t="n">
        <f aca="false">ROUND(F974+G974,0)</f>
        <v>247500</v>
      </c>
    </row>
    <row r="975" customFormat="false" ht="15" hidden="false" customHeight="false" outlineLevel="0" collapsed="false">
      <c r="A975" s="66" t="s">
        <v>815</v>
      </c>
      <c r="B975" s="29" t="s">
        <v>1969</v>
      </c>
      <c r="C975" s="28" t="s">
        <v>1728</v>
      </c>
      <c r="D975" s="70" t="n">
        <v>385000</v>
      </c>
      <c r="E975" s="71" t="n">
        <v>0</v>
      </c>
      <c r="F975" s="36" t="n">
        <f aca="false">D975*(1+E975)</f>
        <v>385000</v>
      </c>
      <c r="G975" s="36" t="n">
        <f aca="false">F975*'Informasi Proyek'!$C$20</f>
        <v>38500</v>
      </c>
      <c r="H975" s="39" t="n">
        <f aca="false">ROUND(F975+G975,0)</f>
        <v>423500</v>
      </c>
    </row>
    <row r="976" customFormat="false" ht="15" hidden="false" customHeight="false" outlineLevel="0" collapsed="false">
      <c r="A976" s="66" t="s">
        <v>817</v>
      </c>
      <c r="B976" s="29" t="s">
        <v>1970</v>
      </c>
      <c r="C976" s="28" t="s">
        <v>1728</v>
      </c>
      <c r="D976" s="70" t="n">
        <v>365000</v>
      </c>
      <c r="E976" s="71" t="n">
        <v>0</v>
      </c>
      <c r="F976" s="36" t="n">
        <f aca="false">D976*(1+E976)</f>
        <v>365000</v>
      </c>
      <c r="G976" s="36" t="n">
        <f aca="false">F976*'Informasi Proyek'!$C$20</f>
        <v>36500</v>
      </c>
      <c r="H976" s="39" t="n">
        <f aca="false">ROUND(F976+G976,0)</f>
        <v>401500</v>
      </c>
    </row>
    <row r="977" customFormat="false" ht="15" hidden="false" customHeight="false" outlineLevel="0" collapsed="false">
      <c r="A977" s="66" t="s">
        <v>823</v>
      </c>
      <c r="B977" s="29" t="s">
        <v>1971</v>
      </c>
      <c r="C977" s="28" t="s">
        <v>206</v>
      </c>
      <c r="D977" s="70" t="n">
        <v>85000</v>
      </c>
      <c r="E977" s="71" t="n">
        <v>0.15</v>
      </c>
      <c r="F977" s="36" t="n">
        <f aca="false">D977*(1+E977)</f>
        <v>97750</v>
      </c>
      <c r="G977" s="36" t="n">
        <f aca="false">F977*'Informasi Proyek'!$C$20</f>
        <v>9775</v>
      </c>
      <c r="H977" s="39" t="n">
        <f aca="false">ROUND(F977+G977,0)</f>
        <v>107525</v>
      </c>
    </row>
    <row r="978" customFormat="false" ht="15" hidden="false" customHeight="false" outlineLevel="0" collapsed="false">
      <c r="A978" s="66" t="s">
        <v>825</v>
      </c>
      <c r="B978" s="29" t="s">
        <v>1972</v>
      </c>
      <c r="C978" s="28" t="s">
        <v>206</v>
      </c>
      <c r="D978" s="70" t="n">
        <v>135000</v>
      </c>
      <c r="E978" s="71" t="n">
        <v>0.15</v>
      </c>
      <c r="F978" s="36" t="n">
        <f aca="false">D978*(1+E978)</f>
        <v>155250</v>
      </c>
      <c r="G978" s="36" t="n">
        <f aca="false">F978*'Informasi Proyek'!$C$20</f>
        <v>15525</v>
      </c>
      <c r="H978" s="39" t="n">
        <f aca="false">ROUND(F978+G978,0)</f>
        <v>170775</v>
      </c>
    </row>
    <row r="979" customFormat="false" ht="15" hidden="false" customHeight="false" outlineLevel="0" collapsed="false">
      <c r="A979" s="66" t="s">
        <v>827</v>
      </c>
      <c r="B979" s="29" t="s">
        <v>1973</v>
      </c>
      <c r="C979" s="28" t="s">
        <v>206</v>
      </c>
      <c r="D979" s="70" t="n">
        <v>395000</v>
      </c>
      <c r="E979" s="71" t="n">
        <v>0.15</v>
      </c>
      <c r="F979" s="36" t="n">
        <f aca="false">D979*(1+E979)</f>
        <v>454250</v>
      </c>
      <c r="G979" s="36" t="n">
        <f aca="false">F979*'Informasi Proyek'!$C$20</f>
        <v>45425</v>
      </c>
      <c r="H979" s="39" t="n">
        <f aca="false">ROUND(F979+G979,0)</f>
        <v>499675</v>
      </c>
    </row>
    <row r="980" customFormat="false" ht="15" hidden="false" customHeight="false" outlineLevel="0" collapsed="false">
      <c r="A980" s="66" t="s">
        <v>829</v>
      </c>
      <c r="B980" s="29" t="s">
        <v>1974</v>
      </c>
      <c r="C980" s="28" t="s">
        <v>1861</v>
      </c>
      <c r="D980" s="70" t="n">
        <v>95000</v>
      </c>
      <c r="E980" s="71" t="n">
        <v>0.15</v>
      </c>
      <c r="F980" s="36" t="n">
        <f aca="false">D980*(1+E980)</f>
        <v>109250</v>
      </c>
      <c r="G980" s="36" t="n">
        <f aca="false">F980*'Informasi Proyek'!$C$20</f>
        <v>10925</v>
      </c>
      <c r="H980" s="39" t="n">
        <f aca="false">ROUND(F980+G980,0)</f>
        <v>120175</v>
      </c>
    </row>
    <row r="981" customFormat="false" ht="15" hidden="false" customHeight="false" outlineLevel="0" collapsed="false">
      <c r="A981" s="66" t="s">
        <v>831</v>
      </c>
      <c r="B981" s="29" t="s">
        <v>1975</v>
      </c>
      <c r="C981" s="28" t="s">
        <v>206</v>
      </c>
      <c r="D981" s="70" t="n">
        <v>55000</v>
      </c>
      <c r="E981" s="71" t="n">
        <v>0.2</v>
      </c>
      <c r="F981" s="36" t="n">
        <f aca="false">D981*(1+E981)</f>
        <v>66000</v>
      </c>
      <c r="G981" s="36" t="n">
        <f aca="false">F981*'Informasi Proyek'!$C$20</f>
        <v>6600</v>
      </c>
      <c r="H981" s="39" t="n">
        <f aca="false">ROUND(F981+G981,0)</f>
        <v>72600</v>
      </c>
    </row>
    <row r="982" customFormat="false" ht="15" hidden="false" customHeight="false" outlineLevel="0" collapsed="false">
      <c r="A982" s="66" t="s">
        <v>833</v>
      </c>
      <c r="B982" s="29" t="s">
        <v>1976</v>
      </c>
      <c r="C982" s="28" t="s">
        <v>206</v>
      </c>
      <c r="D982" s="70" t="n">
        <v>75000</v>
      </c>
      <c r="E982" s="71" t="n">
        <v>0.2</v>
      </c>
      <c r="F982" s="36" t="n">
        <f aca="false">D982*(1+E982)</f>
        <v>90000</v>
      </c>
      <c r="G982" s="36" t="n">
        <f aca="false">F982*'Informasi Proyek'!$C$20</f>
        <v>9000</v>
      </c>
      <c r="H982" s="39" t="n">
        <f aca="false">ROUND(F982+G982,0)</f>
        <v>99000</v>
      </c>
    </row>
    <row r="983" customFormat="false" ht="15" hidden="false" customHeight="false" outlineLevel="0" collapsed="false">
      <c r="A983" s="66" t="s">
        <v>835</v>
      </c>
      <c r="B983" s="29" t="s">
        <v>1977</v>
      </c>
      <c r="C983" s="28" t="s">
        <v>206</v>
      </c>
      <c r="D983" s="70" t="n">
        <v>62000</v>
      </c>
      <c r="E983" s="71" t="n">
        <v>0.2</v>
      </c>
      <c r="F983" s="36" t="n">
        <f aca="false">D983*(1+E983)</f>
        <v>74400</v>
      </c>
      <c r="G983" s="36" t="n">
        <f aca="false">F983*'Informasi Proyek'!$C$20</f>
        <v>7440</v>
      </c>
      <c r="H983" s="39" t="n">
        <f aca="false">ROUND(F983+G983,0)</f>
        <v>81840</v>
      </c>
    </row>
    <row r="984" customFormat="false" ht="15" hidden="false" customHeight="false" outlineLevel="0" collapsed="false">
      <c r="A984" s="66" t="s">
        <v>837</v>
      </c>
      <c r="B984" s="29" t="s">
        <v>1978</v>
      </c>
      <c r="C984" s="28" t="s">
        <v>206</v>
      </c>
      <c r="D984" s="70" t="n">
        <v>385000</v>
      </c>
      <c r="E984" s="71" t="n">
        <v>0.15</v>
      </c>
      <c r="F984" s="36" t="n">
        <f aca="false">D984*(1+E984)</f>
        <v>442750</v>
      </c>
      <c r="G984" s="36" t="n">
        <f aca="false">F984*'Informasi Proyek'!$C$20</f>
        <v>44275</v>
      </c>
      <c r="H984" s="39" t="n">
        <f aca="false">ROUND(F984+G984,0)</f>
        <v>487025</v>
      </c>
    </row>
    <row r="985" customFormat="false" ht="15" hidden="false" customHeight="false" outlineLevel="0" collapsed="false">
      <c r="A985" s="66" t="s">
        <v>839</v>
      </c>
      <c r="B985" s="29" t="s">
        <v>1979</v>
      </c>
      <c r="C985" s="28" t="s">
        <v>784</v>
      </c>
      <c r="D985" s="70" t="n">
        <v>215000</v>
      </c>
      <c r="E985" s="71" t="n">
        <v>0</v>
      </c>
      <c r="F985" s="36" t="n">
        <f aca="false">D985*(1+E985)</f>
        <v>215000</v>
      </c>
      <c r="G985" s="36" t="n">
        <f aca="false">F985*'Informasi Proyek'!$C$20</f>
        <v>21500</v>
      </c>
      <c r="H985" s="39" t="n">
        <f aca="false">ROUND(F985+G985,0)</f>
        <v>236500</v>
      </c>
    </row>
    <row r="986" customFormat="false" ht="15" hidden="false" customHeight="false" outlineLevel="0" collapsed="false">
      <c r="A986" s="66" t="s">
        <v>841</v>
      </c>
      <c r="B986" s="29" t="s">
        <v>1980</v>
      </c>
      <c r="C986" s="28" t="s">
        <v>784</v>
      </c>
      <c r="D986" s="70" t="n">
        <v>235000</v>
      </c>
      <c r="E986" s="71" t="n">
        <v>0</v>
      </c>
      <c r="F986" s="36" t="n">
        <f aca="false">D986*(1+E986)</f>
        <v>235000</v>
      </c>
      <c r="G986" s="36" t="n">
        <f aca="false">F986*'Informasi Proyek'!$C$20</f>
        <v>23500</v>
      </c>
      <c r="H986" s="39" t="n">
        <f aca="false">ROUND(F986+G986,0)</f>
        <v>258500</v>
      </c>
    </row>
    <row r="987" customFormat="false" ht="15" hidden="false" customHeight="false" outlineLevel="0" collapsed="false">
      <c r="A987" s="66" t="s">
        <v>843</v>
      </c>
      <c r="B987" s="29" t="s">
        <v>1981</v>
      </c>
      <c r="C987" s="28" t="s">
        <v>784</v>
      </c>
      <c r="D987" s="70" t="n">
        <v>215000</v>
      </c>
      <c r="E987" s="71" t="n">
        <v>0</v>
      </c>
      <c r="F987" s="36" t="n">
        <f aca="false">D987*(1+E987)</f>
        <v>215000</v>
      </c>
      <c r="G987" s="36" t="n">
        <f aca="false">F987*'Informasi Proyek'!$C$20</f>
        <v>21500</v>
      </c>
      <c r="H987" s="39" t="n">
        <f aca="false">ROUND(F987+G987,0)</f>
        <v>236500</v>
      </c>
    </row>
    <row r="988" customFormat="false" ht="15" hidden="false" customHeight="false" outlineLevel="0" collapsed="false">
      <c r="A988" s="66" t="s">
        <v>851</v>
      </c>
      <c r="B988" s="29" t="s">
        <v>1982</v>
      </c>
      <c r="C988" s="28" t="s">
        <v>183</v>
      </c>
      <c r="D988" s="70" t="n">
        <v>12500000</v>
      </c>
      <c r="E988" s="71" t="n">
        <v>0</v>
      </c>
      <c r="F988" s="36" t="n">
        <f aca="false">D988*(1+E988)</f>
        <v>12500000</v>
      </c>
      <c r="G988" s="36" t="n">
        <f aca="false">F988*'Informasi Proyek'!$C$20</f>
        <v>1250000</v>
      </c>
      <c r="H988" s="39" t="n">
        <f aca="false">ROUND(F988+G988,0)</f>
        <v>13750000</v>
      </c>
    </row>
    <row r="989" customFormat="false" ht="15" hidden="false" customHeight="false" outlineLevel="0" collapsed="false">
      <c r="A989" s="66" t="s">
        <v>853</v>
      </c>
      <c r="B989" s="29" t="s">
        <v>1983</v>
      </c>
      <c r="C989" s="28" t="s">
        <v>520</v>
      </c>
      <c r="D989" s="70" t="n">
        <v>4250000</v>
      </c>
      <c r="E989" s="71" t="n">
        <v>0</v>
      </c>
      <c r="F989" s="36" t="n">
        <f aca="false">D989*(1+E989)</f>
        <v>4250000</v>
      </c>
      <c r="G989" s="36" t="n">
        <f aca="false">F989*'Informasi Proyek'!$C$20</f>
        <v>425000</v>
      </c>
      <c r="H989" s="39" t="n">
        <f aca="false">ROUND(F989+G989,0)</f>
        <v>4675000</v>
      </c>
    </row>
    <row r="990" customFormat="false" ht="15" hidden="false" customHeight="false" outlineLevel="0" collapsed="false">
      <c r="A990" s="66" t="s">
        <v>855</v>
      </c>
      <c r="B990" s="29" t="s">
        <v>1984</v>
      </c>
      <c r="C990" s="28" t="s">
        <v>257</v>
      </c>
      <c r="D990" s="70" t="n">
        <v>2850000</v>
      </c>
      <c r="E990" s="71" t="n">
        <v>0</v>
      </c>
      <c r="F990" s="36" t="n">
        <f aca="false">D990*(1+E990)</f>
        <v>2850000</v>
      </c>
      <c r="G990" s="36" t="n">
        <f aca="false">F990*'Informasi Proyek'!$C$20</f>
        <v>285000</v>
      </c>
      <c r="H990" s="39" t="n">
        <f aca="false">ROUND(F990+G990,0)</f>
        <v>3135000</v>
      </c>
    </row>
    <row r="991" customFormat="false" ht="15" hidden="false" customHeight="false" outlineLevel="0" collapsed="false">
      <c r="A991" s="66" t="s">
        <v>857</v>
      </c>
      <c r="B991" s="29" t="s">
        <v>1985</v>
      </c>
      <c r="C991" s="28" t="s">
        <v>183</v>
      </c>
      <c r="D991" s="70" t="n">
        <v>1250000</v>
      </c>
      <c r="E991" s="71" t="n">
        <v>0</v>
      </c>
      <c r="F991" s="36" t="n">
        <f aca="false">D991*(1+E991)</f>
        <v>1250000</v>
      </c>
      <c r="G991" s="36" t="n">
        <f aca="false">F991*'Informasi Proyek'!$C$20</f>
        <v>125000</v>
      </c>
      <c r="H991" s="39" t="n">
        <f aca="false">ROUND(F991+G991,0)</f>
        <v>1375000</v>
      </c>
    </row>
    <row r="992" customFormat="false" ht="15" hidden="false" customHeight="false" outlineLevel="0" collapsed="false">
      <c r="A992" s="66" t="s">
        <v>860</v>
      </c>
      <c r="B992" s="29" t="s">
        <v>1986</v>
      </c>
      <c r="C992" s="28" t="s">
        <v>520</v>
      </c>
      <c r="D992" s="70" t="n">
        <v>1650000</v>
      </c>
      <c r="E992" s="71" t="n">
        <v>0</v>
      </c>
      <c r="F992" s="36" t="n">
        <f aca="false">D992*(1+E992)</f>
        <v>1650000</v>
      </c>
      <c r="G992" s="36" t="n">
        <f aca="false">F992*'Informasi Proyek'!$C$20</f>
        <v>165000</v>
      </c>
      <c r="H992" s="39" t="n">
        <f aca="false">ROUND(F992+G992,0)</f>
        <v>1815000</v>
      </c>
    </row>
    <row r="993" customFormat="false" ht="15" hidden="false" customHeight="false" outlineLevel="0" collapsed="false">
      <c r="A993" s="66" t="s">
        <v>862</v>
      </c>
      <c r="B993" s="29" t="s">
        <v>1987</v>
      </c>
      <c r="C993" s="28" t="s">
        <v>520</v>
      </c>
      <c r="D993" s="70" t="n">
        <v>1450000</v>
      </c>
      <c r="E993" s="71" t="n">
        <v>0</v>
      </c>
      <c r="F993" s="36" t="n">
        <f aca="false">D993*(1+E993)</f>
        <v>1450000</v>
      </c>
      <c r="G993" s="36" t="n">
        <f aca="false">F993*'Informasi Proyek'!$C$20</f>
        <v>145000</v>
      </c>
      <c r="H993" s="39" t="n">
        <f aca="false">ROUND(F993+G993,0)</f>
        <v>1595000</v>
      </c>
    </row>
    <row r="994" customFormat="false" ht="15" hidden="false" customHeight="false" outlineLevel="0" collapsed="false">
      <c r="A994" s="66" t="s">
        <v>864</v>
      </c>
      <c r="B994" s="29" t="s">
        <v>1988</v>
      </c>
      <c r="C994" s="28" t="s">
        <v>784</v>
      </c>
      <c r="D994" s="70" t="n">
        <v>585000</v>
      </c>
      <c r="E994" s="71" t="n">
        <v>0</v>
      </c>
      <c r="F994" s="36" t="n">
        <f aca="false">D994*(1+E994)</f>
        <v>585000</v>
      </c>
      <c r="G994" s="36" t="n">
        <f aca="false">F994*'Informasi Proyek'!$C$20</f>
        <v>58500</v>
      </c>
      <c r="H994" s="39" t="n">
        <f aca="false">ROUND(F994+G994,0)</f>
        <v>643500</v>
      </c>
    </row>
    <row r="995" customFormat="false" ht="15" hidden="false" customHeight="false" outlineLevel="0" collapsed="false">
      <c r="A995" s="66" t="s">
        <v>868</v>
      </c>
      <c r="B995" s="29" t="s">
        <v>1989</v>
      </c>
      <c r="C995" s="28" t="s">
        <v>520</v>
      </c>
      <c r="D995" s="70" t="n">
        <v>4250000</v>
      </c>
      <c r="E995" s="71" t="n">
        <v>0</v>
      </c>
      <c r="F995" s="36" t="n">
        <f aca="false">D995*(1+E995)</f>
        <v>4250000</v>
      </c>
      <c r="G995" s="36" t="n">
        <f aca="false">F995*'Informasi Proyek'!$C$20</f>
        <v>425000</v>
      </c>
      <c r="H995" s="39" t="n">
        <f aca="false">ROUND(F995+G995,0)</f>
        <v>4675000</v>
      </c>
    </row>
    <row r="996" customFormat="false" ht="15" hidden="false" customHeight="false" outlineLevel="0" collapsed="false">
      <c r="A996" s="66" t="s">
        <v>870</v>
      </c>
      <c r="B996" s="29" t="s">
        <v>1990</v>
      </c>
      <c r="C996" s="28" t="s">
        <v>520</v>
      </c>
      <c r="D996" s="70" t="n">
        <v>1850000</v>
      </c>
      <c r="E996" s="71" t="n">
        <v>0</v>
      </c>
      <c r="F996" s="36" t="n">
        <f aca="false">D996*(1+E996)</f>
        <v>1850000</v>
      </c>
      <c r="G996" s="36" t="n">
        <f aca="false">F996*'Informasi Proyek'!$C$20</f>
        <v>185000</v>
      </c>
      <c r="H996" s="39" t="n">
        <f aca="false">ROUND(F996+G996,0)</f>
        <v>2035000</v>
      </c>
    </row>
    <row r="997" customFormat="false" ht="15" hidden="false" customHeight="false" outlineLevel="0" collapsed="false">
      <c r="A997" s="66" t="s">
        <v>872</v>
      </c>
      <c r="B997" s="29" t="s">
        <v>1991</v>
      </c>
      <c r="C997" s="28" t="s">
        <v>520</v>
      </c>
      <c r="D997" s="70" t="n">
        <v>285000</v>
      </c>
      <c r="E997" s="71" t="n">
        <v>0</v>
      </c>
      <c r="F997" s="36" t="n">
        <f aca="false">D997*(1+E997)</f>
        <v>285000</v>
      </c>
      <c r="G997" s="36" t="n">
        <f aca="false">F997*'Informasi Proyek'!$C$20</f>
        <v>28500</v>
      </c>
      <c r="H997" s="39" t="n">
        <f aca="false">ROUND(F997+G997,0)</f>
        <v>313500</v>
      </c>
    </row>
    <row r="998" customFormat="false" ht="15" hidden="false" customHeight="false" outlineLevel="0" collapsed="false">
      <c r="A998" s="66" t="s">
        <v>874</v>
      </c>
      <c r="B998" s="29" t="s">
        <v>1992</v>
      </c>
      <c r="C998" s="28" t="s">
        <v>520</v>
      </c>
      <c r="D998" s="70" t="n">
        <v>265000</v>
      </c>
      <c r="E998" s="71" t="n">
        <v>0</v>
      </c>
      <c r="F998" s="36" t="n">
        <f aca="false">D998*(1+E998)</f>
        <v>265000</v>
      </c>
      <c r="G998" s="36" t="n">
        <f aca="false">F998*'Informasi Proyek'!$C$20</f>
        <v>26500</v>
      </c>
      <c r="H998" s="39" t="n">
        <f aca="false">ROUND(F998+G998,0)</f>
        <v>291500</v>
      </c>
    </row>
    <row r="999" customFormat="false" ht="15" hidden="false" customHeight="false" outlineLevel="0" collapsed="false">
      <c r="A999" s="66" t="s">
        <v>876</v>
      </c>
      <c r="B999" s="29" t="s">
        <v>1993</v>
      </c>
      <c r="C999" s="28" t="s">
        <v>520</v>
      </c>
      <c r="D999" s="70" t="n">
        <v>8500000</v>
      </c>
      <c r="E999" s="71" t="n">
        <v>0</v>
      </c>
      <c r="F999" s="36" t="n">
        <f aca="false">D999*(1+E999)</f>
        <v>8500000</v>
      </c>
      <c r="G999" s="36" t="n">
        <f aca="false">F999*'Informasi Proyek'!$C$20</f>
        <v>850000</v>
      </c>
      <c r="H999" s="39" t="n">
        <f aca="false">ROUND(F999+G999,0)</f>
        <v>9350000</v>
      </c>
    </row>
    <row r="1000" customFormat="false" ht="15" hidden="false" customHeight="false" outlineLevel="0" collapsed="false">
      <c r="A1000" s="66" t="s">
        <v>878</v>
      </c>
      <c r="B1000" s="29" t="s">
        <v>1994</v>
      </c>
      <c r="C1000" s="28" t="s">
        <v>1861</v>
      </c>
      <c r="D1000" s="70" t="n">
        <v>38000</v>
      </c>
      <c r="E1000" s="71" t="n">
        <v>0</v>
      </c>
      <c r="F1000" s="36" t="n">
        <f aca="false">D1000*(1+E1000)</f>
        <v>38000</v>
      </c>
      <c r="G1000" s="36" t="n">
        <f aca="false">F1000*'Informasi Proyek'!$C$20</f>
        <v>3800</v>
      </c>
      <c r="H1000" s="39" t="n">
        <f aca="false">ROUND(F1000+G1000,0)</f>
        <v>41800</v>
      </c>
    </row>
    <row r="1001" customFormat="false" ht="15" hidden="false" customHeight="false" outlineLevel="0" collapsed="false">
      <c r="A1001" s="66" t="s">
        <v>880</v>
      </c>
      <c r="B1001" s="29" t="s">
        <v>1995</v>
      </c>
      <c r="C1001" s="28" t="s">
        <v>520</v>
      </c>
      <c r="D1001" s="70" t="n">
        <v>4850000</v>
      </c>
      <c r="E1001" s="71" t="n">
        <v>0</v>
      </c>
      <c r="F1001" s="36" t="n">
        <f aca="false">D1001*(1+E1001)</f>
        <v>4850000</v>
      </c>
      <c r="G1001" s="36" t="n">
        <f aca="false">F1001*'Informasi Proyek'!$C$20</f>
        <v>485000</v>
      </c>
      <c r="H1001" s="39" t="n">
        <f aca="false">ROUND(F1001+G1001,0)</f>
        <v>5335000</v>
      </c>
    </row>
    <row r="1002" customFormat="false" ht="15" hidden="false" customHeight="false" outlineLevel="0" collapsed="false">
      <c r="A1002" s="66" t="s">
        <v>882</v>
      </c>
      <c r="B1002" s="29" t="s">
        <v>1996</v>
      </c>
      <c r="C1002" s="28" t="s">
        <v>520</v>
      </c>
      <c r="D1002" s="70" t="n">
        <v>1650000</v>
      </c>
      <c r="E1002" s="71" t="n">
        <v>0</v>
      </c>
      <c r="F1002" s="36" t="n">
        <f aca="false">D1002*(1+E1002)</f>
        <v>1650000</v>
      </c>
      <c r="G1002" s="36" t="n">
        <f aca="false">F1002*'Informasi Proyek'!$C$20</f>
        <v>165000</v>
      </c>
      <c r="H1002" s="39" t="n">
        <f aca="false">ROUND(F1002+G1002,0)</f>
        <v>1815000</v>
      </c>
    </row>
    <row r="1003" customFormat="false" ht="15" hidden="false" customHeight="false" outlineLevel="0" collapsed="false">
      <c r="A1003" s="66" t="s">
        <v>884</v>
      </c>
      <c r="B1003" s="29" t="s">
        <v>1997</v>
      </c>
      <c r="C1003" s="28" t="s">
        <v>520</v>
      </c>
      <c r="D1003" s="70" t="n">
        <v>3250000</v>
      </c>
      <c r="E1003" s="71" t="n">
        <v>0</v>
      </c>
      <c r="F1003" s="36" t="n">
        <f aca="false">D1003*(1+E1003)</f>
        <v>3250000</v>
      </c>
      <c r="G1003" s="36" t="n">
        <f aca="false">F1003*'Informasi Proyek'!$C$20</f>
        <v>325000</v>
      </c>
      <c r="H1003" s="39" t="n">
        <f aca="false">ROUND(F1003+G1003,0)</f>
        <v>3575000</v>
      </c>
    </row>
    <row r="1004" customFormat="false" ht="15" hidden="false" customHeight="false" outlineLevel="0" collapsed="false">
      <c r="A1004" s="66" t="s">
        <v>888</v>
      </c>
      <c r="B1004" s="29" t="s">
        <v>1998</v>
      </c>
      <c r="C1004" s="28" t="s">
        <v>520</v>
      </c>
      <c r="D1004" s="70" t="n">
        <v>14500000</v>
      </c>
      <c r="E1004" s="71" t="n">
        <v>0</v>
      </c>
      <c r="F1004" s="36" t="n">
        <f aca="false">D1004*(1+E1004)</f>
        <v>14500000</v>
      </c>
      <c r="G1004" s="36" t="n">
        <f aca="false">F1004*'Informasi Proyek'!$C$20</f>
        <v>1450000</v>
      </c>
      <c r="H1004" s="39" t="n">
        <f aca="false">ROUND(F1004+G1004,0)</f>
        <v>15950000</v>
      </c>
    </row>
    <row r="1005" customFormat="false" ht="15" hidden="false" customHeight="false" outlineLevel="0" collapsed="false">
      <c r="A1005" s="66" t="s">
        <v>890</v>
      </c>
      <c r="B1005" s="29" t="s">
        <v>1999</v>
      </c>
      <c r="C1005" s="28" t="s">
        <v>520</v>
      </c>
      <c r="D1005" s="70" t="n">
        <v>5500000</v>
      </c>
      <c r="E1005" s="71" t="n">
        <v>0</v>
      </c>
      <c r="F1005" s="36" t="n">
        <f aca="false">D1005*(1+E1005)</f>
        <v>5500000</v>
      </c>
      <c r="G1005" s="36" t="n">
        <f aca="false">F1005*'Informasi Proyek'!$C$20</f>
        <v>550000</v>
      </c>
      <c r="H1005" s="39" t="n">
        <f aca="false">ROUND(F1005+G1005,0)</f>
        <v>6050000</v>
      </c>
    </row>
    <row r="1006" customFormat="false" ht="15" hidden="false" customHeight="false" outlineLevel="0" collapsed="false">
      <c r="A1006" s="66" t="s">
        <v>892</v>
      </c>
      <c r="B1006" s="29" t="s">
        <v>2000</v>
      </c>
      <c r="C1006" s="28" t="s">
        <v>784</v>
      </c>
      <c r="D1006" s="70" t="n">
        <v>450000</v>
      </c>
      <c r="E1006" s="71" t="n">
        <v>0</v>
      </c>
      <c r="F1006" s="36" t="n">
        <f aca="false">D1006*(1+E1006)</f>
        <v>450000</v>
      </c>
      <c r="G1006" s="36" t="n">
        <f aca="false">F1006*'Informasi Proyek'!$C$20</f>
        <v>45000</v>
      </c>
      <c r="H1006" s="39" t="n">
        <f aca="false">ROUND(F1006+G1006,0)</f>
        <v>495000</v>
      </c>
    </row>
    <row r="1007" customFormat="false" ht="15" hidden="false" customHeight="false" outlineLevel="0" collapsed="false">
      <c r="A1007" s="66" t="s">
        <v>895</v>
      </c>
      <c r="B1007" s="29" t="s">
        <v>2001</v>
      </c>
      <c r="C1007" s="28" t="s">
        <v>520</v>
      </c>
      <c r="D1007" s="70" t="n">
        <v>650000</v>
      </c>
      <c r="E1007" s="71" t="n">
        <v>0</v>
      </c>
      <c r="F1007" s="36" t="n">
        <f aca="false">D1007*(1+E1007)</f>
        <v>650000</v>
      </c>
      <c r="G1007" s="36" t="n">
        <f aca="false">F1007*'Informasi Proyek'!$C$20</f>
        <v>65000</v>
      </c>
      <c r="H1007" s="39" t="n">
        <f aca="false">ROUND(F1007+G1007,0)</f>
        <v>715000</v>
      </c>
    </row>
    <row r="1008" customFormat="false" ht="15" hidden="false" customHeight="false" outlineLevel="0" collapsed="false">
      <c r="A1008" s="66" t="s">
        <v>897</v>
      </c>
      <c r="B1008" s="29" t="s">
        <v>2002</v>
      </c>
      <c r="C1008" s="28" t="s">
        <v>1861</v>
      </c>
      <c r="D1008" s="70" t="n">
        <v>48000</v>
      </c>
      <c r="E1008" s="71" t="n">
        <v>0</v>
      </c>
      <c r="F1008" s="36" t="n">
        <f aca="false">D1008*(1+E1008)</f>
        <v>48000</v>
      </c>
      <c r="G1008" s="36" t="n">
        <f aca="false">F1008*'Informasi Proyek'!$C$20</f>
        <v>4800</v>
      </c>
      <c r="H1008" s="39" t="n">
        <f aca="false">ROUND(F1008+G1008,0)</f>
        <v>52800</v>
      </c>
    </row>
    <row r="1009" customFormat="false" ht="15" hidden="false" customHeight="false" outlineLevel="0" collapsed="false">
      <c r="A1009" s="66" t="s">
        <v>899</v>
      </c>
      <c r="B1009" s="29" t="s">
        <v>2003</v>
      </c>
      <c r="C1009" s="28" t="s">
        <v>206</v>
      </c>
      <c r="D1009" s="70" t="n">
        <v>385000</v>
      </c>
      <c r="E1009" s="71" t="n">
        <v>0.15</v>
      </c>
      <c r="F1009" s="36" t="n">
        <f aca="false">D1009*(1+E1009)</f>
        <v>442750</v>
      </c>
      <c r="G1009" s="36" t="n">
        <f aca="false">F1009*'Informasi Proyek'!$C$20</f>
        <v>44275</v>
      </c>
      <c r="H1009" s="39" t="n">
        <f aca="false">ROUND(F1009+G1009,0)</f>
        <v>487025</v>
      </c>
    </row>
    <row r="1010" customFormat="false" ht="15" hidden="false" customHeight="false" outlineLevel="0" collapsed="false">
      <c r="A1010" s="66" t="s">
        <v>901</v>
      </c>
      <c r="B1010" s="29" t="s">
        <v>2004</v>
      </c>
      <c r="C1010" s="28" t="s">
        <v>206</v>
      </c>
      <c r="D1010" s="70" t="n">
        <v>345000</v>
      </c>
      <c r="E1010" s="71" t="n">
        <v>0.15</v>
      </c>
      <c r="F1010" s="36" t="n">
        <f aca="false">D1010*(1+E1010)</f>
        <v>396750</v>
      </c>
      <c r="G1010" s="36" t="n">
        <f aca="false">F1010*'Informasi Proyek'!$C$20</f>
        <v>39675</v>
      </c>
      <c r="H1010" s="39" t="n">
        <f aca="false">ROUND(F1010+G1010,0)</f>
        <v>436425</v>
      </c>
    </row>
    <row r="1011" customFormat="false" ht="15" hidden="false" customHeight="false" outlineLevel="0" collapsed="false">
      <c r="A1011" s="66" t="s">
        <v>903</v>
      </c>
      <c r="B1011" s="29" t="s">
        <v>2005</v>
      </c>
      <c r="C1011" s="28" t="s">
        <v>206</v>
      </c>
      <c r="D1011" s="70" t="n">
        <v>285000</v>
      </c>
      <c r="E1011" s="71" t="n">
        <v>0.15</v>
      </c>
      <c r="F1011" s="36" t="n">
        <f aca="false">D1011*(1+E1011)</f>
        <v>327750</v>
      </c>
      <c r="G1011" s="36" t="n">
        <f aca="false">F1011*'Informasi Proyek'!$C$20</f>
        <v>32775</v>
      </c>
      <c r="H1011" s="39" t="n">
        <f aca="false">ROUND(F1011+G1011,0)</f>
        <v>360525</v>
      </c>
    </row>
    <row r="1012" customFormat="false" ht="15" hidden="false" customHeight="false" outlineLevel="0" collapsed="false">
      <c r="A1012" s="66" t="s">
        <v>905</v>
      </c>
      <c r="B1012" s="29" t="s">
        <v>2006</v>
      </c>
      <c r="C1012" s="28" t="s">
        <v>206</v>
      </c>
      <c r="D1012" s="70" t="n">
        <v>385000</v>
      </c>
      <c r="E1012" s="71" t="n">
        <v>0.15</v>
      </c>
      <c r="F1012" s="36" t="n">
        <f aca="false">D1012*(1+E1012)</f>
        <v>442750</v>
      </c>
      <c r="G1012" s="36" t="n">
        <f aca="false">F1012*'Informasi Proyek'!$C$20</f>
        <v>44275</v>
      </c>
      <c r="H1012" s="39" t="n">
        <f aca="false">ROUND(F1012+G1012,0)</f>
        <v>487025</v>
      </c>
    </row>
    <row r="1013" customFormat="false" ht="15" hidden="false" customHeight="false" outlineLevel="0" collapsed="false">
      <c r="A1013" s="66" t="s">
        <v>907</v>
      </c>
      <c r="B1013" s="29" t="s">
        <v>2007</v>
      </c>
      <c r="C1013" s="28" t="s">
        <v>206</v>
      </c>
      <c r="D1013" s="70" t="n">
        <v>165000</v>
      </c>
      <c r="E1013" s="71" t="n">
        <v>0.15</v>
      </c>
      <c r="F1013" s="36" t="n">
        <f aca="false">D1013*(1+E1013)</f>
        <v>189750</v>
      </c>
      <c r="G1013" s="36" t="n">
        <f aca="false">F1013*'Informasi Proyek'!$C$20</f>
        <v>18975</v>
      </c>
      <c r="H1013" s="39" t="n">
        <f aca="false">ROUND(F1013+G1013,0)</f>
        <v>208725</v>
      </c>
    </row>
    <row r="1014" customFormat="false" ht="15" hidden="false" customHeight="false" outlineLevel="0" collapsed="false">
      <c r="A1014" s="66" t="s">
        <v>909</v>
      </c>
      <c r="B1014" s="29" t="s">
        <v>2008</v>
      </c>
      <c r="C1014" s="28" t="s">
        <v>784</v>
      </c>
      <c r="D1014" s="70" t="n">
        <v>295000</v>
      </c>
      <c r="E1014" s="71" t="n">
        <v>0</v>
      </c>
      <c r="F1014" s="36" t="n">
        <f aca="false">D1014*(1+E1014)</f>
        <v>295000</v>
      </c>
      <c r="G1014" s="36" t="n">
        <f aca="false">F1014*'Informasi Proyek'!$C$20</f>
        <v>29500</v>
      </c>
      <c r="H1014" s="39" t="n">
        <f aca="false">ROUND(F1014+G1014,0)</f>
        <v>324500</v>
      </c>
    </row>
    <row r="1015" customFormat="false" ht="15" hidden="false" customHeight="false" outlineLevel="0" collapsed="false">
      <c r="A1015" s="66" t="s">
        <v>919</v>
      </c>
      <c r="B1015" s="29" t="s">
        <v>2009</v>
      </c>
      <c r="C1015" s="28" t="s">
        <v>183</v>
      </c>
      <c r="D1015" s="70" t="n">
        <v>7500000</v>
      </c>
      <c r="E1015" s="71" t="n">
        <v>0</v>
      </c>
      <c r="F1015" s="36" t="n">
        <f aca="false">D1015*(1+E1015)</f>
        <v>7500000</v>
      </c>
      <c r="G1015" s="36" t="n">
        <f aca="false">F1015*'Informasi Proyek'!$C$20</f>
        <v>750000</v>
      </c>
      <c r="H1015" s="39" t="n">
        <f aca="false">ROUND(F1015+G1015,0)</f>
        <v>8250000</v>
      </c>
    </row>
    <row r="1016" customFormat="false" ht="15" hidden="false" customHeight="false" outlineLevel="0" collapsed="false">
      <c r="A1016" s="66" t="s">
        <v>921</v>
      </c>
      <c r="B1016" s="29" t="s">
        <v>2010</v>
      </c>
      <c r="C1016" s="28" t="s">
        <v>520</v>
      </c>
      <c r="D1016" s="70" t="n">
        <v>6500000</v>
      </c>
      <c r="E1016" s="71" t="n">
        <v>0</v>
      </c>
      <c r="F1016" s="36" t="n">
        <f aca="false">D1016*(1+E1016)</f>
        <v>6500000</v>
      </c>
      <c r="G1016" s="36" t="n">
        <f aca="false">F1016*'Informasi Proyek'!$C$20</f>
        <v>650000</v>
      </c>
      <c r="H1016" s="39" t="n">
        <f aca="false">ROUND(F1016+G1016,0)</f>
        <v>7150000</v>
      </c>
    </row>
    <row r="1017" customFormat="false" ht="15" hidden="false" customHeight="false" outlineLevel="0" collapsed="false">
      <c r="A1017" s="66" t="s">
        <v>923</v>
      </c>
      <c r="B1017" s="29" t="s">
        <v>2011</v>
      </c>
      <c r="C1017" s="28" t="s">
        <v>520</v>
      </c>
      <c r="D1017" s="70" t="n">
        <v>3500000</v>
      </c>
      <c r="E1017" s="71" t="n">
        <v>0</v>
      </c>
      <c r="F1017" s="36" t="n">
        <f aca="false">D1017*(1+E1017)</f>
        <v>3500000</v>
      </c>
      <c r="G1017" s="36" t="n">
        <f aca="false">F1017*'Informasi Proyek'!$C$20</f>
        <v>350000</v>
      </c>
      <c r="H1017" s="39" t="n">
        <f aca="false">ROUND(F1017+G1017,0)</f>
        <v>3850000</v>
      </c>
    </row>
    <row r="1018" customFormat="false" ht="15" hidden="false" customHeight="false" outlineLevel="0" collapsed="false">
      <c r="A1018" s="66" t="s">
        <v>926</v>
      </c>
      <c r="B1018" s="29" t="s">
        <v>2012</v>
      </c>
      <c r="C1018" s="28" t="s">
        <v>206</v>
      </c>
      <c r="D1018" s="70" t="n">
        <v>650000</v>
      </c>
      <c r="E1018" s="71" t="n">
        <v>0</v>
      </c>
      <c r="F1018" s="36" t="n">
        <f aca="false">D1018*(1+E1018)</f>
        <v>650000</v>
      </c>
      <c r="G1018" s="36" t="n">
        <f aca="false">F1018*'Informasi Proyek'!$C$20</f>
        <v>65000</v>
      </c>
      <c r="H1018" s="39" t="n">
        <f aca="false">ROUND(F1018+G1018,0)</f>
        <v>715000</v>
      </c>
    </row>
    <row r="1019" customFormat="false" ht="15" hidden="false" customHeight="false" outlineLevel="0" collapsed="false">
      <c r="A1019" s="66" t="s">
        <v>928</v>
      </c>
      <c r="B1019" s="29" t="s">
        <v>2013</v>
      </c>
      <c r="C1019" s="28" t="s">
        <v>206</v>
      </c>
      <c r="D1019" s="70" t="n">
        <v>85000</v>
      </c>
      <c r="E1019" s="71" t="n">
        <v>0.15</v>
      </c>
      <c r="F1019" s="36" t="n">
        <f aca="false">D1019*(1+E1019)</f>
        <v>97750</v>
      </c>
      <c r="G1019" s="36" t="n">
        <f aca="false">F1019*'Informasi Proyek'!$C$20</f>
        <v>9775</v>
      </c>
      <c r="H1019" s="39" t="n">
        <f aca="false">ROUND(F1019+G1019,0)</f>
        <v>107525</v>
      </c>
    </row>
    <row r="1020" customFormat="false" ht="15" hidden="false" customHeight="false" outlineLevel="0" collapsed="false">
      <c r="A1020" s="66" t="s">
        <v>930</v>
      </c>
      <c r="B1020" s="29" t="s">
        <v>2014</v>
      </c>
      <c r="C1020" s="28" t="s">
        <v>1861</v>
      </c>
      <c r="D1020" s="70" t="n">
        <v>42000</v>
      </c>
      <c r="E1020" s="71" t="n">
        <v>0</v>
      </c>
      <c r="F1020" s="36" t="n">
        <f aca="false">D1020*(1+E1020)</f>
        <v>42000</v>
      </c>
      <c r="G1020" s="36" t="n">
        <f aca="false">F1020*'Informasi Proyek'!$C$20</f>
        <v>4200</v>
      </c>
      <c r="H1020" s="39" t="n">
        <f aca="false">ROUND(F1020+G1020,0)</f>
        <v>46200</v>
      </c>
    </row>
    <row r="1021" customFormat="false" ht="15" hidden="false" customHeight="false" outlineLevel="0" collapsed="false">
      <c r="A1021" s="66" t="s">
        <v>937</v>
      </c>
      <c r="B1021" s="29" t="s">
        <v>2015</v>
      </c>
      <c r="C1021" s="28" t="s">
        <v>520</v>
      </c>
      <c r="D1021" s="70" t="n">
        <v>32000000</v>
      </c>
      <c r="E1021" s="71" t="n">
        <v>0</v>
      </c>
      <c r="F1021" s="36" t="n">
        <f aca="false">D1021*(1+E1021)</f>
        <v>32000000</v>
      </c>
      <c r="G1021" s="36" t="n">
        <f aca="false">F1021*'Informasi Proyek'!$C$20</f>
        <v>3200000</v>
      </c>
      <c r="H1021" s="39" t="n">
        <f aca="false">ROUND(F1021+G1021,0)</f>
        <v>35200000</v>
      </c>
    </row>
    <row r="1022" customFormat="false" ht="15" hidden="false" customHeight="false" outlineLevel="0" collapsed="false">
      <c r="A1022" s="66" t="s">
        <v>939</v>
      </c>
      <c r="B1022" s="29" t="s">
        <v>2016</v>
      </c>
      <c r="C1022" s="28" t="s">
        <v>1861</v>
      </c>
      <c r="D1022" s="70" t="n">
        <v>285000</v>
      </c>
      <c r="E1022" s="71" t="n">
        <v>0</v>
      </c>
      <c r="F1022" s="36" t="n">
        <f aca="false">D1022*(1+E1022)</f>
        <v>285000</v>
      </c>
      <c r="G1022" s="36" t="n">
        <f aca="false">F1022*'Informasi Proyek'!$C$20</f>
        <v>28500</v>
      </c>
      <c r="H1022" s="39" t="n">
        <f aca="false">ROUND(F1022+G1022,0)</f>
        <v>313500</v>
      </c>
    </row>
    <row r="1023" customFormat="false" ht="15" hidden="false" customHeight="false" outlineLevel="0" collapsed="false">
      <c r="A1023" s="66" t="s">
        <v>941</v>
      </c>
      <c r="B1023" s="29" t="s">
        <v>2017</v>
      </c>
      <c r="C1023" s="28" t="s">
        <v>1861</v>
      </c>
      <c r="D1023" s="70" t="n">
        <v>165000</v>
      </c>
      <c r="E1023" s="71" t="n">
        <v>0</v>
      </c>
      <c r="F1023" s="36" t="n">
        <f aca="false">D1023*(1+E1023)</f>
        <v>165000</v>
      </c>
      <c r="G1023" s="36" t="n">
        <f aca="false">F1023*'Informasi Proyek'!$C$20</f>
        <v>16500</v>
      </c>
      <c r="H1023" s="39" t="n">
        <f aca="false">ROUND(F1023+G1023,0)</f>
        <v>181500</v>
      </c>
    </row>
    <row r="1024" customFormat="false" ht="15" hidden="false" customHeight="false" outlineLevel="0" collapsed="false">
      <c r="A1024" s="66" t="s">
        <v>944</v>
      </c>
      <c r="B1024" s="29" t="s">
        <v>2018</v>
      </c>
      <c r="C1024" s="28" t="s">
        <v>943</v>
      </c>
      <c r="D1024" s="70" t="n">
        <v>18500000</v>
      </c>
      <c r="E1024" s="71" t="n">
        <v>0</v>
      </c>
      <c r="F1024" s="36" t="n">
        <f aca="false">D1024*(1+E1024)</f>
        <v>18500000</v>
      </c>
      <c r="G1024" s="36" t="n">
        <f aca="false">F1024*'Informasi Proyek'!$C$20</f>
        <v>1850000</v>
      </c>
      <c r="H1024" s="39" t="n">
        <f aca="false">ROUND(F1024+G1024,0)</f>
        <v>20350000</v>
      </c>
    </row>
    <row r="1025" customFormat="false" ht="15" hidden="false" customHeight="false" outlineLevel="0" collapsed="false">
      <c r="A1025" s="66" t="s">
        <v>946</v>
      </c>
      <c r="B1025" s="29" t="s">
        <v>2019</v>
      </c>
      <c r="C1025" s="28" t="s">
        <v>179</v>
      </c>
      <c r="D1025" s="70" t="n">
        <v>1250000</v>
      </c>
      <c r="E1025" s="71" t="n">
        <v>0</v>
      </c>
      <c r="F1025" s="36" t="n">
        <f aca="false">D1025*(1+E1025)</f>
        <v>1250000</v>
      </c>
      <c r="G1025" s="36" t="n">
        <f aca="false">F1025*'Informasi Proyek'!$C$20</f>
        <v>125000</v>
      </c>
      <c r="H1025" s="39" t="n">
        <f aca="false">ROUND(F1025+G1025,0)</f>
        <v>1375000</v>
      </c>
    </row>
    <row r="1026" customFormat="false" ht="15" hidden="false" customHeight="false" outlineLevel="0" collapsed="false">
      <c r="A1026" s="66" t="s">
        <v>949</v>
      </c>
      <c r="B1026" s="29" t="s">
        <v>2020</v>
      </c>
      <c r="C1026" s="28" t="s">
        <v>1861</v>
      </c>
      <c r="D1026" s="70" t="n">
        <v>135000</v>
      </c>
      <c r="E1026" s="71" t="n">
        <v>0</v>
      </c>
      <c r="F1026" s="36" t="n">
        <f aca="false">D1026*(1+E1026)</f>
        <v>135000</v>
      </c>
      <c r="G1026" s="36" t="n">
        <f aca="false">F1026*'Informasi Proyek'!$C$20</f>
        <v>13500</v>
      </c>
      <c r="H1026" s="39" t="n">
        <f aca="false">ROUND(F1026+G1026,0)</f>
        <v>148500</v>
      </c>
    </row>
    <row r="1027" customFormat="false" ht="15" hidden="false" customHeight="false" outlineLevel="0" collapsed="false">
      <c r="A1027" s="66" t="s">
        <v>952</v>
      </c>
      <c r="B1027" s="29" t="s">
        <v>2021</v>
      </c>
      <c r="C1027" s="28" t="s">
        <v>1861</v>
      </c>
      <c r="D1027" s="70" t="n">
        <v>105000</v>
      </c>
      <c r="E1027" s="71" t="n">
        <v>0</v>
      </c>
      <c r="F1027" s="36" t="n">
        <f aca="false">D1027*(1+E1027)</f>
        <v>105000</v>
      </c>
      <c r="G1027" s="36" t="n">
        <f aca="false">F1027*'Informasi Proyek'!$C$20</f>
        <v>10500</v>
      </c>
      <c r="H1027" s="39" t="n">
        <f aca="false">ROUND(F1027+G1027,0)</f>
        <v>115500</v>
      </c>
    </row>
    <row r="1028" customFormat="false" ht="15" hidden="false" customHeight="false" outlineLevel="0" collapsed="false">
      <c r="A1028" s="66" t="s">
        <v>955</v>
      </c>
      <c r="B1028" s="29" t="s">
        <v>2022</v>
      </c>
      <c r="C1028" s="28" t="s">
        <v>1861</v>
      </c>
      <c r="D1028" s="70" t="n">
        <v>28000</v>
      </c>
      <c r="E1028" s="71" t="n">
        <v>0</v>
      </c>
      <c r="F1028" s="36" t="n">
        <f aca="false">D1028*(1+E1028)</f>
        <v>28000</v>
      </c>
      <c r="G1028" s="36" t="n">
        <f aca="false">F1028*'Informasi Proyek'!$C$20</f>
        <v>2800</v>
      </c>
      <c r="H1028" s="39" t="n">
        <f aca="false">ROUND(F1028+G1028,0)</f>
        <v>30800</v>
      </c>
    </row>
    <row r="1029" customFormat="false" ht="15" hidden="false" customHeight="false" outlineLevel="0" collapsed="false">
      <c r="A1029" s="66" t="s">
        <v>957</v>
      </c>
      <c r="B1029" s="29" t="s">
        <v>2023</v>
      </c>
      <c r="C1029" s="28" t="s">
        <v>943</v>
      </c>
      <c r="D1029" s="70" t="n">
        <v>22500000</v>
      </c>
      <c r="E1029" s="71" t="n">
        <v>0</v>
      </c>
      <c r="F1029" s="36" t="n">
        <f aca="false">D1029*(1+E1029)</f>
        <v>22500000</v>
      </c>
      <c r="G1029" s="36" t="n">
        <f aca="false">F1029*'Informasi Proyek'!$C$20</f>
        <v>2250000</v>
      </c>
      <c r="H1029" s="39" t="n">
        <f aca="false">ROUND(F1029+G1029,0)</f>
        <v>24750000</v>
      </c>
    </row>
    <row r="1030" customFormat="false" ht="15" hidden="false" customHeight="false" outlineLevel="0" collapsed="false">
      <c r="A1030" s="66" t="s">
        <v>965</v>
      </c>
      <c r="B1030" s="29" t="s">
        <v>2024</v>
      </c>
      <c r="C1030" s="28" t="s">
        <v>342</v>
      </c>
      <c r="D1030" s="70" t="n">
        <v>4100000</v>
      </c>
      <c r="E1030" s="71" t="n">
        <v>0</v>
      </c>
      <c r="F1030" s="36" t="n">
        <f aca="false">D1030*(1+E1030)</f>
        <v>4100000</v>
      </c>
      <c r="G1030" s="36" t="n">
        <f aca="false">F1030*'Informasi Proyek'!$C$20</f>
        <v>410000</v>
      </c>
      <c r="H1030" s="39" t="n">
        <f aca="false">ROUND(F1030+G1030,0)</f>
        <v>4510000</v>
      </c>
    </row>
    <row r="1031" customFormat="false" ht="15" hidden="false" customHeight="false" outlineLevel="0" collapsed="false">
      <c r="A1031" s="66" t="s">
        <v>980</v>
      </c>
      <c r="B1031" s="29" t="s">
        <v>2025</v>
      </c>
      <c r="C1031" s="28" t="s">
        <v>206</v>
      </c>
      <c r="D1031" s="70" t="n">
        <v>52000</v>
      </c>
      <c r="E1031" s="71" t="n">
        <v>0</v>
      </c>
      <c r="F1031" s="36" t="n">
        <f aca="false">D1031*(1+E1031)</f>
        <v>52000</v>
      </c>
      <c r="G1031" s="36" t="n">
        <f aca="false">F1031*'Informasi Proyek'!$C$20</f>
        <v>5200</v>
      </c>
      <c r="H1031" s="39" t="n">
        <f aca="false">ROUND(F1031+G1031,0)</f>
        <v>57200</v>
      </c>
    </row>
    <row r="1032" customFormat="false" ht="15" hidden="false" customHeight="false" outlineLevel="0" collapsed="false">
      <c r="A1032" s="66" t="s">
        <v>982</v>
      </c>
      <c r="B1032" s="29" t="s">
        <v>2026</v>
      </c>
      <c r="C1032" s="28" t="s">
        <v>206</v>
      </c>
      <c r="D1032" s="70" t="n">
        <v>38000</v>
      </c>
      <c r="E1032" s="71" t="n">
        <v>0</v>
      </c>
      <c r="F1032" s="36" t="n">
        <f aca="false">D1032*(1+E1032)</f>
        <v>38000</v>
      </c>
      <c r="G1032" s="36" t="n">
        <f aca="false">F1032*'Informasi Proyek'!$C$20</f>
        <v>3800</v>
      </c>
      <c r="H1032" s="39" t="n">
        <f aca="false">ROUND(F1032+G1032,0)</f>
        <v>41800</v>
      </c>
    </row>
    <row r="1033" customFormat="false" ht="15" hidden="false" customHeight="false" outlineLevel="0" collapsed="false">
      <c r="A1033" s="66" t="s">
        <v>984</v>
      </c>
      <c r="B1033" s="29" t="s">
        <v>2027</v>
      </c>
      <c r="C1033" s="28" t="s">
        <v>303</v>
      </c>
      <c r="D1033" s="70" t="n">
        <v>22500000</v>
      </c>
      <c r="E1033" s="71" t="n">
        <v>0.1</v>
      </c>
      <c r="F1033" s="36" t="n">
        <f aca="false">D1033*(1+E1033)</f>
        <v>24750000</v>
      </c>
      <c r="G1033" s="36" t="n">
        <f aca="false">F1033*'Informasi Proyek'!$C$20</f>
        <v>2475000</v>
      </c>
      <c r="H1033" s="39" t="n">
        <f aca="false">ROUND(F1033+G1033,0)</f>
        <v>27225000</v>
      </c>
    </row>
    <row r="1034" customFormat="false" ht="15" hidden="false" customHeight="false" outlineLevel="0" collapsed="false">
      <c r="A1034" s="66" t="s">
        <v>993</v>
      </c>
      <c r="B1034" s="29" t="s">
        <v>2028</v>
      </c>
      <c r="C1034" s="28" t="s">
        <v>206</v>
      </c>
      <c r="D1034" s="70" t="n">
        <v>48000</v>
      </c>
      <c r="E1034" s="71" t="n">
        <v>0</v>
      </c>
      <c r="F1034" s="36" t="n">
        <f aca="false">D1034*(1+E1034)</f>
        <v>48000</v>
      </c>
      <c r="G1034" s="36" t="n">
        <f aca="false">F1034*'Informasi Proyek'!$C$20</f>
        <v>4800</v>
      </c>
      <c r="H1034" s="39" t="n">
        <f aca="false">ROUND(F1034+G1034,0)</f>
        <v>52800</v>
      </c>
    </row>
    <row r="1035" customFormat="false" ht="15" hidden="false" customHeight="false" outlineLevel="0" collapsed="false">
      <c r="A1035" s="66" t="s">
        <v>1016</v>
      </c>
      <c r="B1035" s="29" t="s">
        <v>2029</v>
      </c>
      <c r="C1035" s="28" t="s">
        <v>257</v>
      </c>
      <c r="D1035" s="70" t="n">
        <v>38000</v>
      </c>
      <c r="E1035" s="71" t="n">
        <v>0</v>
      </c>
      <c r="F1035" s="36" t="n">
        <f aca="false">D1035*(1+E1035)</f>
        <v>38000</v>
      </c>
      <c r="G1035" s="36" t="n">
        <f aca="false">F1035*'Informasi Proyek'!$C$20</f>
        <v>3800</v>
      </c>
      <c r="H1035" s="39" t="n">
        <f aca="false">ROUND(F1035+G1035,0)</f>
        <v>41800</v>
      </c>
    </row>
    <row r="1036" customFormat="false" ht="15" hidden="false" customHeight="false" outlineLevel="0" collapsed="false">
      <c r="A1036" s="66" t="s">
        <v>1030</v>
      </c>
      <c r="B1036" s="29" t="s">
        <v>2030</v>
      </c>
      <c r="C1036" s="28" t="s">
        <v>183</v>
      </c>
      <c r="D1036" s="70" t="n">
        <v>38000000</v>
      </c>
      <c r="E1036" s="71" t="n">
        <v>0</v>
      </c>
      <c r="F1036" s="36" t="n">
        <f aca="false">D1036*(1+E1036)</f>
        <v>38000000</v>
      </c>
      <c r="G1036" s="36" t="n">
        <f aca="false">F1036*'Informasi Proyek'!$C$20</f>
        <v>3800000</v>
      </c>
      <c r="H1036" s="39" t="n">
        <f aca="false">ROUND(F1036+G1036,0)</f>
        <v>41800000</v>
      </c>
    </row>
    <row r="1037" customFormat="false" ht="15" hidden="false" customHeight="false" outlineLevel="0" collapsed="false">
      <c r="A1037" s="66" t="s">
        <v>1032</v>
      </c>
      <c r="B1037" s="29" t="s">
        <v>2031</v>
      </c>
      <c r="C1037" s="28" t="s">
        <v>183</v>
      </c>
      <c r="D1037" s="70" t="n">
        <v>45000000</v>
      </c>
      <c r="E1037" s="71" t="n">
        <v>0</v>
      </c>
      <c r="F1037" s="36" t="n">
        <f aca="false">D1037*(1+E1037)</f>
        <v>45000000</v>
      </c>
      <c r="G1037" s="36" t="n">
        <f aca="false">F1037*'Informasi Proyek'!$C$20</f>
        <v>4500000</v>
      </c>
      <c r="H1037" s="39" t="n">
        <f aca="false">ROUND(F1037+G1037,0)</f>
        <v>49500000</v>
      </c>
    </row>
    <row r="1038" customFormat="false" ht="15" hidden="false" customHeight="false" outlineLevel="0" collapsed="false">
      <c r="A1038" s="66" t="s">
        <v>1034</v>
      </c>
      <c r="B1038" s="29" t="s">
        <v>2032</v>
      </c>
      <c r="C1038" s="28" t="s">
        <v>183</v>
      </c>
      <c r="D1038" s="70" t="n">
        <v>12000000</v>
      </c>
      <c r="E1038" s="71" t="n">
        <v>0</v>
      </c>
      <c r="F1038" s="36" t="n">
        <f aca="false">D1038*(1+E1038)</f>
        <v>12000000</v>
      </c>
      <c r="G1038" s="36" t="n">
        <f aca="false">F1038*'Informasi Proyek'!$C$20</f>
        <v>1200000</v>
      </c>
      <c r="H1038" s="39" t="n">
        <f aca="false">ROUND(F1038+G1038,0)</f>
        <v>13200000</v>
      </c>
    </row>
    <row r="1039" customFormat="false" ht="15" hidden="false" customHeight="false" outlineLevel="0" collapsed="false">
      <c r="A1039" s="66" t="s">
        <v>1037</v>
      </c>
      <c r="B1039" s="29" t="s">
        <v>2033</v>
      </c>
      <c r="C1039" s="28" t="s">
        <v>331</v>
      </c>
      <c r="D1039" s="70" t="n">
        <v>105000</v>
      </c>
      <c r="E1039" s="71" t="n">
        <v>0.28</v>
      </c>
      <c r="F1039" s="36" t="n">
        <f aca="false">D1039*(1+E1039)</f>
        <v>134400</v>
      </c>
      <c r="G1039" s="36" t="n">
        <f aca="false">F1039*'Informasi Proyek'!$C$20</f>
        <v>13440</v>
      </c>
      <c r="H1039" s="39" t="n">
        <f aca="false">ROUND(F1039+G1039,0)</f>
        <v>147840</v>
      </c>
    </row>
    <row r="1040" customFormat="false" ht="15" hidden="false" customHeight="false" outlineLevel="0" collapsed="false">
      <c r="A1040" s="66" t="s">
        <v>1039</v>
      </c>
      <c r="B1040" s="29" t="s">
        <v>2034</v>
      </c>
      <c r="C1040" s="28" t="s">
        <v>331</v>
      </c>
      <c r="D1040" s="70" t="n">
        <v>310000</v>
      </c>
      <c r="E1040" s="71" t="n">
        <v>0.27</v>
      </c>
      <c r="F1040" s="36" t="n">
        <f aca="false">D1040*(1+E1040)</f>
        <v>393700</v>
      </c>
      <c r="G1040" s="36" t="n">
        <f aca="false">F1040*'Informasi Proyek'!$C$20</f>
        <v>39370</v>
      </c>
      <c r="H1040" s="39" t="n">
        <f aca="false">ROUND(F1040+G1040,0)</f>
        <v>433070</v>
      </c>
    </row>
    <row r="1041" customFormat="false" ht="15" hidden="false" customHeight="false" outlineLevel="0" collapsed="false">
      <c r="A1041" s="66" t="s">
        <v>1046</v>
      </c>
      <c r="B1041" s="29" t="s">
        <v>2035</v>
      </c>
      <c r="C1041" s="28" t="s">
        <v>183</v>
      </c>
      <c r="D1041" s="70" t="n">
        <v>8500000</v>
      </c>
      <c r="E1041" s="71" t="n">
        <v>0.08</v>
      </c>
      <c r="F1041" s="36" t="n">
        <f aca="false">D1041*(1+E1041)</f>
        <v>9180000</v>
      </c>
      <c r="G1041" s="36" t="n">
        <f aca="false">F1041*'Informasi Proyek'!$C$20</f>
        <v>918000</v>
      </c>
      <c r="H1041" s="39" t="n">
        <f aca="false">ROUND(F1041+G1041,0)</f>
        <v>10098000</v>
      </c>
    </row>
    <row r="1042" customFormat="false" ht="15" hidden="false" customHeight="false" outlineLevel="0" collapsed="false">
      <c r="A1042" s="66" t="s">
        <v>1048</v>
      </c>
      <c r="B1042" s="29" t="s">
        <v>2036</v>
      </c>
      <c r="C1042" s="28" t="s">
        <v>183</v>
      </c>
      <c r="D1042" s="70" t="n">
        <v>4250000</v>
      </c>
      <c r="E1042" s="71" t="n">
        <v>0.08</v>
      </c>
      <c r="F1042" s="36" t="n">
        <f aca="false">D1042*(1+E1042)</f>
        <v>4590000</v>
      </c>
      <c r="G1042" s="36" t="n">
        <f aca="false">F1042*'Informasi Proyek'!$C$20</f>
        <v>459000</v>
      </c>
      <c r="H1042" s="39" t="n">
        <f aca="false">ROUND(F1042+G1042,0)</f>
        <v>5049000</v>
      </c>
    </row>
    <row r="1043" customFormat="false" ht="15" hidden="false" customHeight="false" outlineLevel="0" collapsed="false">
      <c r="A1043" s="66" t="s">
        <v>1050</v>
      </c>
      <c r="B1043" s="29" t="s">
        <v>2037</v>
      </c>
      <c r="C1043" s="28" t="s">
        <v>183</v>
      </c>
      <c r="D1043" s="70" t="n">
        <v>2350000</v>
      </c>
      <c r="E1043" s="71" t="n">
        <v>0.08</v>
      </c>
      <c r="F1043" s="36" t="n">
        <f aca="false">D1043*(1+E1043)</f>
        <v>2538000</v>
      </c>
      <c r="G1043" s="36" t="n">
        <f aca="false">F1043*'Informasi Proyek'!$C$20</f>
        <v>253800</v>
      </c>
      <c r="H1043" s="39" t="n">
        <f aca="false">ROUND(F1043+G1043,0)</f>
        <v>2791800</v>
      </c>
    </row>
    <row r="1044" customFormat="false" ht="15" hidden="false" customHeight="false" outlineLevel="0" collapsed="false">
      <c r="A1044" s="66" t="s">
        <v>1052</v>
      </c>
      <c r="B1044" s="29" t="s">
        <v>2038</v>
      </c>
      <c r="C1044" s="28" t="s">
        <v>183</v>
      </c>
      <c r="D1044" s="70" t="n">
        <v>3100000</v>
      </c>
      <c r="E1044" s="71" t="n">
        <v>0.08</v>
      </c>
      <c r="F1044" s="36" t="n">
        <f aca="false">D1044*(1+E1044)</f>
        <v>3348000</v>
      </c>
      <c r="G1044" s="36" t="n">
        <f aca="false">F1044*'Informasi Proyek'!$C$20</f>
        <v>334800</v>
      </c>
      <c r="H1044" s="39" t="n">
        <f aca="false">ROUND(F1044+G1044,0)</f>
        <v>3682800</v>
      </c>
    </row>
    <row r="1045" customFormat="false" ht="15" hidden="false" customHeight="false" outlineLevel="0" collapsed="false">
      <c r="A1045" s="66" t="s">
        <v>1054</v>
      </c>
      <c r="B1045" s="29" t="s">
        <v>2039</v>
      </c>
      <c r="C1045" s="28" t="s">
        <v>183</v>
      </c>
      <c r="D1045" s="70" t="n">
        <v>3200000</v>
      </c>
      <c r="E1045" s="71" t="n">
        <v>0.08</v>
      </c>
      <c r="F1045" s="36" t="n">
        <f aca="false">D1045*(1+E1045)</f>
        <v>3456000</v>
      </c>
      <c r="G1045" s="36" t="n">
        <f aca="false">F1045*'Informasi Proyek'!$C$20</f>
        <v>345600</v>
      </c>
      <c r="H1045" s="39" t="n">
        <f aca="false">ROUND(F1045+G1045,0)</f>
        <v>3801600</v>
      </c>
    </row>
    <row r="1046" customFormat="false" ht="15" hidden="false" customHeight="false" outlineLevel="0" collapsed="false">
      <c r="A1046" s="66" t="s">
        <v>1056</v>
      </c>
      <c r="B1046" s="29" t="s">
        <v>2040</v>
      </c>
      <c r="C1046" s="28" t="s">
        <v>183</v>
      </c>
      <c r="D1046" s="70" t="n">
        <v>2600000</v>
      </c>
      <c r="E1046" s="71" t="n">
        <v>0.08</v>
      </c>
      <c r="F1046" s="36" t="n">
        <f aca="false">D1046*(1+E1046)</f>
        <v>2808000</v>
      </c>
      <c r="G1046" s="36" t="n">
        <f aca="false">F1046*'Informasi Proyek'!$C$20</f>
        <v>280800</v>
      </c>
      <c r="H1046" s="39" t="n">
        <f aca="false">ROUND(F1046+G1046,0)</f>
        <v>3088800</v>
      </c>
    </row>
    <row r="1047" customFormat="false" ht="15" hidden="false" customHeight="false" outlineLevel="0" collapsed="false">
      <c r="A1047" s="66" t="s">
        <v>1058</v>
      </c>
      <c r="B1047" s="29" t="s">
        <v>2041</v>
      </c>
      <c r="C1047" s="28" t="s">
        <v>183</v>
      </c>
      <c r="D1047" s="70" t="n">
        <v>1800000</v>
      </c>
      <c r="E1047" s="71" t="n">
        <v>0.08</v>
      </c>
      <c r="F1047" s="36" t="n">
        <f aca="false">D1047*(1+E1047)</f>
        <v>1944000</v>
      </c>
      <c r="G1047" s="36" t="n">
        <f aca="false">F1047*'Informasi Proyek'!$C$20</f>
        <v>194400</v>
      </c>
      <c r="H1047" s="39" t="n">
        <f aca="false">ROUND(F1047+G1047,0)</f>
        <v>2138400</v>
      </c>
    </row>
    <row r="1048" customFormat="false" ht="15" hidden="false" customHeight="false" outlineLevel="0" collapsed="false">
      <c r="A1048" s="66" t="s">
        <v>1060</v>
      </c>
      <c r="B1048" s="29" t="s">
        <v>2042</v>
      </c>
      <c r="C1048" s="28" t="s">
        <v>183</v>
      </c>
      <c r="D1048" s="70" t="n">
        <v>1250000</v>
      </c>
      <c r="E1048" s="71" t="n">
        <v>0.08</v>
      </c>
      <c r="F1048" s="36" t="n">
        <f aca="false">D1048*(1+E1048)</f>
        <v>1350000</v>
      </c>
      <c r="G1048" s="36" t="n">
        <f aca="false">F1048*'Informasi Proyek'!$C$20</f>
        <v>135000</v>
      </c>
      <c r="H1048" s="39" t="n">
        <f aca="false">ROUND(F1048+G1048,0)</f>
        <v>1485000</v>
      </c>
    </row>
    <row r="1049" customFormat="false" ht="15" hidden="false" customHeight="false" outlineLevel="0" collapsed="false">
      <c r="A1049" s="66" t="s">
        <v>1063</v>
      </c>
      <c r="B1049" s="29" t="s">
        <v>2043</v>
      </c>
      <c r="C1049" s="28" t="s">
        <v>1861</v>
      </c>
      <c r="D1049" s="70" t="n">
        <v>750000</v>
      </c>
      <c r="E1049" s="71" t="n">
        <v>0.15</v>
      </c>
      <c r="F1049" s="36" t="n">
        <f aca="false">D1049*(1+E1049)</f>
        <v>862500</v>
      </c>
      <c r="G1049" s="36" t="n">
        <f aca="false">F1049*'Informasi Proyek'!$C$20</f>
        <v>86250</v>
      </c>
      <c r="H1049" s="39" t="n">
        <f aca="false">ROUND(F1049+G1049,0)</f>
        <v>948750</v>
      </c>
    </row>
    <row r="1050" customFormat="false" ht="15" hidden="false" customHeight="false" outlineLevel="0" collapsed="false">
      <c r="A1050" s="66" t="s">
        <v>1066</v>
      </c>
      <c r="B1050" s="29" t="s">
        <v>2044</v>
      </c>
      <c r="C1050" s="28" t="s">
        <v>206</v>
      </c>
      <c r="D1050" s="70" t="n">
        <v>1850000</v>
      </c>
      <c r="E1050" s="71" t="n">
        <v>0.1</v>
      </c>
      <c r="F1050" s="36" t="n">
        <f aca="false">D1050*(1+E1050)</f>
        <v>2035000</v>
      </c>
      <c r="G1050" s="36" t="n">
        <f aca="false">F1050*'Informasi Proyek'!$C$20</f>
        <v>203500</v>
      </c>
      <c r="H1050" s="39" t="n">
        <f aca="false">ROUND(F1050+G1050,0)</f>
        <v>2238500</v>
      </c>
    </row>
    <row r="1051" customFormat="false" ht="15" hidden="false" customHeight="false" outlineLevel="0" collapsed="false">
      <c r="A1051" s="66" t="s">
        <v>1068</v>
      </c>
      <c r="B1051" s="29" t="s">
        <v>2045</v>
      </c>
      <c r="C1051" s="28" t="s">
        <v>331</v>
      </c>
      <c r="D1051" s="70" t="n">
        <v>185000</v>
      </c>
      <c r="E1051" s="71" t="n">
        <v>0.25</v>
      </c>
      <c r="F1051" s="36" t="n">
        <f aca="false">D1051*(1+E1051)</f>
        <v>231250</v>
      </c>
      <c r="G1051" s="36" t="n">
        <f aca="false">F1051*'Informasi Proyek'!$C$20</f>
        <v>23125</v>
      </c>
      <c r="H1051" s="39" t="n">
        <f aca="false">ROUND(F1051+G1051,0)</f>
        <v>254375</v>
      </c>
    </row>
    <row r="1052" customFormat="false" ht="15" hidden="false" customHeight="false" outlineLevel="0" collapsed="false">
      <c r="A1052" s="66" t="s">
        <v>1070</v>
      </c>
      <c r="B1052" s="29" t="s">
        <v>2046</v>
      </c>
      <c r="C1052" s="28" t="s">
        <v>331</v>
      </c>
      <c r="D1052" s="70" t="n">
        <v>85000</v>
      </c>
      <c r="E1052" s="71" t="n">
        <v>0.2</v>
      </c>
      <c r="F1052" s="36" t="n">
        <f aca="false">D1052*(1+E1052)</f>
        <v>102000</v>
      </c>
      <c r="G1052" s="36" t="n">
        <f aca="false">F1052*'Informasi Proyek'!$C$20</f>
        <v>10200</v>
      </c>
      <c r="H1052" s="39" t="n">
        <f aca="false">ROUND(F1052+G1052,0)</f>
        <v>112200</v>
      </c>
    </row>
    <row r="1053" customFormat="false" ht="15" hidden="false" customHeight="false" outlineLevel="0" collapsed="false">
      <c r="A1053" s="66" t="s">
        <v>1072</v>
      </c>
      <c r="B1053" s="29" t="s">
        <v>2047</v>
      </c>
      <c r="C1053" s="28" t="s">
        <v>1861</v>
      </c>
      <c r="D1053" s="70" t="n">
        <v>165000</v>
      </c>
      <c r="E1053" s="71" t="n">
        <v>0.25</v>
      </c>
      <c r="F1053" s="36" t="n">
        <f aca="false">D1053*(1+E1053)</f>
        <v>206250</v>
      </c>
      <c r="G1053" s="36" t="n">
        <f aca="false">F1053*'Informasi Proyek'!$C$20</f>
        <v>20625</v>
      </c>
      <c r="H1053" s="39" t="n">
        <f aca="false">ROUND(F1053+G1053,0)</f>
        <v>226875</v>
      </c>
    </row>
    <row r="1054" customFormat="false" ht="15" hidden="false" customHeight="false" outlineLevel="0" collapsed="false">
      <c r="A1054" s="66" t="s">
        <v>1074</v>
      </c>
      <c r="B1054" s="29" t="s">
        <v>2048</v>
      </c>
      <c r="C1054" s="28" t="s">
        <v>331</v>
      </c>
      <c r="D1054" s="70" t="n">
        <v>345000</v>
      </c>
      <c r="E1054" s="71" t="n">
        <v>0.25</v>
      </c>
      <c r="F1054" s="36" t="n">
        <f aca="false">D1054*(1+E1054)</f>
        <v>431250</v>
      </c>
      <c r="G1054" s="36" t="n">
        <f aca="false">F1054*'Informasi Proyek'!$C$20</f>
        <v>43125</v>
      </c>
      <c r="H1054" s="39" t="n">
        <f aca="false">ROUND(F1054+G1054,0)</f>
        <v>474375</v>
      </c>
    </row>
    <row r="1055" customFormat="false" ht="15" hidden="false" customHeight="false" outlineLevel="0" collapsed="false">
      <c r="A1055" s="66" t="s">
        <v>1085</v>
      </c>
      <c r="B1055" s="29" t="s">
        <v>2049</v>
      </c>
      <c r="C1055" s="28" t="s">
        <v>520</v>
      </c>
      <c r="D1055" s="70" t="n">
        <v>11500000</v>
      </c>
      <c r="E1055" s="71" t="n">
        <v>0</v>
      </c>
      <c r="F1055" s="36" t="n">
        <f aca="false">D1055*(1+E1055)</f>
        <v>11500000</v>
      </c>
      <c r="G1055" s="36" t="n">
        <f aca="false">F1055*'Informasi Proyek'!$C$20</f>
        <v>1150000</v>
      </c>
      <c r="H1055" s="39" t="n">
        <f aca="false">ROUND(F1055+G1055,0)</f>
        <v>12650000</v>
      </c>
    </row>
    <row r="1056" customFormat="false" ht="15" hidden="false" customHeight="false" outlineLevel="0" collapsed="false">
      <c r="A1056" s="66" t="s">
        <v>1087</v>
      </c>
      <c r="B1056" s="29" t="s">
        <v>2050</v>
      </c>
      <c r="C1056" s="28" t="s">
        <v>1728</v>
      </c>
      <c r="D1056" s="70" t="n">
        <v>285000</v>
      </c>
      <c r="E1056" s="71" t="n">
        <v>0</v>
      </c>
      <c r="F1056" s="36" t="n">
        <f aca="false">D1056*(1+E1056)</f>
        <v>285000</v>
      </c>
      <c r="G1056" s="36" t="n">
        <f aca="false">F1056*'Informasi Proyek'!$C$20</f>
        <v>28500</v>
      </c>
      <c r="H1056" s="39" t="n">
        <f aca="false">ROUND(F1056+G1056,0)</f>
        <v>313500</v>
      </c>
    </row>
    <row r="1057" customFormat="false" ht="15" hidden="false" customHeight="false" outlineLevel="0" collapsed="false">
      <c r="A1057" s="66" t="s">
        <v>1089</v>
      </c>
      <c r="B1057" s="29" t="s">
        <v>2051</v>
      </c>
      <c r="C1057" s="28" t="s">
        <v>1728</v>
      </c>
      <c r="D1057" s="70" t="n">
        <v>85000</v>
      </c>
      <c r="E1057" s="71" t="n">
        <v>0</v>
      </c>
      <c r="F1057" s="36" t="n">
        <f aca="false">D1057*(1+E1057)</f>
        <v>85000</v>
      </c>
      <c r="G1057" s="36" t="n">
        <f aca="false">F1057*'Informasi Proyek'!$C$20</f>
        <v>8500</v>
      </c>
      <c r="H1057" s="39" t="n">
        <f aca="false">ROUND(F1057+G1057,0)</f>
        <v>93500</v>
      </c>
    </row>
    <row r="1058" customFormat="false" ht="15" hidden="false" customHeight="false" outlineLevel="0" collapsed="false">
      <c r="A1058" s="66" t="s">
        <v>1091</v>
      </c>
      <c r="B1058" s="29" t="s">
        <v>2052</v>
      </c>
      <c r="C1058" s="28" t="s">
        <v>784</v>
      </c>
      <c r="D1058" s="70" t="n">
        <v>325000</v>
      </c>
      <c r="E1058" s="71" t="n">
        <v>0</v>
      </c>
      <c r="F1058" s="36" t="n">
        <f aca="false">D1058*(1+E1058)</f>
        <v>325000</v>
      </c>
      <c r="G1058" s="36" t="n">
        <f aca="false">F1058*'Informasi Proyek'!$C$20</f>
        <v>32500</v>
      </c>
      <c r="H1058" s="39" t="n">
        <f aca="false">ROUND(F1058+G1058,0)</f>
        <v>357500</v>
      </c>
    </row>
    <row r="1059" customFormat="false" ht="15" hidden="false" customHeight="false" outlineLevel="0" collapsed="false">
      <c r="A1059" s="66" t="s">
        <v>1096</v>
      </c>
      <c r="B1059" s="29" t="s">
        <v>1608</v>
      </c>
      <c r="C1059" s="28" t="s">
        <v>520</v>
      </c>
      <c r="D1059" s="70" t="n">
        <v>950000</v>
      </c>
      <c r="E1059" s="71" t="n">
        <v>0.1</v>
      </c>
      <c r="F1059" s="36" t="n">
        <f aca="false">D1059*(1+E1059)</f>
        <v>1045000</v>
      </c>
      <c r="G1059" s="36" t="n">
        <f aca="false">F1059*'Informasi Proyek'!$C$20</f>
        <v>104500</v>
      </c>
      <c r="H1059" s="39" t="n">
        <f aca="false">ROUND(F1059+G1059,0)</f>
        <v>1149500</v>
      </c>
    </row>
    <row r="1060" customFormat="false" ht="15" hidden="false" customHeight="false" outlineLevel="0" collapsed="false">
      <c r="A1060" s="66" t="s">
        <v>1098</v>
      </c>
      <c r="B1060" s="29" t="s">
        <v>2053</v>
      </c>
      <c r="C1060" s="28" t="s">
        <v>520</v>
      </c>
      <c r="D1060" s="70" t="n">
        <v>385000</v>
      </c>
      <c r="E1060" s="71" t="n">
        <v>0.1</v>
      </c>
      <c r="F1060" s="36" t="n">
        <f aca="false">D1060*(1+E1060)</f>
        <v>423500</v>
      </c>
      <c r="G1060" s="36" t="n">
        <f aca="false">F1060*'Informasi Proyek'!$C$20</f>
        <v>42350</v>
      </c>
      <c r="H1060" s="39" t="n">
        <f aca="false">ROUND(F1060+G1060,0)</f>
        <v>465850</v>
      </c>
    </row>
    <row r="1061" customFormat="false" ht="15" hidden="false" customHeight="false" outlineLevel="0" collapsed="false">
      <c r="A1061" s="66" t="s">
        <v>1101</v>
      </c>
      <c r="B1061" s="29" t="s">
        <v>2054</v>
      </c>
      <c r="C1061" s="28" t="s">
        <v>520</v>
      </c>
      <c r="D1061" s="70" t="n">
        <v>14500000</v>
      </c>
      <c r="E1061" s="71" t="n">
        <v>0</v>
      </c>
      <c r="F1061" s="36" t="n">
        <f aca="false">D1061*(1+E1061)</f>
        <v>14500000</v>
      </c>
      <c r="G1061" s="36" t="n">
        <f aca="false">F1061*'Informasi Proyek'!$C$20</f>
        <v>1450000</v>
      </c>
      <c r="H1061" s="39" t="n">
        <f aca="false">ROUND(F1061+G1061,0)</f>
        <v>15950000</v>
      </c>
    </row>
    <row r="1062" customFormat="false" ht="15" hidden="false" customHeight="false" outlineLevel="0" collapsed="false">
      <c r="A1062" s="66" t="s">
        <v>1104</v>
      </c>
      <c r="B1062" s="29" t="s">
        <v>2055</v>
      </c>
      <c r="C1062" s="28" t="s">
        <v>520</v>
      </c>
      <c r="D1062" s="70" t="n">
        <v>385000</v>
      </c>
      <c r="E1062" s="71" t="n">
        <v>0</v>
      </c>
      <c r="F1062" s="36" t="n">
        <f aca="false">D1062*(1+E1062)</f>
        <v>385000</v>
      </c>
      <c r="G1062" s="36" t="n">
        <f aca="false">F1062*'Informasi Proyek'!$C$20</f>
        <v>38500</v>
      </c>
      <c r="H1062" s="39" t="n">
        <f aca="false">ROUND(F1062+G1062,0)</f>
        <v>423500</v>
      </c>
    </row>
    <row r="1063" customFormat="false" ht="15" hidden="false" customHeight="false" outlineLevel="0" collapsed="false">
      <c r="A1063" s="66" t="s">
        <v>1106</v>
      </c>
      <c r="B1063" s="29" t="s">
        <v>2056</v>
      </c>
      <c r="C1063" s="28" t="s">
        <v>520</v>
      </c>
      <c r="D1063" s="70" t="n">
        <v>420000</v>
      </c>
      <c r="E1063" s="71" t="n">
        <v>0</v>
      </c>
      <c r="F1063" s="36" t="n">
        <f aca="false">D1063*(1+E1063)</f>
        <v>420000</v>
      </c>
      <c r="G1063" s="36" t="n">
        <f aca="false">F1063*'Informasi Proyek'!$C$20</f>
        <v>42000</v>
      </c>
      <c r="H1063" s="39" t="n">
        <f aca="false">ROUND(F1063+G1063,0)</f>
        <v>462000</v>
      </c>
    </row>
    <row r="1064" customFormat="false" ht="15" hidden="false" customHeight="false" outlineLevel="0" collapsed="false">
      <c r="A1064" s="66" t="s">
        <v>1117</v>
      </c>
      <c r="B1064" s="29" t="s">
        <v>2057</v>
      </c>
      <c r="C1064" s="28" t="s">
        <v>183</v>
      </c>
      <c r="D1064" s="70" t="n">
        <v>14500000</v>
      </c>
      <c r="E1064" s="71" t="n">
        <v>0</v>
      </c>
      <c r="F1064" s="36" t="n">
        <f aca="false">D1064*(1+E1064)</f>
        <v>14500000</v>
      </c>
      <c r="G1064" s="36" t="n">
        <f aca="false">F1064*'Informasi Proyek'!$C$20</f>
        <v>1450000</v>
      </c>
      <c r="H1064" s="39" t="n">
        <f aca="false">ROUND(F1064+G1064,0)</f>
        <v>15950000</v>
      </c>
    </row>
    <row r="1065" customFormat="false" ht="15" hidden="false" customHeight="false" outlineLevel="0" collapsed="false">
      <c r="A1065" s="66" t="s">
        <v>1122</v>
      </c>
      <c r="B1065" s="29" t="s">
        <v>2058</v>
      </c>
      <c r="C1065" s="28" t="s">
        <v>1861</v>
      </c>
      <c r="D1065" s="70" t="n">
        <v>285000</v>
      </c>
      <c r="E1065" s="71" t="n">
        <v>0.15</v>
      </c>
      <c r="F1065" s="36" t="n">
        <f aca="false">D1065*(1+E1065)</f>
        <v>327750</v>
      </c>
      <c r="G1065" s="36" t="n">
        <f aca="false">F1065*'Informasi Proyek'!$C$20</f>
        <v>32775</v>
      </c>
      <c r="H1065" s="39" t="n">
        <f aca="false">ROUND(F1065+G1065,0)</f>
        <v>360525</v>
      </c>
    </row>
    <row r="1066" customFormat="false" ht="15" hidden="false" customHeight="false" outlineLevel="0" collapsed="false">
      <c r="A1066" s="66" t="s">
        <v>1131</v>
      </c>
      <c r="B1066" s="29" t="s">
        <v>2059</v>
      </c>
      <c r="C1066" s="28" t="s">
        <v>206</v>
      </c>
      <c r="D1066" s="70" t="n">
        <v>1450000</v>
      </c>
      <c r="E1066" s="71" t="n">
        <v>0.15</v>
      </c>
      <c r="F1066" s="36" t="n">
        <f aca="false">D1066*(1+E1066)</f>
        <v>1667500</v>
      </c>
      <c r="G1066" s="36" t="n">
        <f aca="false">F1066*'Informasi Proyek'!$C$20</f>
        <v>166750</v>
      </c>
      <c r="H1066" s="39" t="n">
        <f aca="false">ROUND(F1066+G1066,0)</f>
        <v>1834250</v>
      </c>
    </row>
    <row r="1067" customFormat="false" ht="15" hidden="false" customHeight="false" outlineLevel="0" collapsed="false">
      <c r="A1067" s="66" t="s">
        <v>1133</v>
      </c>
      <c r="B1067" s="29" t="s">
        <v>2060</v>
      </c>
      <c r="C1067" s="28" t="s">
        <v>206</v>
      </c>
      <c r="D1067" s="70" t="n">
        <v>285000</v>
      </c>
      <c r="E1067" s="71" t="n">
        <v>0.2</v>
      </c>
      <c r="F1067" s="36" t="n">
        <f aca="false">D1067*(1+E1067)</f>
        <v>342000</v>
      </c>
      <c r="G1067" s="36" t="n">
        <f aca="false">F1067*'Informasi Proyek'!$C$20</f>
        <v>34200</v>
      </c>
      <c r="H1067" s="39" t="n">
        <f aca="false">ROUND(F1067+G1067,0)</f>
        <v>376200</v>
      </c>
    </row>
    <row r="1068" customFormat="false" ht="15" hidden="false" customHeight="false" outlineLevel="0" collapsed="false">
      <c r="A1068" s="66" t="s">
        <v>1136</v>
      </c>
      <c r="B1068" s="29" t="s">
        <v>2061</v>
      </c>
      <c r="C1068" s="28" t="s">
        <v>520</v>
      </c>
      <c r="D1068" s="70" t="n">
        <v>8500000</v>
      </c>
      <c r="E1068" s="71" t="n">
        <v>0</v>
      </c>
      <c r="F1068" s="36" t="n">
        <f aca="false">D1068*(1+E1068)</f>
        <v>8500000</v>
      </c>
      <c r="G1068" s="36" t="n">
        <f aca="false">F1068*'Informasi Proyek'!$C$20</f>
        <v>850000</v>
      </c>
      <c r="H1068" s="39" t="n">
        <f aca="false">ROUND(F1068+G1068,0)</f>
        <v>9350000</v>
      </c>
    </row>
    <row r="1069" customFormat="false" ht="15" hidden="false" customHeight="false" outlineLevel="0" collapsed="false">
      <c r="A1069" s="66" t="s">
        <v>1139</v>
      </c>
      <c r="B1069" s="29" t="s">
        <v>2062</v>
      </c>
      <c r="C1069" s="28" t="s">
        <v>520</v>
      </c>
      <c r="D1069" s="70" t="n">
        <v>3850000</v>
      </c>
      <c r="E1069" s="71" t="n">
        <v>0</v>
      </c>
      <c r="F1069" s="36" t="n">
        <f aca="false">D1069*(1+E1069)</f>
        <v>3850000</v>
      </c>
      <c r="G1069" s="36" t="n">
        <f aca="false">F1069*'Informasi Proyek'!$C$20</f>
        <v>385000</v>
      </c>
      <c r="H1069" s="39" t="n">
        <f aca="false">ROUND(F1069+G1069,0)</f>
        <v>4235000</v>
      </c>
    </row>
    <row r="1070" customFormat="false" ht="15" hidden="false" customHeight="false" outlineLevel="0" collapsed="false">
      <c r="A1070" s="66" t="s">
        <v>1142</v>
      </c>
      <c r="B1070" s="29" t="s">
        <v>2063</v>
      </c>
      <c r="C1070" s="28" t="s">
        <v>943</v>
      </c>
      <c r="D1070" s="70" t="n">
        <v>9500000</v>
      </c>
      <c r="E1070" s="71" t="n">
        <v>0</v>
      </c>
      <c r="F1070" s="36" t="n">
        <f aca="false">D1070*(1+E1070)</f>
        <v>9500000</v>
      </c>
      <c r="G1070" s="36" t="n">
        <f aca="false">F1070*'Informasi Proyek'!$C$20</f>
        <v>950000</v>
      </c>
      <c r="H1070" s="39" t="n">
        <f aca="false">ROUND(F1070+G1070,0)</f>
        <v>10450000</v>
      </c>
    </row>
    <row r="1071" customFormat="false" ht="15" hidden="false" customHeight="false" outlineLevel="0" collapsed="false">
      <c r="A1071" s="66" t="s">
        <v>1145</v>
      </c>
      <c r="B1071" s="29" t="s">
        <v>2064</v>
      </c>
      <c r="C1071" s="28" t="s">
        <v>943</v>
      </c>
      <c r="D1071" s="70" t="n">
        <v>12500000</v>
      </c>
      <c r="E1071" s="71" t="n">
        <v>0</v>
      </c>
      <c r="F1071" s="36" t="n">
        <f aca="false">D1071*(1+E1071)</f>
        <v>12500000</v>
      </c>
      <c r="G1071" s="36" t="n">
        <f aca="false">F1071*'Informasi Proyek'!$C$20</f>
        <v>1250000</v>
      </c>
      <c r="H1071" s="39" t="n">
        <f aca="false">ROUND(F1071+G1071,0)</f>
        <v>13750000</v>
      </c>
    </row>
    <row r="1072" customFormat="false" ht="15" hidden="false" customHeight="false" outlineLevel="0" collapsed="false">
      <c r="A1072" s="66" t="s">
        <v>1151</v>
      </c>
      <c r="B1072" s="29" t="s">
        <v>2065</v>
      </c>
      <c r="C1072" s="28" t="s">
        <v>262</v>
      </c>
      <c r="D1072" s="70" t="n">
        <v>95000</v>
      </c>
      <c r="E1072" s="71" t="n">
        <v>0</v>
      </c>
      <c r="F1072" s="36" t="n">
        <f aca="false">D1072*(1+E1072)</f>
        <v>95000</v>
      </c>
      <c r="G1072" s="36" t="n">
        <f aca="false">F1072*'Informasi Proyek'!$C$20</f>
        <v>9500</v>
      </c>
      <c r="H1072" s="39" t="n">
        <f aca="false">ROUND(F1072+G1072,0)</f>
        <v>104500</v>
      </c>
    </row>
    <row r="1073" customFormat="false" ht="15" hidden="false" customHeight="false" outlineLevel="0" collapsed="false">
      <c r="A1073" s="66" t="s">
        <v>1163</v>
      </c>
      <c r="B1073" s="29" t="s">
        <v>2066</v>
      </c>
      <c r="C1073" s="28" t="s">
        <v>331</v>
      </c>
      <c r="D1073" s="70" t="n">
        <v>72000</v>
      </c>
      <c r="E1073" s="71" t="n">
        <v>0.2</v>
      </c>
      <c r="F1073" s="36" t="n">
        <f aca="false">D1073*(1+E1073)</f>
        <v>86400</v>
      </c>
      <c r="G1073" s="36" t="n">
        <f aca="false">F1073*'Informasi Proyek'!$C$20</f>
        <v>8640</v>
      </c>
      <c r="H1073" s="39" t="n">
        <f aca="false">ROUND(F1073+G1073,0)</f>
        <v>95040</v>
      </c>
    </row>
    <row r="1074" customFormat="false" ht="15" hidden="false" customHeight="false" outlineLevel="0" collapsed="false">
      <c r="A1074" s="66" t="s">
        <v>1167</v>
      </c>
      <c r="B1074" s="29" t="s">
        <v>2067</v>
      </c>
      <c r="C1074" s="28" t="s">
        <v>520</v>
      </c>
      <c r="D1074" s="70" t="n">
        <v>8500000</v>
      </c>
      <c r="E1074" s="71" t="n">
        <v>0</v>
      </c>
      <c r="F1074" s="36" t="n">
        <f aca="false">D1074*(1+E1074)</f>
        <v>8500000</v>
      </c>
      <c r="G1074" s="36" t="n">
        <f aca="false">F1074*'Informasi Proyek'!$C$20</f>
        <v>850000</v>
      </c>
      <c r="H1074" s="39" t="n">
        <f aca="false">ROUND(F1074+G1074,0)</f>
        <v>9350000</v>
      </c>
    </row>
    <row r="1075" customFormat="false" ht="15" hidden="false" customHeight="false" outlineLevel="0" collapsed="false">
      <c r="A1075" s="66" t="s">
        <v>1199</v>
      </c>
      <c r="B1075" s="29" t="s">
        <v>2068</v>
      </c>
      <c r="C1075" s="28" t="s">
        <v>331</v>
      </c>
      <c r="D1075" s="70" t="n">
        <v>620000</v>
      </c>
      <c r="E1075" s="71" t="n">
        <v>0.25</v>
      </c>
      <c r="F1075" s="36" t="n">
        <f aca="false">D1075*(1+E1075)</f>
        <v>775000</v>
      </c>
      <c r="G1075" s="36" t="n">
        <f aca="false">F1075*'Informasi Proyek'!$C$20</f>
        <v>77500</v>
      </c>
      <c r="H1075" s="39" t="n">
        <f aca="false">ROUND(F1075+G1075,0)</f>
        <v>852500</v>
      </c>
    </row>
    <row r="1076" customFormat="false" ht="15" hidden="false" customHeight="false" outlineLevel="0" collapsed="false">
      <c r="A1076" s="66" t="s">
        <v>1201</v>
      </c>
      <c r="B1076" s="29" t="s">
        <v>2069</v>
      </c>
      <c r="C1076" s="28" t="s">
        <v>183</v>
      </c>
      <c r="D1076" s="70" t="n">
        <v>8500000</v>
      </c>
      <c r="E1076" s="71" t="n">
        <v>0</v>
      </c>
      <c r="F1076" s="36" t="n">
        <f aca="false">D1076*(1+E1076)</f>
        <v>8500000</v>
      </c>
      <c r="G1076" s="36" t="n">
        <f aca="false">F1076*'Informasi Proyek'!$C$20</f>
        <v>850000</v>
      </c>
      <c r="H1076" s="39" t="n">
        <f aca="false">ROUND(F1076+G1076,0)</f>
        <v>9350000</v>
      </c>
    </row>
    <row r="1077" customFormat="false" ht="15" hidden="false" customHeight="false" outlineLevel="0" collapsed="false">
      <c r="A1077" s="66" t="s">
        <v>1203</v>
      </c>
      <c r="B1077" s="29" t="s">
        <v>2070</v>
      </c>
      <c r="C1077" s="28" t="s">
        <v>183</v>
      </c>
      <c r="D1077" s="70" t="n">
        <v>4500000</v>
      </c>
      <c r="E1077" s="71" t="n">
        <v>0</v>
      </c>
      <c r="F1077" s="36" t="n">
        <f aca="false">D1077*(1+E1077)</f>
        <v>4500000</v>
      </c>
      <c r="G1077" s="36" t="n">
        <f aca="false">F1077*'Informasi Proyek'!$C$20</f>
        <v>450000</v>
      </c>
      <c r="H1077" s="39" t="n">
        <f aca="false">ROUND(F1077+G1077,0)</f>
        <v>4950000</v>
      </c>
    </row>
    <row r="1078" customFormat="false" ht="15" hidden="false" customHeight="false" outlineLevel="0" collapsed="false">
      <c r="A1078" s="66" t="s">
        <v>1212</v>
      </c>
      <c r="B1078" s="29" t="s">
        <v>2071</v>
      </c>
      <c r="C1078" s="28" t="s">
        <v>183</v>
      </c>
      <c r="D1078" s="70" t="n">
        <v>3200000</v>
      </c>
      <c r="E1078" s="71" t="n">
        <v>0.08</v>
      </c>
      <c r="F1078" s="36" t="n">
        <f aca="false">D1078*(1+E1078)</f>
        <v>3456000</v>
      </c>
      <c r="G1078" s="36" t="n">
        <f aca="false">F1078*'Informasi Proyek'!$C$20</f>
        <v>345600</v>
      </c>
      <c r="H1078" s="39" t="n">
        <f aca="false">ROUND(F1078+G1078,0)</f>
        <v>3801600</v>
      </c>
    </row>
    <row r="1079" customFormat="false" ht="15" hidden="false" customHeight="false" outlineLevel="0" collapsed="false">
      <c r="A1079" s="66" t="s">
        <v>1215</v>
      </c>
      <c r="B1079" s="29" t="s">
        <v>2072</v>
      </c>
      <c r="C1079" s="28" t="s">
        <v>183</v>
      </c>
      <c r="D1079" s="70" t="n">
        <v>9500000</v>
      </c>
      <c r="E1079" s="71" t="n">
        <v>0.08</v>
      </c>
      <c r="F1079" s="36" t="n">
        <f aca="false">D1079*(1+E1079)</f>
        <v>10260000</v>
      </c>
      <c r="G1079" s="36" t="n">
        <f aca="false">F1079*'Informasi Proyek'!$C$20</f>
        <v>1026000</v>
      </c>
      <c r="H1079" s="39" t="n">
        <f aca="false">ROUND(F1079+G1079,0)</f>
        <v>11286000</v>
      </c>
    </row>
    <row r="1080" customFormat="false" ht="15" hidden="false" customHeight="false" outlineLevel="0" collapsed="false">
      <c r="A1080" s="66" t="s">
        <v>1220</v>
      </c>
      <c r="B1080" s="29" t="s">
        <v>2073</v>
      </c>
      <c r="C1080" s="28" t="s">
        <v>331</v>
      </c>
      <c r="D1080" s="70" t="n">
        <v>360000</v>
      </c>
      <c r="E1080" s="71" t="n">
        <v>0.25</v>
      </c>
      <c r="F1080" s="36" t="n">
        <f aca="false">D1080*(1+E1080)</f>
        <v>450000</v>
      </c>
      <c r="G1080" s="36" t="n">
        <f aca="false">F1080*'Informasi Proyek'!$C$20</f>
        <v>45000</v>
      </c>
      <c r="H1080" s="39" t="n">
        <f aca="false">ROUND(F1080+G1080,0)</f>
        <v>495000</v>
      </c>
    </row>
    <row r="1081" customFormat="false" ht="15" hidden="false" customHeight="false" outlineLevel="0" collapsed="false">
      <c r="A1081" s="66" t="s">
        <v>1228</v>
      </c>
      <c r="B1081" s="29" t="s">
        <v>2074</v>
      </c>
      <c r="C1081" s="28" t="s">
        <v>331</v>
      </c>
      <c r="D1081" s="70" t="n">
        <v>28000</v>
      </c>
      <c r="E1081" s="71" t="n">
        <v>0.3</v>
      </c>
      <c r="F1081" s="36" t="n">
        <f aca="false">D1081*(1+E1081)</f>
        <v>36400</v>
      </c>
      <c r="G1081" s="36" t="n">
        <f aca="false">F1081*'Informasi Proyek'!$C$20</f>
        <v>3640</v>
      </c>
      <c r="H1081" s="39" t="n">
        <f aca="false">ROUND(F1081+G1081,0)</f>
        <v>40040</v>
      </c>
    </row>
    <row r="1082" customFormat="false" ht="15" hidden="false" customHeight="false" outlineLevel="0" collapsed="false">
      <c r="A1082" s="66" t="s">
        <v>1235</v>
      </c>
      <c r="B1082" s="29" t="s">
        <v>2075</v>
      </c>
      <c r="C1082" s="28" t="s">
        <v>520</v>
      </c>
      <c r="D1082" s="70" t="n">
        <v>28500000</v>
      </c>
      <c r="E1082" s="71" t="n">
        <v>0</v>
      </c>
      <c r="F1082" s="36" t="n">
        <f aca="false">D1082*(1+E1082)</f>
        <v>28500000</v>
      </c>
      <c r="G1082" s="36" t="n">
        <f aca="false">F1082*'Informasi Proyek'!$C$20</f>
        <v>2850000</v>
      </c>
      <c r="H1082" s="39" t="n">
        <f aca="false">ROUND(F1082+G1082,0)</f>
        <v>31350000</v>
      </c>
    </row>
    <row r="1083" customFormat="false" ht="15" hidden="false" customHeight="false" outlineLevel="0" collapsed="false">
      <c r="A1083" s="66" t="s">
        <v>1237</v>
      </c>
      <c r="B1083" s="29" t="s">
        <v>2076</v>
      </c>
      <c r="C1083" s="28" t="s">
        <v>1728</v>
      </c>
      <c r="D1083" s="70" t="n">
        <v>365000</v>
      </c>
      <c r="E1083" s="71" t="n">
        <v>0</v>
      </c>
      <c r="F1083" s="36" t="n">
        <f aca="false">D1083*(1+E1083)</f>
        <v>365000</v>
      </c>
      <c r="G1083" s="36" t="n">
        <f aca="false">F1083*'Informasi Proyek'!$C$20</f>
        <v>36500</v>
      </c>
      <c r="H1083" s="39" t="n">
        <f aca="false">ROUND(F1083+G1083,0)</f>
        <v>401500</v>
      </c>
    </row>
    <row r="1084" customFormat="false" ht="15" hidden="false" customHeight="false" outlineLevel="0" collapsed="false">
      <c r="A1084" s="66" t="s">
        <v>1241</v>
      </c>
      <c r="B1084" s="29" t="s">
        <v>1240</v>
      </c>
      <c r="C1084" s="28" t="s">
        <v>520</v>
      </c>
      <c r="D1084" s="70" t="n">
        <v>1750000</v>
      </c>
      <c r="E1084" s="71" t="n">
        <v>0.1</v>
      </c>
      <c r="F1084" s="36" t="n">
        <f aca="false">D1084*(1+E1084)</f>
        <v>1925000</v>
      </c>
      <c r="G1084" s="36" t="n">
        <f aca="false">F1084*'Informasi Proyek'!$C$20</f>
        <v>192500</v>
      </c>
      <c r="H1084" s="39" t="n">
        <f aca="false">ROUND(F1084+G1084,0)</f>
        <v>2117500</v>
      </c>
    </row>
    <row r="1085" customFormat="false" ht="15" hidden="false" customHeight="false" outlineLevel="0" collapsed="false">
      <c r="A1085" s="66" t="s">
        <v>1247</v>
      </c>
      <c r="B1085" s="29" t="s">
        <v>2077</v>
      </c>
      <c r="C1085" s="28" t="s">
        <v>1861</v>
      </c>
      <c r="D1085" s="70" t="n">
        <v>72000</v>
      </c>
      <c r="E1085" s="71" t="n">
        <v>0</v>
      </c>
      <c r="F1085" s="36" t="n">
        <f aca="false">D1085*(1+E1085)</f>
        <v>72000</v>
      </c>
      <c r="G1085" s="36" t="n">
        <f aca="false">F1085*'Informasi Proyek'!$C$20</f>
        <v>7200</v>
      </c>
      <c r="H1085" s="39" t="n">
        <f aca="false">ROUND(F1085+G1085,0)</f>
        <v>79200</v>
      </c>
    </row>
    <row r="1086" customFormat="false" ht="15" hidden="false" customHeight="false" outlineLevel="0" collapsed="false">
      <c r="A1086" s="66" t="s">
        <v>1251</v>
      </c>
      <c r="B1086" s="29" t="s">
        <v>2078</v>
      </c>
      <c r="C1086" s="28" t="s">
        <v>206</v>
      </c>
      <c r="D1086" s="70" t="n">
        <v>21500000</v>
      </c>
      <c r="E1086" s="71" t="n">
        <v>0</v>
      </c>
      <c r="F1086" s="36" t="n">
        <f aca="false">D1086*(1+E1086)</f>
        <v>21500000</v>
      </c>
      <c r="G1086" s="36" t="n">
        <f aca="false">F1086*'Informasi Proyek'!$C$20</f>
        <v>2150000</v>
      </c>
      <c r="H1086" s="39" t="n">
        <f aca="false">ROUND(F1086+G1086,0)</f>
        <v>23650000</v>
      </c>
    </row>
    <row r="1087" customFormat="false" ht="15" hidden="false" customHeight="false" outlineLevel="0" collapsed="false">
      <c r="A1087" s="66" t="s">
        <v>1253</v>
      </c>
      <c r="B1087" s="29" t="s">
        <v>2079</v>
      </c>
      <c r="C1087" s="28" t="s">
        <v>183</v>
      </c>
      <c r="D1087" s="70" t="n">
        <v>4250000</v>
      </c>
      <c r="E1087" s="71" t="n">
        <v>0</v>
      </c>
      <c r="F1087" s="36" t="n">
        <f aca="false">D1087*(1+E1087)</f>
        <v>4250000</v>
      </c>
      <c r="G1087" s="36" t="n">
        <f aca="false">F1087*'Informasi Proyek'!$C$20</f>
        <v>425000</v>
      </c>
      <c r="H1087" s="39" t="n">
        <f aca="false">ROUND(F1087+G1087,0)</f>
        <v>4675000</v>
      </c>
    </row>
    <row r="1088" customFormat="false" ht="15" hidden="false" customHeight="false" outlineLevel="0" collapsed="false">
      <c r="A1088" s="66" t="s">
        <v>1258</v>
      </c>
      <c r="B1088" s="29" t="s">
        <v>2080</v>
      </c>
      <c r="C1088" s="28" t="s">
        <v>183</v>
      </c>
      <c r="D1088" s="70" t="n">
        <v>12500000</v>
      </c>
      <c r="E1088" s="71" t="n">
        <v>0</v>
      </c>
      <c r="F1088" s="36" t="n">
        <f aca="false">D1088*(1+E1088)</f>
        <v>12500000</v>
      </c>
      <c r="G1088" s="36" t="n">
        <f aca="false">F1088*'Informasi Proyek'!$C$20</f>
        <v>1250000</v>
      </c>
      <c r="H1088" s="39" t="n">
        <f aca="false">ROUND(F1088+G1088,0)</f>
        <v>13750000</v>
      </c>
    </row>
    <row r="1089" customFormat="false" ht="15" hidden="false" customHeight="false" outlineLevel="0" collapsed="false">
      <c r="A1089" s="66" t="s">
        <v>1261</v>
      </c>
      <c r="B1089" s="29" t="s">
        <v>2081</v>
      </c>
      <c r="C1089" s="28" t="s">
        <v>206</v>
      </c>
      <c r="D1089" s="70" t="n">
        <v>125000</v>
      </c>
      <c r="E1089" s="71" t="n">
        <v>0.15</v>
      </c>
      <c r="F1089" s="36" t="n">
        <f aca="false">D1089*(1+E1089)</f>
        <v>143750</v>
      </c>
      <c r="G1089" s="36" t="n">
        <f aca="false">F1089*'Informasi Proyek'!$C$20</f>
        <v>14375</v>
      </c>
      <c r="H1089" s="39" t="n">
        <f aca="false">ROUND(F1089+G1089,0)</f>
        <v>158125</v>
      </c>
    </row>
    <row r="1090" customFormat="false" ht="15" hidden="false" customHeight="false" outlineLevel="0" collapsed="false">
      <c r="A1090" s="66" t="s">
        <v>1263</v>
      </c>
      <c r="B1090" s="29" t="s">
        <v>2082</v>
      </c>
      <c r="C1090" s="28" t="s">
        <v>206</v>
      </c>
      <c r="D1090" s="70" t="n">
        <v>85000</v>
      </c>
      <c r="E1090" s="71" t="n">
        <v>0.2</v>
      </c>
      <c r="F1090" s="36" t="n">
        <f aca="false">D1090*(1+E1090)</f>
        <v>102000</v>
      </c>
      <c r="G1090" s="36" t="n">
        <f aca="false">F1090*'Informasi Proyek'!$C$20</f>
        <v>10200</v>
      </c>
      <c r="H1090" s="39" t="n">
        <f aca="false">ROUND(F1090+G1090,0)</f>
        <v>112200</v>
      </c>
    </row>
    <row r="1091" customFormat="false" ht="15" hidden="false" customHeight="false" outlineLevel="0" collapsed="false">
      <c r="A1091" s="66" t="s">
        <v>1265</v>
      </c>
      <c r="B1091" s="29" t="s">
        <v>2083</v>
      </c>
      <c r="C1091" s="28" t="s">
        <v>784</v>
      </c>
      <c r="D1091" s="70" t="n">
        <v>325000</v>
      </c>
      <c r="E1091" s="71" t="n">
        <v>0</v>
      </c>
      <c r="F1091" s="36" t="n">
        <f aca="false">D1091*(1+E1091)</f>
        <v>325000</v>
      </c>
      <c r="G1091" s="36" t="n">
        <f aca="false">F1091*'Informasi Proyek'!$C$20</f>
        <v>32500</v>
      </c>
      <c r="H1091" s="39" t="n">
        <f aca="false">ROUND(F1091+G1091,0)</f>
        <v>357500</v>
      </c>
    </row>
    <row r="1092" customFormat="false" ht="15" hidden="false" customHeight="false" outlineLevel="0" collapsed="false">
      <c r="A1092" s="66" t="s">
        <v>1286</v>
      </c>
      <c r="B1092" s="29" t="s">
        <v>2084</v>
      </c>
      <c r="C1092" s="28" t="s">
        <v>183</v>
      </c>
      <c r="D1092" s="70" t="n">
        <v>8500000</v>
      </c>
      <c r="E1092" s="71" t="n">
        <v>0.08</v>
      </c>
      <c r="F1092" s="36" t="n">
        <f aca="false">D1092*(1+E1092)</f>
        <v>9180000</v>
      </c>
      <c r="G1092" s="36" t="n">
        <f aca="false">F1092*'Informasi Proyek'!$C$20</f>
        <v>918000</v>
      </c>
      <c r="H1092" s="39" t="n">
        <f aca="false">ROUND(F1092+G1092,0)</f>
        <v>10098000</v>
      </c>
    </row>
    <row r="1093" customFormat="false" ht="15" hidden="false" customHeight="false" outlineLevel="0" collapsed="false">
      <c r="A1093" s="66" t="s">
        <v>1288</v>
      </c>
      <c r="B1093" s="29" t="s">
        <v>2085</v>
      </c>
      <c r="C1093" s="28" t="s">
        <v>183</v>
      </c>
      <c r="D1093" s="70" t="n">
        <v>1450000</v>
      </c>
      <c r="E1093" s="71" t="n">
        <v>0.08</v>
      </c>
      <c r="F1093" s="36" t="n">
        <f aca="false">D1093*(1+E1093)</f>
        <v>1566000</v>
      </c>
      <c r="G1093" s="36" t="n">
        <f aca="false">F1093*'Informasi Proyek'!$C$20</f>
        <v>156600</v>
      </c>
      <c r="H1093" s="39" t="n">
        <f aca="false">ROUND(F1093+G1093,0)</f>
        <v>1722600</v>
      </c>
    </row>
    <row r="1094" customFormat="false" ht="15" hidden="false" customHeight="false" outlineLevel="0" collapsed="false">
      <c r="A1094" s="66" t="s">
        <v>1291</v>
      </c>
      <c r="B1094" s="29" t="s">
        <v>2086</v>
      </c>
      <c r="C1094" s="28" t="s">
        <v>331</v>
      </c>
      <c r="D1094" s="70" t="n">
        <v>35000</v>
      </c>
      <c r="E1094" s="71" t="n">
        <v>0.3</v>
      </c>
      <c r="F1094" s="36" t="n">
        <f aca="false">D1094*(1+E1094)</f>
        <v>45500</v>
      </c>
      <c r="G1094" s="36" t="n">
        <f aca="false">F1094*'Informasi Proyek'!$C$20</f>
        <v>4550</v>
      </c>
      <c r="H1094" s="39" t="n">
        <f aca="false">ROUND(F1094+G1094,0)</f>
        <v>50050</v>
      </c>
    </row>
    <row r="1095" customFormat="false" ht="15" hidden="false" customHeight="false" outlineLevel="0" collapsed="false">
      <c r="A1095" s="66" t="s">
        <v>1300</v>
      </c>
      <c r="B1095" s="29" t="s">
        <v>2087</v>
      </c>
      <c r="C1095" s="28" t="s">
        <v>943</v>
      </c>
      <c r="D1095" s="70" t="n">
        <v>450000000</v>
      </c>
      <c r="E1095" s="71" t="n">
        <v>0</v>
      </c>
      <c r="F1095" s="36" t="n">
        <f aca="false">D1095*(1+E1095)</f>
        <v>450000000</v>
      </c>
      <c r="G1095" s="36" t="n">
        <f aca="false">F1095*'Informasi Proyek'!$C$20</f>
        <v>45000000</v>
      </c>
      <c r="H1095" s="39" t="n">
        <f aca="false">ROUND(F1095+G1095,0)</f>
        <v>495000000</v>
      </c>
    </row>
    <row r="1096" customFormat="false" ht="15" hidden="false" customHeight="false" outlineLevel="0" collapsed="false">
      <c r="A1096" s="66" t="s">
        <v>1304</v>
      </c>
      <c r="B1096" s="29" t="s">
        <v>2088</v>
      </c>
      <c r="C1096" s="28" t="s">
        <v>183</v>
      </c>
      <c r="D1096" s="70" t="n">
        <v>345000000</v>
      </c>
      <c r="E1096" s="71" t="n">
        <v>0</v>
      </c>
      <c r="F1096" s="36" t="n">
        <f aca="false">D1096*(1+E1096)</f>
        <v>345000000</v>
      </c>
      <c r="G1096" s="36" t="n">
        <f aca="false">F1096*'Informasi Proyek'!$C$20</f>
        <v>34500000</v>
      </c>
      <c r="H1096" s="39" t="n">
        <f aca="false">ROUND(F1096+G1096,0)</f>
        <v>379500000</v>
      </c>
    </row>
    <row r="1097" customFormat="false" ht="15" hidden="false" customHeight="false" outlineLevel="0" collapsed="false">
      <c r="A1097" s="66" t="s">
        <v>1310</v>
      </c>
      <c r="B1097" s="29" t="s">
        <v>2089</v>
      </c>
      <c r="C1097" s="28" t="s">
        <v>520</v>
      </c>
      <c r="D1097" s="70" t="n">
        <v>485000000</v>
      </c>
      <c r="E1097" s="71" t="n">
        <v>0</v>
      </c>
      <c r="F1097" s="36" t="n">
        <f aca="false">D1097*(1+E1097)</f>
        <v>485000000</v>
      </c>
      <c r="G1097" s="36" t="n">
        <f aca="false">F1097*'Informasi Proyek'!$C$20</f>
        <v>48500000</v>
      </c>
      <c r="H1097" s="39" t="n">
        <f aca="false">ROUND(F1097+G1097,0)</f>
        <v>533500000</v>
      </c>
    </row>
    <row r="1098" customFormat="false" ht="15" hidden="false" customHeight="false" outlineLevel="0" collapsed="false">
      <c r="A1098" s="66" t="s">
        <v>1317</v>
      </c>
      <c r="B1098" s="29" t="s">
        <v>2090</v>
      </c>
      <c r="C1098" s="28" t="s">
        <v>1728</v>
      </c>
      <c r="D1098" s="70" t="n">
        <v>700000</v>
      </c>
      <c r="E1098" s="71" t="n">
        <v>0</v>
      </c>
      <c r="F1098" s="36" t="n">
        <f aca="false">D1098*(1+E1098)</f>
        <v>700000</v>
      </c>
      <c r="G1098" s="36" t="n">
        <f aca="false">F1098*'Informasi Proyek'!$C$20</f>
        <v>70000</v>
      </c>
      <c r="H1098" s="39" t="n">
        <f aca="false">ROUND(F1098+G1098,0)</f>
        <v>770000</v>
      </c>
    </row>
    <row r="1099" customFormat="false" ht="15" hidden="false" customHeight="false" outlineLevel="0" collapsed="false">
      <c r="A1099" s="66" t="s">
        <v>1320</v>
      </c>
      <c r="B1099" s="29" t="s">
        <v>2091</v>
      </c>
      <c r="C1099" s="28" t="s">
        <v>1728</v>
      </c>
      <c r="D1099" s="70" t="n">
        <v>2900000</v>
      </c>
      <c r="E1099" s="71" t="n">
        <v>0</v>
      </c>
      <c r="F1099" s="36" t="n">
        <f aca="false">D1099*(1+E1099)</f>
        <v>2900000</v>
      </c>
      <c r="G1099" s="36" t="n">
        <f aca="false">F1099*'Informasi Proyek'!$C$20</f>
        <v>290000</v>
      </c>
      <c r="H1099" s="39" t="n">
        <f aca="false">ROUND(F1099+G1099,0)</f>
        <v>3190000</v>
      </c>
    </row>
    <row r="1100" customFormat="false" ht="15" hidden="false" customHeight="false" outlineLevel="0" collapsed="false">
      <c r="A1100" s="66" t="s">
        <v>1322</v>
      </c>
      <c r="B1100" s="29" t="s">
        <v>2092</v>
      </c>
      <c r="C1100" s="28" t="s">
        <v>1728</v>
      </c>
      <c r="D1100" s="70" t="n">
        <v>3200000</v>
      </c>
      <c r="E1100" s="71" t="n">
        <v>0</v>
      </c>
      <c r="F1100" s="36" t="n">
        <f aca="false">D1100*(1+E1100)</f>
        <v>3200000</v>
      </c>
      <c r="G1100" s="36" t="n">
        <f aca="false">F1100*'Informasi Proyek'!$C$20</f>
        <v>320000</v>
      </c>
      <c r="H1100" s="39" t="n">
        <f aca="false">ROUND(F1100+G1100,0)</f>
        <v>3520000</v>
      </c>
    </row>
    <row r="1101" customFormat="false" ht="15" hidden="false" customHeight="false" outlineLevel="0" collapsed="false">
      <c r="A1101" s="66" t="s">
        <v>1324</v>
      </c>
      <c r="B1101" s="29" t="s">
        <v>2093</v>
      </c>
      <c r="C1101" s="28" t="s">
        <v>1728</v>
      </c>
      <c r="D1101" s="70" t="n">
        <v>485000</v>
      </c>
      <c r="E1101" s="71" t="n">
        <v>0</v>
      </c>
      <c r="F1101" s="36" t="n">
        <f aca="false">D1101*(1+E1101)</f>
        <v>485000</v>
      </c>
      <c r="G1101" s="36" t="n">
        <f aca="false">F1101*'Informasi Proyek'!$C$20</f>
        <v>48500</v>
      </c>
      <c r="H1101" s="39" t="n">
        <f aca="false">ROUND(F1101+G1101,0)</f>
        <v>533500</v>
      </c>
    </row>
    <row r="1102" customFormat="false" ht="15" hidden="false" customHeight="false" outlineLevel="0" collapsed="false">
      <c r="A1102" s="66" t="s">
        <v>1328</v>
      </c>
      <c r="B1102" s="29" t="s">
        <v>2094</v>
      </c>
      <c r="C1102" s="28" t="s">
        <v>1728</v>
      </c>
      <c r="D1102" s="70" t="n">
        <v>135000</v>
      </c>
      <c r="E1102" s="71" t="n">
        <v>0</v>
      </c>
      <c r="F1102" s="36" t="n">
        <f aca="false">D1102*(1+E1102)</f>
        <v>135000</v>
      </c>
      <c r="G1102" s="36" t="n">
        <f aca="false">F1102*'Informasi Proyek'!$C$20</f>
        <v>13500</v>
      </c>
      <c r="H1102" s="39" t="n">
        <f aca="false">ROUND(F1102+G1102,0)</f>
        <v>148500</v>
      </c>
    </row>
    <row r="1103" customFormat="false" ht="15" hidden="false" customHeight="false" outlineLevel="0" collapsed="false">
      <c r="A1103" s="66" t="s">
        <v>1331</v>
      </c>
      <c r="B1103" s="29" t="s">
        <v>2095</v>
      </c>
      <c r="C1103" s="28" t="s">
        <v>520</v>
      </c>
      <c r="D1103" s="70" t="n">
        <v>275000000</v>
      </c>
      <c r="E1103" s="71" t="n">
        <v>0</v>
      </c>
      <c r="F1103" s="36" t="n">
        <f aca="false">D1103*(1+E1103)</f>
        <v>275000000</v>
      </c>
      <c r="G1103" s="36" t="n">
        <f aca="false">F1103*'Informasi Proyek'!$C$20</f>
        <v>27500000</v>
      </c>
      <c r="H1103" s="39" t="n">
        <f aca="false">ROUND(F1103+G1103,0)</f>
        <v>302500000</v>
      </c>
    </row>
    <row r="1104" customFormat="false" ht="15" hidden="false" customHeight="false" outlineLevel="0" collapsed="false">
      <c r="A1104" s="66" t="s">
        <v>1333</v>
      </c>
      <c r="B1104" s="29" t="s">
        <v>2096</v>
      </c>
      <c r="C1104" s="28" t="s">
        <v>520</v>
      </c>
      <c r="D1104" s="70" t="n">
        <v>85000000</v>
      </c>
      <c r="E1104" s="71" t="n">
        <v>0</v>
      </c>
      <c r="F1104" s="36" t="n">
        <f aca="false">D1104*(1+E1104)</f>
        <v>85000000</v>
      </c>
      <c r="G1104" s="36" t="n">
        <f aca="false">F1104*'Informasi Proyek'!$C$20</f>
        <v>8500000</v>
      </c>
      <c r="H1104" s="39" t="n">
        <f aca="false">ROUND(F1104+G1104,0)</f>
        <v>93500000</v>
      </c>
    </row>
    <row r="1105" customFormat="false" ht="15" hidden="false" customHeight="false" outlineLevel="0" collapsed="false">
      <c r="A1105" s="66" t="s">
        <v>1336</v>
      </c>
      <c r="B1105" s="29" t="s">
        <v>2097</v>
      </c>
      <c r="C1105" s="28" t="s">
        <v>183</v>
      </c>
      <c r="D1105" s="70" t="n">
        <v>1050000000</v>
      </c>
      <c r="E1105" s="71" t="n">
        <v>0</v>
      </c>
      <c r="F1105" s="36" t="n">
        <f aca="false">D1105*(1+E1105)</f>
        <v>1050000000</v>
      </c>
      <c r="G1105" s="36" t="n">
        <f aca="false">F1105*'Informasi Proyek'!$C$20</f>
        <v>105000000</v>
      </c>
      <c r="H1105" s="39" t="n">
        <f aca="false">ROUND(F1105+G1105,0)</f>
        <v>1155000000</v>
      </c>
    </row>
    <row r="1106" customFormat="false" ht="15" hidden="false" customHeight="false" outlineLevel="0" collapsed="false">
      <c r="A1106" s="66" t="s">
        <v>1338</v>
      </c>
      <c r="B1106" s="29" t="s">
        <v>2098</v>
      </c>
      <c r="C1106" s="28" t="s">
        <v>206</v>
      </c>
      <c r="D1106" s="70" t="n">
        <v>285000</v>
      </c>
      <c r="E1106" s="71" t="n">
        <v>0.15</v>
      </c>
      <c r="F1106" s="36" t="n">
        <f aca="false">D1106*(1+E1106)</f>
        <v>327750</v>
      </c>
      <c r="G1106" s="36" t="n">
        <f aca="false">F1106*'Informasi Proyek'!$C$20</f>
        <v>32775</v>
      </c>
      <c r="H1106" s="39" t="n">
        <f aca="false">ROUND(F1106+G1106,0)</f>
        <v>360525</v>
      </c>
    </row>
    <row r="1107" customFormat="false" ht="15" hidden="false" customHeight="false" outlineLevel="0" collapsed="false">
      <c r="A1107" s="66" t="s">
        <v>1340</v>
      </c>
      <c r="B1107" s="29" t="s">
        <v>2099</v>
      </c>
      <c r="C1107" s="28" t="s">
        <v>206</v>
      </c>
      <c r="D1107" s="70" t="n">
        <v>175000</v>
      </c>
      <c r="E1107" s="71" t="n">
        <v>0.15</v>
      </c>
      <c r="F1107" s="36" t="n">
        <f aca="false">D1107*(1+E1107)</f>
        <v>201250</v>
      </c>
      <c r="G1107" s="36" t="n">
        <f aca="false">F1107*'Informasi Proyek'!$C$20</f>
        <v>20125</v>
      </c>
      <c r="H1107" s="39" t="n">
        <f aca="false">ROUND(F1107+G1107,0)</f>
        <v>221375</v>
      </c>
    </row>
    <row r="1108" customFormat="false" ht="15" hidden="false" customHeight="false" outlineLevel="0" collapsed="false">
      <c r="A1108" s="66" t="s">
        <v>1342</v>
      </c>
      <c r="B1108" s="29" t="s">
        <v>2100</v>
      </c>
      <c r="C1108" s="28" t="s">
        <v>784</v>
      </c>
      <c r="D1108" s="70" t="n">
        <v>485000</v>
      </c>
      <c r="E1108" s="71" t="n">
        <v>0.15</v>
      </c>
      <c r="F1108" s="36" t="n">
        <f aca="false">D1108*(1+E1108)</f>
        <v>557750</v>
      </c>
      <c r="G1108" s="36" t="n">
        <f aca="false">F1108*'Informasi Proyek'!$C$20</f>
        <v>55775</v>
      </c>
      <c r="H1108" s="39" t="n">
        <f aca="false">ROUND(F1108+G1108,0)</f>
        <v>613525</v>
      </c>
    </row>
    <row r="1109" customFormat="false" ht="15" hidden="false" customHeight="false" outlineLevel="0" collapsed="false">
      <c r="A1109" s="66" t="s">
        <v>1364</v>
      </c>
      <c r="B1109" s="29" t="s">
        <v>2101</v>
      </c>
      <c r="C1109" s="28" t="s">
        <v>183</v>
      </c>
      <c r="D1109" s="70" t="n">
        <v>185000000</v>
      </c>
      <c r="E1109" s="71" t="n">
        <v>0</v>
      </c>
      <c r="F1109" s="36" t="n">
        <f aca="false">D1109*(1+E1109)</f>
        <v>185000000</v>
      </c>
      <c r="G1109" s="36" t="n">
        <f aca="false">F1109*'Informasi Proyek'!$C$20</f>
        <v>18500000</v>
      </c>
      <c r="H1109" s="39" t="n">
        <f aca="false">ROUND(F1109+G1109,0)</f>
        <v>203500000</v>
      </c>
    </row>
    <row r="1110" customFormat="false" ht="15" hidden="false" customHeight="false" outlineLevel="0" collapsed="false">
      <c r="A1110" s="66" t="s">
        <v>1368</v>
      </c>
      <c r="B1110" s="29" t="s">
        <v>2102</v>
      </c>
      <c r="C1110" s="28" t="s">
        <v>183</v>
      </c>
      <c r="D1110" s="70" t="n">
        <v>395000000</v>
      </c>
      <c r="E1110" s="71" t="n">
        <v>0</v>
      </c>
      <c r="F1110" s="36" t="n">
        <f aca="false">D1110*(1+E1110)</f>
        <v>395000000</v>
      </c>
      <c r="G1110" s="36" t="n">
        <f aca="false">F1110*'Informasi Proyek'!$C$20</f>
        <v>39500000</v>
      </c>
      <c r="H1110" s="39" t="n">
        <f aca="false">ROUND(F1110+G1110,0)</f>
        <v>434500000</v>
      </c>
    </row>
    <row r="1111" customFormat="false" ht="15" hidden="false" customHeight="false" outlineLevel="0" collapsed="false">
      <c r="A1111" s="66" t="s">
        <v>1382</v>
      </c>
      <c r="B1111" s="29" t="s">
        <v>2103</v>
      </c>
      <c r="C1111" s="28" t="s">
        <v>183</v>
      </c>
      <c r="D1111" s="70" t="n">
        <v>55000000</v>
      </c>
      <c r="E1111" s="71" t="n">
        <v>0</v>
      </c>
      <c r="F1111" s="36" t="n">
        <f aca="false">D1111*(1+E1111)</f>
        <v>55000000</v>
      </c>
      <c r="G1111" s="36" t="n">
        <f aca="false">F1111*'Informasi Proyek'!$C$20</f>
        <v>5500000</v>
      </c>
      <c r="H1111" s="39" t="n">
        <f aca="false">ROUND(F1111+G1111,0)</f>
        <v>60500000</v>
      </c>
    </row>
    <row r="1112" customFormat="false" ht="15" hidden="false" customHeight="false" outlineLevel="0" collapsed="false">
      <c r="A1112" s="66" t="s">
        <v>1391</v>
      </c>
      <c r="B1112" s="29" t="s">
        <v>2104</v>
      </c>
      <c r="C1112" s="28" t="s">
        <v>1861</v>
      </c>
      <c r="D1112" s="70" t="n">
        <v>2850000</v>
      </c>
      <c r="E1112" s="71" t="n">
        <v>0</v>
      </c>
      <c r="F1112" s="36" t="n">
        <f aca="false">D1112*(1+E1112)</f>
        <v>2850000</v>
      </c>
      <c r="G1112" s="36" t="n">
        <f aca="false">F1112*'Informasi Proyek'!$C$20</f>
        <v>285000</v>
      </c>
      <c r="H1112" s="39" t="n">
        <f aca="false">ROUND(F1112+G1112,0)</f>
        <v>3135000</v>
      </c>
    </row>
    <row r="1113" customFormat="false" ht="15" hidden="false" customHeight="false" outlineLevel="0" collapsed="false">
      <c r="A1113" s="66" t="s">
        <v>1393</v>
      </c>
      <c r="B1113" s="29" t="s">
        <v>2105</v>
      </c>
      <c r="C1113" s="28" t="s">
        <v>1861</v>
      </c>
      <c r="D1113" s="70" t="n">
        <v>1950000</v>
      </c>
      <c r="E1113" s="71" t="n">
        <v>0</v>
      </c>
      <c r="F1113" s="36" t="n">
        <f aca="false">D1113*(1+E1113)</f>
        <v>1950000</v>
      </c>
      <c r="G1113" s="36" t="n">
        <f aca="false">F1113*'Informasi Proyek'!$C$20</f>
        <v>195000</v>
      </c>
      <c r="H1113" s="39" t="n">
        <f aca="false">ROUND(F1113+G1113,0)</f>
        <v>2145000</v>
      </c>
    </row>
    <row r="1114" customFormat="false" ht="15" hidden="false" customHeight="false" outlineLevel="0" collapsed="false">
      <c r="A1114" s="66" t="s">
        <v>1395</v>
      </c>
      <c r="B1114" s="29" t="s">
        <v>2106</v>
      </c>
      <c r="C1114" s="28" t="s">
        <v>1861</v>
      </c>
      <c r="D1114" s="70" t="n">
        <v>1650000</v>
      </c>
      <c r="E1114" s="71" t="n">
        <v>0</v>
      </c>
      <c r="F1114" s="36" t="n">
        <f aca="false">D1114*(1+E1114)</f>
        <v>1650000</v>
      </c>
      <c r="G1114" s="36" t="n">
        <f aca="false">F1114*'Informasi Proyek'!$C$20</f>
        <v>165000</v>
      </c>
      <c r="H1114" s="39" t="n">
        <f aca="false">ROUND(F1114+G1114,0)</f>
        <v>1815000</v>
      </c>
    </row>
    <row r="1115" customFormat="false" ht="15" hidden="false" customHeight="false" outlineLevel="0" collapsed="false">
      <c r="A1115" s="66" t="s">
        <v>1400</v>
      </c>
      <c r="B1115" s="29" t="s">
        <v>2107</v>
      </c>
      <c r="C1115" s="28" t="s">
        <v>183</v>
      </c>
      <c r="D1115" s="70" t="n">
        <v>125000000</v>
      </c>
      <c r="E1115" s="71" t="n">
        <v>0</v>
      </c>
      <c r="F1115" s="36" t="n">
        <f aca="false">D1115*(1+E1115)</f>
        <v>125000000</v>
      </c>
      <c r="G1115" s="36" t="n">
        <f aca="false">F1115*'Informasi Proyek'!$C$20</f>
        <v>12500000</v>
      </c>
      <c r="H1115" s="39" t="n">
        <f aca="false">ROUND(F1115+G1115,0)</f>
        <v>137500000</v>
      </c>
    </row>
    <row r="1116" customFormat="false" ht="15" hidden="false" customHeight="false" outlineLevel="0" collapsed="false">
      <c r="A1116" s="66" t="s">
        <v>1421</v>
      </c>
      <c r="B1116" s="29" t="s">
        <v>2108</v>
      </c>
      <c r="C1116" s="28" t="s">
        <v>1861</v>
      </c>
      <c r="D1116" s="70" t="n">
        <v>950000</v>
      </c>
      <c r="E1116" s="71" t="n">
        <v>0</v>
      </c>
      <c r="F1116" s="36" t="n">
        <f aca="false">D1116*(1+E1116)</f>
        <v>950000</v>
      </c>
      <c r="G1116" s="36" t="n">
        <f aca="false">F1116*'Informasi Proyek'!$C$20</f>
        <v>95000</v>
      </c>
      <c r="H1116" s="39" t="n">
        <f aca="false">ROUND(F1116+G1116,0)</f>
        <v>1045000</v>
      </c>
    </row>
    <row r="1117" customFormat="false" ht="15" hidden="false" customHeight="false" outlineLevel="0" collapsed="false">
      <c r="A1117" s="66" t="s">
        <v>1423</v>
      </c>
      <c r="B1117" s="29" t="s">
        <v>2109</v>
      </c>
      <c r="C1117" s="28" t="s">
        <v>206</v>
      </c>
      <c r="D1117" s="70" t="n">
        <v>8500000</v>
      </c>
      <c r="E1117" s="71" t="n">
        <v>0</v>
      </c>
      <c r="F1117" s="36" t="n">
        <f aca="false">D1117*(1+E1117)</f>
        <v>8500000</v>
      </c>
      <c r="G1117" s="36" t="n">
        <f aca="false">F1117*'Informasi Proyek'!$C$20</f>
        <v>850000</v>
      </c>
      <c r="H1117" s="39" t="n">
        <f aca="false">ROUND(F1117+G1117,0)</f>
        <v>9350000</v>
      </c>
    </row>
    <row r="1118" customFormat="false" ht="15" hidden="false" customHeight="false" outlineLevel="0" collapsed="false">
      <c r="A1118" s="66" t="s">
        <v>1428</v>
      </c>
      <c r="B1118" s="29" t="s">
        <v>2110</v>
      </c>
      <c r="C1118" s="28" t="s">
        <v>183</v>
      </c>
      <c r="D1118" s="70" t="n">
        <v>10500000</v>
      </c>
      <c r="E1118" s="71" t="n">
        <v>0</v>
      </c>
      <c r="F1118" s="36" t="n">
        <f aca="false">D1118*(1+E1118)</f>
        <v>10500000</v>
      </c>
      <c r="G1118" s="36" t="n">
        <f aca="false">F1118*'Informasi Proyek'!$C$20</f>
        <v>1050000</v>
      </c>
      <c r="H1118" s="39" t="n">
        <f aca="false">ROUND(F1118+G1118,0)</f>
        <v>11550000</v>
      </c>
    </row>
    <row r="1119" customFormat="false" ht="15" hidden="false" customHeight="false" outlineLevel="0" collapsed="false">
      <c r="A1119" s="66" t="s">
        <v>1440</v>
      </c>
      <c r="B1119" s="29" t="s">
        <v>2111</v>
      </c>
      <c r="C1119" s="28" t="s">
        <v>1439</v>
      </c>
      <c r="D1119" s="70" t="n">
        <v>72000</v>
      </c>
      <c r="E1119" s="71" t="n">
        <v>0</v>
      </c>
      <c r="F1119" s="36" t="n">
        <f aca="false">D1119*(1+E1119)</f>
        <v>72000</v>
      </c>
      <c r="G1119" s="36" t="n">
        <f aca="false">F1119*'Informasi Proyek'!$C$20</f>
        <v>7200</v>
      </c>
      <c r="H1119" s="39" t="n">
        <f aca="false">ROUND(F1119+G1119,0)</f>
        <v>79200</v>
      </c>
    </row>
    <row r="1120" customFormat="false" ht="15" hidden="false" customHeight="false" outlineLevel="0" collapsed="false">
      <c r="A1120" s="66" t="s">
        <v>1455</v>
      </c>
      <c r="B1120" s="29" t="s">
        <v>2112</v>
      </c>
      <c r="C1120" s="28" t="s">
        <v>520</v>
      </c>
      <c r="D1120" s="70" t="n">
        <v>38000000</v>
      </c>
      <c r="E1120" s="71" t="n">
        <v>0</v>
      </c>
      <c r="F1120" s="36" t="n">
        <f aca="false">D1120*(1+E1120)</f>
        <v>38000000</v>
      </c>
      <c r="G1120" s="36" t="n">
        <f aca="false">F1120*'Informasi Proyek'!$C$20</f>
        <v>3800000</v>
      </c>
      <c r="H1120" s="39" t="n">
        <f aca="false">ROUND(F1120+G1120,0)</f>
        <v>41800000</v>
      </c>
    </row>
    <row r="1121" customFormat="false" ht="15" hidden="false" customHeight="false" outlineLevel="0" collapsed="false">
      <c r="A1121" s="66" t="s">
        <v>1457</v>
      </c>
      <c r="B1121" s="29" t="s">
        <v>2113</v>
      </c>
      <c r="C1121" s="28" t="s">
        <v>520</v>
      </c>
      <c r="D1121" s="70" t="n">
        <v>52000000</v>
      </c>
      <c r="E1121" s="71" t="n">
        <v>0</v>
      </c>
      <c r="F1121" s="36" t="n">
        <f aca="false">D1121*(1+E1121)</f>
        <v>52000000</v>
      </c>
      <c r="G1121" s="36" t="n">
        <f aca="false">F1121*'Informasi Proyek'!$C$20</f>
        <v>5200000</v>
      </c>
      <c r="H1121" s="39" t="n">
        <f aca="false">ROUND(F1121+G1121,0)</f>
        <v>57200000</v>
      </c>
    </row>
    <row r="1122" customFormat="false" ht="15" hidden="false" customHeight="false" outlineLevel="0" collapsed="false">
      <c r="A1122" s="66" t="s">
        <v>1459</v>
      </c>
      <c r="B1122" s="29" t="s">
        <v>2114</v>
      </c>
      <c r="C1122" s="28" t="s">
        <v>520</v>
      </c>
      <c r="D1122" s="70" t="n">
        <v>68000000</v>
      </c>
      <c r="E1122" s="71" t="n">
        <v>0</v>
      </c>
      <c r="F1122" s="36" t="n">
        <f aca="false">D1122*(1+E1122)</f>
        <v>68000000</v>
      </c>
      <c r="G1122" s="36" t="n">
        <f aca="false">F1122*'Informasi Proyek'!$C$20</f>
        <v>6800000</v>
      </c>
      <c r="H1122" s="39" t="n">
        <f aca="false">ROUND(F1122+G1122,0)</f>
        <v>74800000</v>
      </c>
    </row>
    <row r="1123" customFormat="false" ht="15" hidden="false" customHeight="false" outlineLevel="0" collapsed="false">
      <c r="A1123" s="66" t="s">
        <v>1461</v>
      </c>
      <c r="B1123" s="29" t="s">
        <v>2115</v>
      </c>
      <c r="C1123" s="28" t="s">
        <v>520</v>
      </c>
      <c r="D1123" s="70" t="n">
        <v>38000000</v>
      </c>
      <c r="E1123" s="71" t="n">
        <v>0</v>
      </c>
      <c r="F1123" s="36" t="n">
        <f aca="false">D1123*(1+E1123)</f>
        <v>38000000</v>
      </c>
      <c r="G1123" s="36" t="n">
        <f aca="false">F1123*'Informasi Proyek'!$C$20</f>
        <v>3800000</v>
      </c>
      <c r="H1123" s="39" t="n">
        <f aca="false">ROUND(F1123+G1123,0)</f>
        <v>41800000</v>
      </c>
    </row>
    <row r="1124" customFormat="false" ht="15" hidden="false" customHeight="false" outlineLevel="0" collapsed="false">
      <c r="A1124" s="66" t="s">
        <v>1465</v>
      </c>
      <c r="B1124" s="29" t="s">
        <v>2116</v>
      </c>
      <c r="C1124" s="28" t="s">
        <v>1861</v>
      </c>
      <c r="D1124" s="70" t="n">
        <v>520000</v>
      </c>
      <c r="E1124" s="71" t="n">
        <v>0</v>
      </c>
      <c r="F1124" s="36" t="n">
        <f aca="false">D1124*(1+E1124)</f>
        <v>520000</v>
      </c>
      <c r="G1124" s="36" t="n">
        <f aca="false">F1124*'Informasi Proyek'!$C$20</f>
        <v>52000</v>
      </c>
      <c r="H1124" s="39" t="n">
        <f aca="false">ROUND(F1124+G1124,0)</f>
        <v>572000</v>
      </c>
    </row>
    <row r="1125" customFormat="false" ht="15" hidden="false" customHeight="false" outlineLevel="0" collapsed="false">
      <c r="A1125" s="66" t="s">
        <v>1467</v>
      </c>
      <c r="B1125" s="29" t="s">
        <v>2117</v>
      </c>
      <c r="C1125" s="28" t="s">
        <v>1861</v>
      </c>
      <c r="D1125" s="70" t="n">
        <v>730000</v>
      </c>
      <c r="E1125" s="71" t="n">
        <v>0</v>
      </c>
      <c r="F1125" s="36" t="n">
        <f aca="false">D1125*(1+E1125)</f>
        <v>730000</v>
      </c>
      <c r="G1125" s="36" t="n">
        <f aca="false">F1125*'Informasi Proyek'!$C$20</f>
        <v>73000</v>
      </c>
      <c r="H1125" s="39" t="n">
        <f aca="false">ROUND(F1125+G1125,0)</f>
        <v>803000</v>
      </c>
    </row>
    <row r="1126" customFormat="false" ht="15" hidden="false" customHeight="false" outlineLevel="0" collapsed="false">
      <c r="A1126" s="66" t="s">
        <v>1469</v>
      </c>
      <c r="B1126" s="29" t="s">
        <v>2118</v>
      </c>
      <c r="C1126" s="28" t="s">
        <v>1861</v>
      </c>
      <c r="D1126" s="70" t="n">
        <v>1250000</v>
      </c>
      <c r="E1126" s="71" t="n">
        <v>0</v>
      </c>
      <c r="F1126" s="36" t="n">
        <f aca="false">D1126*(1+E1126)</f>
        <v>1250000</v>
      </c>
      <c r="G1126" s="36" t="n">
        <f aca="false">F1126*'Informasi Proyek'!$C$20</f>
        <v>125000</v>
      </c>
      <c r="H1126" s="39" t="n">
        <f aca="false">ROUND(F1126+G1126,0)</f>
        <v>1375000</v>
      </c>
    </row>
    <row r="1127" customFormat="false" ht="15" hidden="false" customHeight="false" outlineLevel="0" collapsed="false">
      <c r="A1127" s="66" t="s">
        <v>1471</v>
      </c>
      <c r="B1127" s="29" t="s">
        <v>2119</v>
      </c>
      <c r="C1127" s="28" t="s">
        <v>1861</v>
      </c>
      <c r="D1127" s="70" t="n">
        <v>410000</v>
      </c>
      <c r="E1127" s="71" t="n">
        <v>0</v>
      </c>
      <c r="F1127" s="36" t="n">
        <f aca="false">D1127*(1+E1127)</f>
        <v>410000</v>
      </c>
      <c r="G1127" s="36" t="n">
        <f aca="false">F1127*'Informasi Proyek'!$C$20</f>
        <v>41000</v>
      </c>
      <c r="H1127" s="39" t="n">
        <f aca="false">ROUND(F1127+G1127,0)</f>
        <v>451000</v>
      </c>
    </row>
    <row r="1128" customFormat="false" ht="15" hidden="false" customHeight="false" outlineLevel="0" collapsed="false">
      <c r="A1128" s="66" t="s">
        <v>1473</v>
      </c>
      <c r="B1128" s="29" t="s">
        <v>2120</v>
      </c>
      <c r="C1128" s="28" t="s">
        <v>1861</v>
      </c>
      <c r="D1128" s="70" t="n">
        <v>85000</v>
      </c>
      <c r="E1128" s="71" t="n">
        <v>0</v>
      </c>
      <c r="F1128" s="36" t="n">
        <f aca="false">D1128*(1+E1128)</f>
        <v>85000</v>
      </c>
      <c r="G1128" s="36" t="n">
        <f aca="false">F1128*'Informasi Proyek'!$C$20</f>
        <v>8500</v>
      </c>
      <c r="H1128" s="39" t="n">
        <f aca="false">ROUND(F1128+G1128,0)</f>
        <v>93500</v>
      </c>
    </row>
    <row r="1129" customFormat="false" ht="15" hidden="false" customHeight="false" outlineLevel="0" collapsed="false">
      <c r="A1129" s="66" t="s">
        <v>1475</v>
      </c>
      <c r="B1129" s="29" t="s">
        <v>2121</v>
      </c>
      <c r="C1129" s="28" t="s">
        <v>1861</v>
      </c>
      <c r="D1129" s="70" t="n">
        <v>1550000</v>
      </c>
      <c r="E1129" s="71" t="n">
        <v>0</v>
      </c>
      <c r="F1129" s="36" t="n">
        <f aca="false">D1129*(1+E1129)</f>
        <v>1550000</v>
      </c>
      <c r="G1129" s="36" t="n">
        <f aca="false">F1129*'Informasi Proyek'!$C$20</f>
        <v>155000</v>
      </c>
      <c r="H1129" s="39" t="n">
        <f aca="false">ROUND(F1129+G1129,0)</f>
        <v>1705000</v>
      </c>
    </row>
    <row r="1130" customFormat="false" ht="15" hidden="false" customHeight="false" outlineLevel="0" collapsed="false">
      <c r="A1130" s="66" t="s">
        <v>1478</v>
      </c>
      <c r="B1130" s="29" t="s">
        <v>2122</v>
      </c>
      <c r="C1130" s="28" t="s">
        <v>1861</v>
      </c>
      <c r="D1130" s="70" t="n">
        <v>250000</v>
      </c>
      <c r="E1130" s="71" t="n">
        <v>0</v>
      </c>
      <c r="F1130" s="36" t="n">
        <f aca="false">D1130*(1+E1130)</f>
        <v>250000</v>
      </c>
      <c r="G1130" s="36" t="n">
        <f aca="false">F1130*'Informasi Proyek'!$C$20</f>
        <v>25000</v>
      </c>
      <c r="H1130" s="39" t="n">
        <f aca="false">ROUND(F1130+G1130,0)</f>
        <v>275000</v>
      </c>
    </row>
    <row r="1131" customFormat="false" ht="15" hidden="false" customHeight="false" outlineLevel="0" collapsed="false">
      <c r="A1131" s="66" t="s">
        <v>1486</v>
      </c>
      <c r="B1131" s="29" t="s">
        <v>2123</v>
      </c>
      <c r="C1131" s="28" t="s">
        <v>1861</v>
      </c>
      <c r="D1131" s="70" t="n">
        <v>1250000</v>
      </c>
      <c r="E1131" s="71" t="n">
        <v>0</v>
      </c>
      <c r="F1131" s="36" t="n">
        <f aca="false">D1131*(1+E1131)</f>
        <v>1250000</v>
      </c>
      <c r="G1131" s="36" t="n">
        <f aca="false">F1131*'Informasi Proyek'!$C$20</f>
        <v>125000</v>
      </c>
      <c r="H1131" s="39" t="n">
        <f aca="false">ROUND(F1131+G1131,0)</f>
        <v>1375000</v>
      </c>
    </row>
    <row r="1132" customFormat="false" ht="15" hidden="false" customHeight="false" outlineLevel="0" collapsed="false">
      <c r="A1132" s="66" t="s">
        <v>1488</v>
      </c>
      <c r="B1132" s="29" t="s">
        <v>2124</v>
      </c>
      <c r="C1132" s="28" t="s">
        <v>206</v>
      </c>
      <c r="D1132" s="70" t="n">
        <v>8500000</v>
      </c>
      <c r="E1132" s="71" t="n">
        <v>0</v>
      </c>
      <c r="F1132" s="36" t="n">
        <f aca="false">D1132*(1+E1132)</f>
        <v>8500000</v>
      </c>
      <c r="G1132" s="36" t="n">
        <f aca="false">F1132*'Informasi Proyek'!$C$20</f>
        <v>850000</v>
      </c>
      <c r="H1132" s="39" t="n">
        <f aca="false">ROUND(F1132+G1132,0)</f>
        <v>9350000</v>
      </c>
    </row>
    <row r="1133" customFormat="false" ht="15" hidden="false" customHeight="false" outlineLevel="0" collapsed="false">
      <c r="A1133" s="66" t="s">
        <v>1490</v>
      </c>
      <c r="B1133" s="29" t="s">
        <v>2125</v>
      </c>
      <c r="C1133" s="28" t="s">
        <v>206</v>
      </c>
      <c r="D1133" s="70" t="n">
        <v>11500000</v>
      </c>
      <c r="E1133" s="71" t="n">
        <v>0</v>
      </c>
      <c r="F1133" s="36" t="n">
        <f aca="false">D1133*(1+E1133)</f>
        <v>11500000</v>
      </c>
      <c r="G1133" s="36" t="n">
        <f aca="false">F1133*'Informasi Proyek'!$C$20</f>
        <v>1150000</v>
      </c>
      <c r="H1133" s="39" t="n">
        <f aca="false">ROUND(F1133+G1133,0)</f>
        <v>12650000</v>
      </c>
    </row>
    <row r="1134" customFormat="false" ht="15" hidden="false" customHeight="false" outlineLevel="0" collapsed="false">
      <c r="A1134" s="66" t="s">
        <v>1492</v>
      </c>
      <c r="B1134" s="29" t="s">
        <v>2126</v>
      </c>
      <c r="C1134" s="28" t="s">
        <v>206</v>
      </c>
      <c r="D1134" s="70" t="n">
        <v>4850000</v>
      </c>
      <c r="E1134" s="71" t="n">
        <v>0</v>
      </c>
      <c r="F1134" s="36" t="n">
        <f aca="false">D1134*(1+E1134)</f>
        <v>4850000</v>
      </c>
      <c r="G1134" s="36" t="n">
        <f aca="false">F1134*'Informasi Proyek'!$C$20</f>
        <v>485000</v>
      </c>
      <c r="H1134" s="39" t="n">
        <f aca="false">ROUND(F1134+G1134,0)</f>
        <v>5335000</v>
      </c>
    </row>
    <row r="1135" customFormat="false" ht="15" hidden="false" customHeight="false" outlineLevel="0" collapsed="false">
      <c r="A1135" s="66" t="s">
        <v>1497</v>
      </c>
      <c r="B1135" s="29" t="s">
        <v>2127</v>
      </c>
      <c r="C1135" s="28" t="s">
        <v>520</v>
      </c>
      <c r="D1135" s="70" t="n">
        <v>185000000</v>
      </c>
      <c r="E1135" s="71" t="n">
        <v>0</v>
      </c>
      <c r="F1135" s="36" t="n">
        <f aca="false">D1135*(1+E1135)</f>
        <v>185000000</v>
      </c>
      <c r="G1135" s="36" t="n">
        <f aca="false">F1135*'Informasi Proyek'!$C$20</f>
        <v>18500000</v>
      </c>
      <c r="H1135" s="39" t="n">
        <f aca="false">ROUND(F1135+G1135,0)</f>
        <v>203500000</v>
      </c>
    </row>
    <row r="1136" customFormat="false" ht="15" hidden="false" customHeight="false" outlineLevel="0" collapsed="false">
      <c r="A1136" s="66" t="s">
        <v>1508</v>
      </c>
      <c r="B1136" s="29" t="s">
        <v>2128</v>
      </c>
      <c r="C1136" s="28" t="s">
        <v>206</v>
      </c>
      <c r="D1136" s="70" t="n">
        <v>520000</v>
      </c>
      <c r="E1136" s="71" t="n">
        <v>0</v>
      </c>
      <c r="F1136" s="36" t="n">
        <f aca="false">D1136*(1+E1136)</f>
        <v>520000</v>
      </c>
      <c r="G1136" s="36" t="n">
        <f aca="false">F1136*'Informasi Proyek'!$C$20</f>
        <v>52000</v>
      </c>
      <c r="H1136" s="39" t="n">
        <f aca="false">ROUND(F1136+G1136,0)</f>
        <v>572000</v>
      </c>
    </row>
    <row r="1137" customFormat="false" ht="15" hidden="false" customHeight="false" outlineLevel="0" collapsed="false">
      <c r="A1137" s="66" t="s">
        <v>1510</v>
      </c>
      <c r="B1137" s="29" t="s">
        <v>2129</v>
      </c>
      <c r="C1137" s="28" t="s">
        <v>206</v>
      </c>
      <c r="D1137" s="70" t="n">
        <v>450000</v>
      </c>
      <c r="E1137" s="71" t="n">
        <v>0</v>
      </c>
      <c r="F1137" s="36" t="n">
        <f aca="false">D1137*(1+E1137)</f>
        <v>450000</v>
      </c>
      <c r="G1137" s="36" t="n">
        <f aca="false">F1137*'Informasi Proyek'!$C$20</f>
        <v>45000</v>
      </c>
      <c r="H1137" s="39" t="n">
        <f aca="false">ROUND(F1137+G1137,0)</f>
        <v>495000</v>
      </c>
    </row>
    <row r="1138" customFormat="false" ht="15" hidden="false" customHeight="false" outlineLevel="0" collapsed="false">
      <c r="A1138" s="66" t="s">
        <v>1513</v>
      </c>
      <c r="B1138" s="29" t="s">
        <v>2130</v>
      </c>
      <c r="C1138" s="28" t="s">
        <v>520</v>
      </c>
      <c r="D1138" s="70" t="n">
        <v>685000000</v>
      </c>
      <c r="E1138" s="71" t="n">
        <v>0</v>
      </c>
      <c r="F1138" s="36" t="n">
        <f aca="false">D1138*(1+E1138)</f>
        <v>685000000</v>
      </c>
      <c r="G1138" s="36" t="n">
        <f aca="false">F1138*'Informasi Proyek'!$C$20</f>
        <v>68500000</v>
      </c>
      <c r="H1138" s="39" t="n">
        <f aca="false">ROUND(F1138+G1138,0)</f>
        <v>753500000</v>
      </c>
    </row>
    <row r="1139" customFormat="false" ht="15" hidden="false" customHeight="false" outlineLevel="0" collapsed="false">
      <c r="A1139" s="66" t="s">
        <v>1518</v>
      </c>
      <c r="B1139" s="29" t="s">
        <v>2131</v>
      </c>
      <c r="C1139" s="28" t="s">
        <v>1861</v>
      </c>
      <c r="D1139" s="70" t="n">
        <v>125000</v>
      </c>
      <c r="E1139" s="71" t="n">
        <v>0</v>
      </c>
      <c r="F1139" s="36" t="n">
        <f aca="false">D1139*(1+E1139)</f>
        <v>125000</v>
      </c>
      <c r="G1139" s="36" t="n">
        <f aca="false">F1139*'Informasi Proyek'!$C$20</f>
        <v>12500</v>
      </c>
      <c r="H1139" s="39" t="n">
        <f aca="false">ROUND(F1139+G1139,0)</f>
        <v>137500</v>
      </c>
    </row>
    <row r="1140" customFormat="false" ht="15" hidden="false" customHeight="false" outlineLevel="0" collapsed="false">
      <c r="A1140" s="66" t="s">
        <v>1520</v>
      </c>
      <c r="B1140" s="29" t="s">
        <v>2132</v>
      </c>
      <c r="C1140" s="28" t="s">
        <v>206</v>
      </c>
      <c r="D1140" s="70" t="n">
        <v>485000</v>
      </c>
      <c r="E1140" s="71" t="n">
        <v>0</v>
      </c>
      <c r="F1140" s="36" t="n">
        <f aca="false">D1140*(1+E1140)</f>
        <v>485000</v>
      </c>
      <c r="G1140" s="36" t="n">
        <f aca="false">F1140*'Informasi Proyek'!$C$20</f>
        <v>48500</v>
      </c>
      <c r="H1140" s="39" t="n">
        <f aca="false">ROUND(F1140+G1140,0)</f>
        <v>533500</v>
      </c>
    </row>
    <row r="1141" customFormat="false" ht="23.85" hidden="false" customHeight="false" outlineLevel="0" collapsed="false">
      <c r="A1141" s="66" t="s">
        <v>1526</v>
      </c>
      <c r="B1141" s="29" t="s">
        <v>2133</v>
      </c>
      <c r="C1141" s="28" t="s">
        <v>943</v>
      </c>
      <c r="D1141" s="70" t="n">
        <v>425000000</v>
      </c>
      <c r="E1141" s="71" t="n">
        <v>0</v>
      </c>
      <c r="F1141" s="36" t="n">
        <f aca="false">D1141*(1+E1141)</f>
        <v>425000000</v>
      </c>
      <c r="G1141" s="36" t="n">
        <f aca="false">F1141*'Informasi Proyek'!$C$20</f>
        <v>42500000</v>
      </c>
      <c r="H1141" s="39" t="n">
        <f aca="false">ROUND(F1141+G1141,0)</f>
        <v>467500000</v>
      </c>
    </row>
    <row r="1142" customFormat="false" ht="15" hidden="false" customHeight="false" outlineLevel="0" collapsed="false">
      <c r="A1142" s="66" t="s">
        <v>1568</v>
      </c>
      <c r="B1142" s="29" t="s">
        <v>2134</v>
      </c>
      <c r="C1142" s="28" t="s">
        <v>331</v>
      </c>
      <c r="D1142" s="70" t="n">
        <v>685000</v>
      </c>
      <c r="E1142" s="71" t="n">
        <v>0.15</v>
      </c>
      <c r="F1142" s="36" t="n">
        <f aca="false">D1142*(1+E1142)</f>
        <v>787750</v>
      </c>
      <c r="G1142" s="36" t="n">
        <f aca="false">F1142*'Informasi Proyek'!$C$20</f>
        <v>78775</v>
      </c>
      <c r="H1142" s="39" t="n">
        <f aca="false">ROUND(F1142+G1142,0)</f>
        <v>866525</v>
      </c>
    </row>
    <row r="1143" customFormat="false" ht="15" hidden="false" customHeight="false" outlineLevel="0" collapsed="false">
      <c r="A1143" s="66" t="s">
        <v>1570</v>
      </c>
      <c r="B1143" s="29" t="s">
        <v>2135</v>
      </c>
      <c r="C1143" s="28" t="s">
        <v>183</v>
      </c>
      <c r="D1143" s="70" t="n">
        <v>1250000</v>
      </c>
      <c r="E1143" s="71" t="n">
        <v>0.05</v>
      </c>
      <c r="F1143" s="36" t="n">
        <f aca="false">D1143*(1+E1143)</f>
        <v>1312500</v>
      </c>
      <c r="G1143" s="36" t="n">
        <f aca="false">F1143*'Informasi Proyek'!$C$20</f>
        <v>131250</v>
      </c>
      <c r="H1143" s="39" t="n">
        <f aca="false">ROUND(F1143+G1143,0)</f>
        <v>1443750</v>
      </c>
    </row>
    <row r="1144" customFormat="false" ht="15" hidden="false" customHeight="false" outlineLevel="0" collapsed="false">
      <c r="A1144" s="66" t="s">
        <v>1573</v>
      </c>
      <c r="B1144" s="29" t="s">
        <v>2136</v>
      </c>
      <c r="C1144" s="28" t="s">
        <v>520</v>
      </c>
      <c r="D1144" s="70" t="n">
        <v>6500000</v>
      </c>
      <c r="E1144" s="71" t="n">
        <v>0</v>
      </c>
      <c r="F1144" s="36" t="n">
        <f aca="false">D1144*(1+E1144)</f>
        <v>6500000</v>
      </c>
      <c r="G1144" s="36" t="n">
        <f aca="false">F1144*'Informasi Proyek'!$C$20</f>
        <v>650000</v>
      </c>
      <c r="H1144" s="39" t="n">
        <f aca="false">ROUND(F1144+G1144,0)</f>
        <v>7150000</v>
      </c>
    </row>
    <row r="1145" customFormat="false" ht="15" hidden="false" customHeight="false" outlineLevel="0" collapsed="false">
      <c r="A1145" s="66" t="s">
        <v>1589</v>
      </c>
      <c r="B1145" s="29" t="s">
        <v>2137</v>
      </c>
      <c r="C1145" s="28" t="s">
        <v>183</v>
      </c>
      <c r="D1145" s="70" t="n">
        <v>3200000</v>
      </c>
      <c r="E1145" s="71" t="n">
        <v>0.08</v>
      </c>
      <c r="F1145" s="36" t="n">
        <f aca="false">D1145*(1+E1145)</f>
        <v>3456000</v>
      </c>
      <c r="G1145" s="36" t="n">
        <f aca="false">F1145*'Informasi Proyek'!$C$20</f>
        <v>345600</v>
      </c>
      <c r="H1145" s="39" t="n">
        <f aca="false">ROUND(F1145+G1145,0)</f>
        <v>3801600</v>
      </c>
    </row>
    <row r="1146" customFormat="false" ht="15" hidden="false" customHeight="false" outlineLevel="0" collapsed="false">
      <c r="A1146" s="66" t="s">
        <v>1591</v>
      </c>
      <c r="B1146" s="29" t="s">
        <v>2138</v>
      </c>
      <c r="C1146" s="28" t="s">
        <v>183</v>
      </c>
      <c r="D1146" s="70" t="n">
        <v>1250000</v>
      </c>
      <c r="E1146" s="71" t="n">
        <v>0.08</v>
      </c>
      <c r="F1146" s="36" t="n">
        <f aca="false">D1146*(1+E1146)</f>
        <v>1350000</v>
      </c>
      <c r="G1146" s="36" t="n">
        <f aca="false">F1146*'Informasi Proyek'!$C$20</f>
        <v>135000</v>
      </c>
      <c r="H1146" s="39" t="n">
        <f aca="false">ROUND(F1146+G1146,0)</f>
        <v>1485000</v>
      </c>
    </row>
    <row r="1147" customFormat="false" ht="15" hidden="false" customHeight="false" outlineLevel="0" collapsed="false">
      <c r="A1147" s="66" t="s">
        <v>1593</v>
      </c>
      <c r="B1147" s="29" t="s">
        <v>2139</v>
      </c>
      <c r="C1147" s="28" t="s">
        <v>183</v>
      </c>
      <c r="D1147" s="70" t="n">
        <v>1450000</v>
      </c>
      <c r="E1147" s="71" t="n">
        <v>0.08</v>
      </c>
      <c r="F1147" s="36" t="n">
        <f aca="false">D1147*(1+E1147)</f>
        <v>1566000</v>
      </c>
      <c r="G1147" s="36" t="n">
        <f aca="false">F1147*'Informasi Proyek'!$C$20</f>
        <v>156600</v>
      </c>
      <c r="H1147" s="39" t="n">
        <f aca="false">ROUND(F1147+G1147,0)</f>
        <v>1722600</v>
      </c>
    </row>
    <row r="1148" customFormat="false" ht="15" hidden="false" customHeight="false" outlineLevel="0" collapsed="false">
      <c r="A1148" s="66" t="s">
        <v>1595</v>
      </c>
      <c r="B1148" s="29" t="s">
        <v>2140</v>
      </c>
      <c r="C1148" s="28" t="s">
        <v>183</v>
      </c>
      <c r="D1148" s="70" t="n">
        <v>1850000</v>
      </c>
      <c r="E1148" s="71" t="n">
        <v>0.05</v>
      </c>
      <c r="F1148" s="36" t="n">
        <f aca="false">D1148*(1+E1148)</f>
        <v>1942500</v>
      </c>
      <c r="G1148" s="36" t="n">
        <f aca="false">F1148*'Informasi Proyek'!$C$20</f>
        <v>194250</v>
      </c>
      <c r="H1148" s="39" t="n">
        <f aca="false">ROUND(F1148+G1148,0)</f>
        <v>2136750</v>
      </c>
    </row>
    <row r="1149" customFormat="false" ht="15" hidden="false" customHeight="false" outlineLevel="0" collapsed="false">
      <c r="A1149" s="66" t="s">
        <v>1598</v>
      </c>
      <c r="B1149" s="29" t="s">
        <v>2141</v>
      </c>
      <c r="C1149" s="28" t="s">
        <v>331</v>
      </c>
      <c r="D1149" s="70" t="n">
        <v>395000</v>
      </c>
      <c r="E1149" s="71" t="n">
        <v>0.25</v>
      </c>
      <c r="F1149" s="36" t="n">
        <f aca="false">D1149*(1+E1149)</f>
        <v>493750</v>
      </c>
      <c r="G1149" s="36" t="n">
        <f aca="false">F1149*'Informasi Proyek'!$C$20</f>
        <v>49375</v>
      </c>
      <c r="H1149" s="39" t="n">
        <f aca="false">ROUND(F1149+G1149,0)</f>
        <v>543125</v>
      </c>
    </row>
    <row r="1150" customFormat="false" ht="15" hidden="false" customHeight="false" outlineLevel="0" collapsed="false">
      <c r="A1150" s="66" t="s">
        <v>1604</v>
      </c>
      <c r="B1150" s="29" t="s">
        <v>2142</v>
      </c>
      <c r="C1150" s="28" t="s">
        <v>183</v>
      </c>
      <c r="D1150" s="70" t="n">
        <v>1850000</v>
      </c>
      <c r="E1150" s="71" t="n">
        <v>0</v>
      </c>
      <c r="F1150" s="36" t="n">
        <f aca="false">D1150*(1+E1150)</f>
        <v>1850000</v>
      </c>
      <c r="G1150" s="36" t="n">
        <f aca="false">F1150*'Informasi Proyek'!$C$20</f>
        <v>185000</v>
      </c>
      <c r="H1150" s="39" t="n">
        <f aca="false">ROUND(F1150+G1150,0)</f>
        <v>2035000</v>
      </c>
    </row>
    <row r="1151" customFormat="false" ht="15" hidden="false" customHeight="false" outlineLevel="0" collapsed="false">
      <c r="A1151" s="66" t="s">
        <v>1606</v>
      </c>
      <c r="B1151" s="29" t="s">
        <v>2143</v>
      </c>
      <c r="C1151" s="28" t="s">
        <v>183</v>
      </c>
      <c r="D1151" s="70" t="n">
        <v>1250000</v>
      </c>
      <c r="E1151" s="71" t="n">
        <v>0</v>
      </c>
      <c r="F1151" s="36" t="n">
        <f aca="false">D1151*(1+E1151)</f>
        <v>1250000</v>
      </c>
      <c r="G1151" s="36" t="n">
        <f aca="false">F1151*'Informasi Proyek'!$C$20</f>
        <v>125000</v>
      </c>
      <c r="H1151" s="39" t="n">
        <f aca="false">ROUND(F1151+G1151,0)</f>
        <v>1375000</v>
      </c>
    </row>
    <row r="1152" customFormat="false" ht="15" hidden="false" customHeight="false" outlineLevel="0" collapsed="false">
      <c r="A1152" s="66" t="s">
        <v>1621</v>
      </c>
      <c r="B1152" s="29" t="s">
        <v>2144</v>
      </c>
      <c r="C1152" s="28" t="s">
        <v>183</v>
      </c>
      <c r="D1152" s="70" t="n">
        <v>2800000</v>
      </c>
      <c r="E1152" s="71" t="n">
        <v>0.1</v>
      </c>
      <c r="F1152" s="36" t="n">
        <f aca="false">D1152*(1+E1152)</f>
        <v>3080000</v>
      </c>
      <c r="G1152" s="36" t="n">
        <f aca="false">F1152*'Informasi Proyek'!$C$20</f>
        <v>308000</v>
      </c>
      <c r="H1152" s="39" t="n">
        <f aca="false">ROUND(F1152+G1152,0)</f>
        <v>3388000</v>
      </c>
    </row>
    <row r="1153" customFormat="false" ht="15" hidden="false" customHeight="false" outlineLevel="0" collapsed="false">
      <c r="A1153" s="66" t="s">
        <v>1627</v>
      </c>
      <c r="B1153" s="29" t="s">
        <v>2145</v>
      </c>
      <c r="C1153" s="28" t="s">
        <v>183</v>
      </c>
      <c r="D1153" s="70" t="n">
        <v>6500000</v>
      </c>
      <c r="E1153" s="71" t="n">
        <v>0</v>
      </c>
      <c r="F1153" s="36" t="n">
        <f aca="false">D1153*(1+E1153)</f>
        <v>6500000</v>
      </c>
      <c r="G1153" s="36" t="n">
        <f aca="false">F1153*'Informasi Proyek'!$C$20</f>
        <v>650000</v>
      </c>
      <c r="H1153" s="39" t="n">
        <f aca="false">ROUND(F1153+G1153,0)</f>
        <v>7150000</v>
      </c>
    </row>
    <row r="1154" customFormat="false" ht="15" hidden="false" customHeight="false" outlineLevel="0" collapsed="false">
      <c r="A1154" s="66" t="s">
        <v>1629</v>
      </c>
      <c r="B1154" s="29" t="s">
        <v>2146</v>
      </c>
      <c r="C1154" s="28" t="s">
        <v>183</v>
      </c>
      <c r="D1154" s="70" t="n">
        <v>85000000</v>
      </c>
      <c r="E1154" s="71" t="n">
        <v>0</v>
      </c>
      <c r="F1154" s="36" t="n">
        <f aca="false">D1154*(1+E1154)</f>
        <v>85000000</v>
      </c>
      <c r="G1154" s="36" t="n">
        <f aca="false">F1154*'Informasi Proyek'!$C$20</f>
        <v>8500000</v>
      </c>
      <c r="H1154" s="39" t="n">
        <f aca="false">ROUND(F1154+G1154,0)</f>
        <v>93500000</v>
      </c>
    </row>
    <row r="1155" customFormat="false" ht="15" hidden="false" customHeight="false" outlineLevel="0" collapsed="false">
      <c r="A1155" s="66" t="s">
        <v>1635</v>
      </c>
      <c r="B1155" s="29" t="s">
        <v>2147</v>
      </c>
      <c r="C1155" s="28" t="s">
        <v>183</v>
      </c>
      <c r="D1155" s="70" t="n">
        <v>1250000</v>
      </c>
      <c r="E1155" s="71" t="n">
        <v>0</v>
      </c>
      <c r="F1155" s="36" t="n">
        <f aca="false">D1155*(1+E1155)</f>
        <v>1250000</v>
      </c>
      <c r="G1155" s="36" t="n">
        <f aca="false">F1155*'Informasi Proyek'!$C$20</f>
        <v>125000</v>
      </c>
      <c r="H1155" s="39" t="n">
        <f aca="false">ROUND(F1155+G1155,0)</f>
        <v>1375000</v>
      </c>
    </row>
    <row r="1156" customFormat="false" ht="15" hidden="false" customHeight="false" outlineLevel="0" collapsed="false">
      <c r="A1156" s="66" t="s">
        <v>1637</v>
      </c>
      <c r="B1156" s="29" t="s">
        <v>2148</v>
      </c>
      <c r="C1156" s="28" t="s">
        <v>1728</v>
      </c>
      <c r="D1156" s="70" t="n">
        <v>95000</v>
      </c>
      <c r="E1156" s="71" t="n">
        <v>0</v>
      </c>
      <c r="F1156" s="36" t="n">
        <f aca="false">D1156*(1+E1156)</f>
        <v>95000</v>
      </c>
      <c r="G1156" s="36" t="n">
        <f aca="false">F1156*'Informasi Proyek'!$C$20</f>
        <v>9500</v>
      </c>
      <c r="H1156" s="39" t="n">
        <f aca="false">ROUND(F1156+G1156,0)</f>
        <v>104500</v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52"/>
  </cols>
  <sheetData>
    <row r="1" customFormat="false" ht="16.15" hidden="false" customHeight="false" outlineLevel="0" collapsed="false">
      <c r="A1" s="19" t="s">
        <v>2149</v>
      </c>
    </row>
    <row r="2" customFormat="false" ht="15" hidden="false" customHeight="false" outlineLevel="0" collapsed="false">
      <c r="A2" s="2" t="s">
        <v>2150</v>
      </c>
    </row>
    <row r="3" customFormat="false" ht="42" hidden="false" customHeight="true" outlineLevel="0" collapsed="false">
      <c r="A3" s="62" t="s">
        <v>2151</v>
      </c>
      <c r="B3" s="62"/>
      <c r="C3" s="62"/>
      <c r="D3" s="62"/>
      <c r="E3" s="62"/>
    </row>
    <row r="5" customFormat="false" ht="15" hidden="false" customHeight="false" outlineLevel="0" collapsed="false">
      <c r="A5" s="22" t="s">
        <v>1797</v>
      </c>
      <c r="B5" s="22" t="s">
        <v>2152</v>
      </c>
      <c r="C5" s="22" t="s">
        <v>1650</v>
      </c>
      <c r="D5" s="22" t="s">
        <v>1652</v>
      </c>
      <c r="E5" s="22" t="s">
        <v>2153</v>
      </c>
    </row>
    <row r="6" customFormat="false" ht="15" hidden="false" customHeight="false" outlineLevel="0" collapsed="false">
      <c r="A6" s="72" t="s">
        <v>2154</v>
      </c>
      <c r="B6" s="55"/>
      <c r="C6" s="55"/>
      <c r="D6" s="55"/>
      <c r="E6" s="55"/>
    </row>
    <row r="7" customFormat="false" ht="15" hidden="false" customHeight="false" outlineLevel="0" collapsed="false">
      <c r="A7" s="66" t="s">
        <v>2155</v>
      </c>
      <c r="B7" s="66" t="s">
        <v>2156</v>
      </c>
      <c r="C7" s="28" t="s">
        <v>1656</v>
      </c>
      <c r="D7" s="70" t="n">
        <v>135000</v>
      </c>
      <c r="E7" s="53" t="s">
        <v>2157</v>
      </c>
    </row>
    <row r="8" customFormat="false" ht="15" hidden="false" customHeight="false" outlineLevel="0" collapsed="false">
      <c r="A8" s="66" t="s">
        <v>2158</v>
      </c>
      <c r="B8" s="66" t="s">
        <v>2159</v>
      </c>
      <c r="C8" s="28" t="s">
        <v>1656</v>
      </c>
      <c r="D8" s="70" t="n">
        <v>170000</v>
      </c>
      <c r="E8" s="53" t="s">
        <v>2157</v>
      </c>
    </row>
    <row r="9" customFormat="false" ht="15" hidden="false" customHeight="false" outlineLevel="0" collapsed="false">
      <c r="A9" s="66" t="s">
        <v>2160</v>
      </c>
      <c r="B9" s="66" t="s">
        <v>2161</v>
      </c>
      <c r="C9" s="28" t="s">
        <v>1656</v>
      </c>
      <c r="D9" s="70" t="n">
        <v>170000</v>
      </c>
      <c r="E9" s="53" t="s">
        <v>2157</v>
      </c>
    </row>
    <row r="10" customFormat="false" ht="15" hidden="false" customHeight="false" outlineLevel="0" collapsed="false">
      <c r="A10" s="66" t="s">
        <v>2162</v>
      </c>
      <c r="B10" s="66" t="s">
        <v>2163</v>
      </c>
      <c r="C10" s="28" t="s">
        <v>1656</v>
      </c>
      <c r="D10" s="70" t="n">
        <v>170000</v>
      </c>
      <c r="E10" s="53" t="s">
        <v>2157</v>
      </c>
    </row>
    <row r="11" customFormat="false" ht="15" hidden="false" customHeight="false" outlineLevel="0" collapsed="false">
      <c r="A11" s="66" t="s">
        <v>2164</v>
      </c>
      <c r="B11" s="66" t="s">
        <v>2165</v>
      </c>
      <c r="C11" s="28" t="s">
        <v>1656</v>
      </c>
      <c r="D11" s="70" t="n">
        <v>165000</v>
      </c>
      <c r="E11" s="53" t="s">
        <v>2157</v>
      </c>
    </row>
    <row r="12" customFormat="false" ht="15" hidden="false" customHeight="false" outlineLevel="0" collapsed="false">
      <c r="A12" s="66" t="s">
        <v>2166</v>
      </c>
      <c r="B12" s="66" t="s">
        <v>2167</v>
      </c>
      <c r="C12" s="28" t="s">
        <v>1656</v>
      </c>
      <c r="D12" s="70" t="n">
        <v>190000</v>
      </c>
      <c r="E12" s="53" t="s">
        <v>2157</v>
      </c>
    </row>
    <row r="13" customFormat="false" ht="15" hidden="false" customHeight="false" outlineLevel="0" collapsed="false">
      <c r="A13" s="66" t="s">
        <v>2168</v>
      </c>
      <c r="B13" s="66" t="s">
        <v>2169</v>
      </c>
      <c r="C13" s="28" t="s">
        <v>1656</v>
      </c>
      <c r="D13" s="70" t="n">
        <v>170000</v>
      </c>
      <c r="E13" s="53" t="s">
        <v>2157</v>
      </c>
    </row>
    <row r="14" customFormat="false" ht="15" hidden="false" customHeight="false" outlineLevel="0" collapsed="false">
      <c r="A14" s="66" t="s">
        <v>2170</v>
      </c>
      <c r="B14" s="66" t="s">
        <v>2171</v>
      </c>
      <c r="C14" s="28" t="s">
        <v>1656</v>
      </c>
      <c r="D14" s="70" t="n">
        <v>190000</v>
      </c>
      <c r="E14" s="53" t="s">
        <v>2157</v>
      </c>
    </row>
    <row r="15" customFormat="false" ht="15" hidden="false" customHeight="false" outlineLevel="0" collapsed="false">
      <c r="A15" s="66" t="s">
        <v>2172</v>
      </c>
      <c r="B15" s="66" t="s">
        <v>2173</v>
      </c>
      <c r="C15" s="28" t="s">
        <v>1656</v>
      </c>
      <c r="D15" s="70" t="n">
        <v>200000</v>
      </c>
      <c r="E15" s="53" t="s">
        <v>2157</v>
      </c>
    </row>
    <row r="16" customFormat="false" ht="15" hidden="false" customHeight="false" outlineLevel="0" collapsed="false">
      <c r="A16" s="72" t="s">
        <v>1673</v>
      </c>
      <c r="B16" s="55"/>
      <c r="C16" s="55"/>
      <c r="D16" s="55"/>
      <c r="E16" s="55"/>
    </row>
    <row r="17" customFormat="false" ht="15" hidden="false" customHeight="false" outlineLevel="0" collapsed="false">
      <c r="A17" s="66" t="s">
        <v>2174</v>
      </c>
      <c r="B17" s="66" t="s">
        <v>2175</v>
      </c>
      <c r="C17" s="28" t="s">
        <v>976</v>
      </c>
      <c r="D17" s="70" t="n">
        <v>1760</v>
      </c>
      <c r="E17" s="53" t="s">
        <v>2176</v>
      </c>
    </row>
    <row r="18" customFormat="false" ht="15" hidden="false" customHeight="false" outlineLevel="0" collapsed="false">
      <c r="A18" s="66" t="s">
        <v>2177</v>
      </c>
      <c r="B18" s="66" t="s">
        <v>2178</v>
      </c>
      <c r="C18" s="28" t="s">
        <v>1647</v>
      </c>
      <c r="D18" s="70" t="n">
        <v>380000</v>
      </c>
      <c r="E18" s="53" t="s">
        <v>2176</v>
      </c>
    </row>
    <row r="19" customFormat="false" ht="15" hidden="false" customHeight="false" outlineLevel="0" collapsed="false">
      <c r="A19" s="66" t="s">
        <v>2179</v>
      </c>
      <c r="B19" s="66" t="s">
        <v>2180</v>
      </c>
      <c r="C19" s="28" t="s">
        <v>1647</v>
      </c>
      <c r="D19" s="70" t="n">
        <v>320000</v>
      </c>
      <c r="E19" s="53" t="s">
        <v>2176</v>
      </c>
    </row>
    <row r="20" customFormat="false" ht="15" hidden="false" customHeight="false" outlineLevel="0" collapsed="false">
      <c r="A20" s="66" t="s">
        <v>2181</v>
      </c>
      <c r="B20" s="66" t="s">
        <v>2182</v>
      </c>
      <c r="C20" s="28" t="s">
        <v>1647</v>
      </c>
      <c r="D20" s="70" t="n">
        <v>480000</v>
      </c>
      <c r="E20" s="53" t="s">
        <v>2176</v>
      </c>
    </row>
    <row r="21" customFormat="false" ht="15" hidden="false" customHeight="false" outlineLevel="0" collapsed="false">
      <c r="A21" s="66" t="s">
        <v>2183</v>
      </c>
      <c r="B21" s="66" t="s">
        <v>2184</v>
      </c>
      <c r="C21" s="28" t="s">
        <v>1647</v>
      </c>
      <c r="D21" s="70" t="n">
        <v>400000</v>
      </c>
      <c r="E21" s="53" t="s">
        <v>2176</v>
      </c>
    </row>
    <row r="22" customFormat="false" ht="15" hidden="false" customHeight="false" outlineLevel="0" collapsed="false">
      <c r="A22" s="66" t="s">
        <v>2185</v>
      </c>
      <c r="B22" s="66" t="s">
        <v>2186</v>
      </c>
      <c r="C22" s="28" t="s">
        <v>1647</v>
      </c>
      <c r="D22" s="70" t="n">
        <v>380000</v>
      </c>
      <c r="E22" s="53" t="s">
        <v>2176</v>
      </c>
    </row>
    <row r="23" customFormat="false" ht="15" hidden="false" customHeight="false" outlineLevel="0" collapsed="false">
      <c r="A23" s="66" t="s">
        <v>2187</v>
      </c>
      <c r="B23" s="66" t="s">
        <v>2188</v>
      </c>
      <c r="C23" s="28" t="s">
        <v>1647</v>
      </c>
      <c r="D23" s="70" t="n">
        <v>35000</v>
      </c>
      <c r="E23" s="53" t="s">
        <v>2176</v>
      </c>
    </row>
    <row r="24" customFormat="false" ht="15" hidden="false" customHeight="false" outlineLevel="0" collapsed="false">
      <c r="A24" s="66" t="s">
        <v>2189</v>
      </c>
      <c r="B24" s="66" t="s">
        <v>2190</v>
      </c>
      <c r="C24" s="28" t="s">
        <v>976</v>
      </c>
      <c r="D24" s="70" t="n">
        <v>17500</v>
      </c>
      <c r="E24" s="53" t="s">
        <v>2176</v>
      </c>
    </row>
    <row r="25" customFormat="false" ht="15" hidden="false" customHeight="false" outlineLevel="0" collapsed="false">
      <c r="A25" s="66" t="s">
        <v>2191</v>
      </c>
      <c r="B25" s="66" t="s">
        <v>2192</v>
      </c>
      <c r="C25" s="28" t="s">
        <v>976</v>
      </c>
      <c r="D25" s="70" t="n">
        <v>24000</v>
      </c>
      <c r="E25" s="53" t="s">
        <v>2176</v>
      </c>
    </row>
    <row r="26" customFormat="false" ht="15" hidden="false" customHeight="false" outlineLevel="0" collapsed="false">
      <c r="A26" s="66" t="s">
        <v>2193</v>
      </c>
      <c r="B26" s="66" t="s">
        <v>2194</v>
      </c>
      <c r="C26" s="28" t="s">
        <v>1647</v>
      </c>
      <c r="D26" s="70" t="n">
        <v>5200000</v>
      </c>
      <c r="E26" s="53" t="s">
        <v>2176</v>
      </c>
    </row>
    <row r="27" customFormat="false" ht="15" hidden="false" customHeight="false" outlineLevel="0" collapsed="false">
      <c r="A27" s="66" t="s">
        <v>2195</v>
      </c>
      <c r="B27" s="66" t="s">
        <v>2196</v>
      </c>
      <c r="C27" s="28" t="s">
        <v>1647</v>
      </c>
      <c r="D27" s="70" t="n">
        <v>4800000</v>
      </c>
      <c r="E27" s="53" t="s">
        <v>2176</v>
      </c>
    </row>
    <row r="28" customFormat="false" ht="15" hidden="false" customHeight="false" outlineLevel="0" collapsed="false">
      <c r="A28" s="66" t="s">
        <v>2197</v>
      </c>
      <c r="B28" s="66" t="s">
        <v>2198</v>
      </c>
      <c r="C28" s="28" t="s">
        <v>1720</v>
      </c>
      <c r="D28" s="70" t="n">
        <v>235000</v>
      </c>
      <c r="E28" s="53" t="s">
        <v>2176</v>
      </c>
    </row>
    <row r="29" customFormat="false" ht="15" hidden="false" customHeight="false" outlineLevel="0" collapsed="false">
      <c r="A29" s="66" t="s">
        <v>2199</v>
      </c>
      <c r="B29" s="66" t="s">
        <v>2200</v>
      </c>
      <c r="C29" s="28" t="s">
        <v>976</v>
      </c>
      <c r="D29" s="70" t="n">
        <v>26000</v>
      </c>
      <c r="E29" s="53" t="s">
        <v>2176</v>
      </c>
    </row>
    <row r="30" customFormat="false" ht="15" hidden="false" customHeight="false" outlineLevel="0" collapsed="false">
      <c r="A30" s="66" t="s">
        <v>2201</v>
      </c>
      <c r="B30" s="66" t="s">
        <v>2202</v>
      </c>
      <c r="C30" s="28" t="s">
        <v>1723</v>
      </c>
      <c r="D30" s="70" t="n">
        <v>28000</v>
      </c>
      <c r="E30" s="53" t="s">
        <v>2176</v>
      </c>
    </row>
    <row r="31" customFormat="false" ht="15" hidden="false" customHeight="false" outlineLevel="0" collapsed="false">
      <c r="A31" s="66" t="s">
        <v>2203</v>
      </c>
      <c r="B31" s="66" t="s">
        <v>2204</v>
      </c>
      <c r="C31" s="28" t="s">
        <v>342</v>
      </c>
      <c r="D31" s="70" t="n">
        <v>22000</v>
      </c>
      <c r="E31" s="53" t="s">
        <v>2176</v>
      </c>
    </row>
    <row r="32" customFormat="false" ht="15" hidden="false" customHeight="false" outlineLevel="0" collapsed="false">
      <c r="A32" s="66" t="s">
        <v>2205</v>
      </c>
      <c r="B32" s="66" t="s">
        <v>2206</v>
      </c>
      <c r="C32" s="28" t="s">
        <v>257</v>
      </c>
      <c r="D32" s="70" t="n">
        <v>1800</v>
      </c>
      <c r="E32" s="53" t="s">
        <v>2176</v>
      </c>
    </row>
    <row r="33" customFormat="false" ht="15" hidden="false" customHeight="false" outlineLevel="0" collapsed="false">
      <c r="A33" s="66" t="s">
        <v>2207</v>
      </c>
      <c r="B33" s="66" t="s">
        <v>2208</v>
      </c>
      <c r="C33" s="28" t="s">
        <v>1647</v>
      </c>
      <c r="D33" s="70" t="n">
        <v>1450000</v>
      </c>
      <c r="E33" s="53" t="s">
        <v>2176</v>
      </c>
    </row>
    <row r="34" customFormat="false" ht="15" hidden="false" customHeight="false" outlineLevel="0" collapsed="false">
      <c r="A34" s="66" t="s">
        <v>2209</v>
      </c>
      <c r="B34" s="66" t="s">
        <v>2210</v>
      </c>
      <c r="C34" s="28" t="s">
        <v>976</v>
      </c>
      <c r="D34" s="70" t="n">
        <v>4500</v>
      </c>
      <c r="E34" s="53" t="s">
        <v>2176</v>
      </c>
    </row>
    <row r="35" customFormat="false" ht="15" hidden="false" customHeight="false" outlineLevel="0" collapsed="false">
      <c r="A35" s="66" t="s">
        <v>2211</v>
      </c>
      <c r="B35" s="66" t="s">
        <v>2212</v>
      </c>
      <c r="C35" s="28" t="s">
        <v>1647</v>
      </c>
      <c r="D35" s="70" t="n">
        <v>120000</v>
      </c>
      <c r="E35" s="53" t="s">
        <v>2176</v>
      </c>
    </row>
    <row r="36" customFormat="false" ht="15" hidden="false" customHeight="false" outlineLevel="0" collapsed="false">
      <c r="A36" s="66" t="s">
        <v>2213</v>
      </c>
      <c r="B36" s="66" t="s">
        <v>2214</v>
      </c>
      <c r="C36" s="28" t="s">
        <v>1647</v>
      </c>
      <c r="D36" s="70" t="n">
        <v>150000</v>
      </c>
      <c r="E36" s="53" t="s">
        <v>2176</v>
      </c>
    </row>
    <row r="37" customFormat="false" ht="15" hidden="false" customHeight="false" outlineLevel="0" collapsed="false">
      <c r="A37" s="66" t="s">
        <v>2215</v>
      </c>
      <c r="B37" s="66" t="s">
        <v>2216</v>
      </c>
      <c r="C37" s="28" t="s">
        <v>976</v>
      </c>
      <c r="D37" s="70" t="n">
        <v>19500</v>
      </c>
      <c r="E37" s="53" t="s">
        <v>2176</v>
      </c>
    </row>
    <row r="38" customFormat="false" ht="15" hidden="false" customHeight="false" outlineLevel="0" collapsed="false">
      <c r="A38" s="66" t="s">
        <v>2217</v>
      </c>
      <c r="B38" s="66" t="s">
        <v>2218</v>
      </c>
      <c r="C38" s="28" t="s">
        <v>976</v>
      </c>
      <c r="D38" s="70" t="n">
        <v>17200</v>
      </c>
      <c r="E38" s="53" t="s">
        <v>2176</v>
      </c>
    </row>
    <row r="39" customFormat="false" ht="15" hidden="false" customHeight="false" outlineLevel="0" collapsed="false">
      <c r="A39" s="66" t="s">
        <v>2219</v>
      </c>
      <c r="B39" s="66" t="s">
        <v>2220</v>
      </c>
      <c r="C39" s="28" t="s">
        <v>976</v>
      </c>
      <c r="D39" s="70" t="n">
        <v>38000</v>
      </c>
      <c r="E39" s="53" t="s">
        <v>2176</v>
      </c>
    </row>
    <row r="40" customFormat="false" ht="15" hidden="false" customHeight="false" outlineLevel="0" collapsed="false">
      <c r="A40" s="66" t="s">
        <v>2221</v>
      </c>
      <c r="B40" s="66" t="s">
        <v>2222</v>
      </c>
      <c r="C40" s="28" t="s">
        <v>976</v>
      </c>
      <c r="D40" s="70" t="n">
        <v>72000</v>
      </c>
      <c r="E40" s="53" t="s">
        <v>2176</v>
      </c>
    </row>
    <row r="41" customFormat="false" ht="15" hidden="false" customHeight="false" outlineLevel="0" collapsed="false">
      <c r="A41" s="66" t="s">
        <v>2223</v>
      </c>
      <c r="B41" s="66" t="s">
        <v>2224</v>
      </c>
      <c r="C41" s="28" t="s">
        <v>976</v>
      </c>
      <c r="D41" s="70" t="n">
        <v>22000</v>
      </c>
      <c r="E41" s="53" t="s">
        <v>2176</v>
      </c>
    </row>
    <row r="42" customFormat="false" ht="15" hidden="false" customHeight="false" outlineLevel="0" collapsed="false">
      <c r="A42" s="66" t="s">
        <v>2225</v>
      </c>
      <c r="B42" s="66" t="s">
        <v>2226</v>
      </c>
      <c r="C42" s="28" t="s">
        <v>976</v>
      </c>
      <c r="D42" s="70" t="n">
        <v>42000</v>
      </c>
      <c r="E42" s="53" t="s">
        <v>2176</v>
      </c>
    </row>
    <row r="43" customFormat="false" ht="15" hidden="false" customHeight="false" outlineLevel="0" collapsed="false">
      <c r="A43" s="66" t="s">
        <v>2227</v>
      </c>
      <c r="B43" s="66" t="s">
        <v>2228</v>
      </c>
      <c r="C43" s="28" t="s">
        <v>976</v>
      </c>
      <c r="D43" s="70" t="n">
        <v>52000</v>
      </c>
      <c r="E43" s="53" t="s">
        <v>2176</v>
      </c>
    </row>
    <row r="44" customFormat="false" ht="15" hidden="false" customHeight="false" outlineLevel="0" collapsed="false">
      <c r="A44" s="66" t="s">
        <v>2229</v>
      </c>
      <c r="B44" s="66" t="s">
        <v>2230</v>
      </c>
      <c r="C44" s="28" t="s">
        <v>976</v>
      </c>
      <c r="D44" s="70" t="n">
        <v>78000</v>
      </c>
      <c r="E44" s="53" t="s">
        <v>2176</v>
      </c>
    </row>
    <row r="45" customFormat="false" ht="15" hidden="false" customHeight="false" outlineLevel="0" collapsed="false">
      <c r="A45" s="66" t="s">
        <v>2231</v>
      </c>
      <c r="B45" s="66" t="s">
        <v>2232</v>
      </c>
      <c r="C45" s="28" t="s">
        <v>976</v>
      </c>
      <c r="D45" s="70" t="n">
        <v>44000</v>
      </c>
      <c r="E45" s="53" t="s">
        <v>2176</v>
      </c>
    </row>
    <row r="46" customFormat="false" ht="15" hidden="false" customHeight="false" outlineLevel="0" collapsed="false">
      <c r="A46" s="66" t="s">
        <v>2233</v>
      </c>
      <c r="B46" s="66" t="s">
        <v>2234</v>
      </c>
      <c r="C46" s="28" t="s">
        <v>1720</v>
      </c>
      <c r="D46" s="70" t="n">
        <v>7000</v>
      </c>
      <c r="E46" s="53" t="s">
        <v>2176</v>
      </c>
    </row>
    <row r="47" customFormat="false" ht="15" hidden="false" customHeight="false" outlineLevel="0" collapsed="false">
      <c r="A47" s="66" t="s">
        <v>2235</v>
      </c>
      <c r="B47" s="66" t="s">
        <v>2236</v>
      </c>
      <c r="C47" s="28" t="s">
        <v>219</v>
      </c>
      <c r="D47" s="70" t="n">
        <v>265000</v>
      </c>
      <c r="E47" s="53" t="s">
        <v>2176</v>
      </c>
    </row>
    <row r="48" customFormat="false" ht="15" hidden="false" customHeight="false" outlineLevel="0" collapsed="false">
      <c r="A48" s="66" t="s">
        <v>2237</v>
      </c>
      <c r="B48" s="66" t="s">
        <v>2238</v>
      </c>
      <c r="C48" s="28" t="s">
        <v>219</v>
      </c>
      <c r="D48" s="70" t="n">
        <v>225000</v>
      </c>
      <c r="E48" s="53" t="s">
        <v>2176</v>
      </c>
    </row>
    <row r="49" customFormat="false" ht="15" hidden="false" customHeight="false" outlineLevel="0" collapsed="false">
      <c r="A49" s="66" t="s">
        <v>2239</v>
      </c>
      <c r="B49" s="66" t="s">
        <v>2240</v>
      </c>
      <c r="C49" s="28" t="s">
        <v>219</v>
      </c>
      <c r="D49" s="70" t="n">
        <v>205000</v>
      </c>
      <c r="E49" s="53" t="s">
        <v>2176</v>
      </c>
    </row>
    <row r="50" customFormat="false" ht="15" hidden="false" customHeight="false" outlineLevel="0" collapsed="false">
      <c r="A50" s="66" t="s">
        <v>2241</v>
      </c>
      <c r="B50" s="66" t="s">
        <v>2242</v>
      </c>
      <c r="C50" s="28" t="s">
        <v>219</v>
      </c>
      <c r="D50" s="70" t="n">
        <v>215000</v>
      </c>
      <c r="E50" s="53" t="s">
        <v>2176</v>
      </c>
    </row>
    <row r="51" customFormat="false" ht="15" hidden="false" customHeight="false" outlineLevel="0" collapsed="false">
      <c r="A51" s="66" t="s">
        <v>2243</v>
      </c>
      <c r="B51" s="66" t="s">
        <v>2244</v>
      </c>
      <c r="C51" s="28" t="s">
        <v>976</v>
      </c>
      <c r="D51" s="70" t="n">
        <v>5500</v>
      </c>
      <c r="E51" s="53" t="s">
        <v>2176</v>
      </c>
    </row>
    <row r="52" customFormat="false" ht="15" hidden="false" customHeight="false" outlineLevel="0" collapsed="false">
      <c r="A52" s="66" t="s">
        <v>2245</v>
      </c>
      <c r="B52" s="66" t="s">
        <v>2246</v>
      </c>
      <c r="C52" s="28" t="s">
        <v>976</v>
      </c>
      <c r="D52" s="70" t="n">
        <v>26000</v>
      </c>
      <c r="E52" s="53" t="s">
        <v>2176</v>
      </c>
    </row>
    <row r="53" customFormat="false" ht="15" hidden="false" customHeight="false" outlineLevel="0" collapsed="false">
      <c r="A53" s="66" t="s">
        <v>2247</v>
      </c>
      <c r="B53" s="66" t="s">
        <v>1759</v>
      </c>
      <c r="C53" s="28" t="s">
        <v>1728</v>
      </c>
      <c r="D53" s="70" t="n">
        <v>165000</v>
      </c>
      <c r="E53" s="53" t="s">
        <v>2176</v>
      </c>
    </row>
    <row r="54" customFormat="false" ht="15" hidden="false" customHeight="false" outlineLevel="0" collapsed="false">
      <c r="A54" s="66" t="s">
        <v>2248</v>
      </c>
      <c r="B54" s="66" t="s">
        <v>2249</v>
      </c>
      <c r="C54" s="28" t="s">
        <v>219</v>
      </c>
      <c r="D54" s="70" t="n">
        <v>135000</v>
      </c>
      <c r="E54" s="53" t="s">
        <v>2176</v>
      </c>
    </row>
    <row r="55" customFormat="false" ht="15" hidden="false" customHeight="false" outlineLevel="0" collapsed="false">
      <c r="A55" s="66" t="s">
        <v>2250</v>
      </c>
      <c r="B55" s="66" t="s">
        <v>2251</v>
      </c>
      <c r="C55" s="28" t="s">
        <v>1728</v>
      </c>
      <c r="D55" s="70" t="n">
        <v>14500</v>
      </c>
      <c r="E55" s="53" t="s">
        <v>2176</v>
      </c>
    </row>
    <row r="56" customFormat="false" ht="15" hidden="false" customHeight="false" outlineLevel="0" collapsed="false">
      <c r="A56" s="66" t="s">
        <v>2252</v>
      </c>
      <c r="B56" s="66" t="s">
        <v>2253</v>
      </c>
      <c r="C56" s="28" t="s">
        <v>219</v>
      </c>
      <c r="D56" s="70" t="n">
        <v>45000</v>
      </c>
      <c r="E56" s="53" t="s">
        <v>2176</v>
      </c>
    </row>
    <row r="57" customFormat="false" ht="15" hidden="false" customHeight="false" outlineLevel="0" collapsed="false">
      <c r="A57" s="66" t="s">
        <v>2254</v>
      </c>
      <c r="B57" s="66" t="s">
        <v>2255</v>
      </c>
      <c r="C57" s="28" t="s">
        <v>219</v>
      </c>
      <c r="D57" s="70" t="n">
        <v>98000</v>
      </c>
      <c r="E57" s="53" t="s">
        <v>2176</v>
      </c>
    </row>
    <row r="58" customFormat="false" ht="15" hidden="false" customHeight="false" outlineLevel="0" collapsed="false">
      <c r="A58" s="66" t="s">
        <v>2256</v>
      </c>
      <c r="B58" s="66" t="s">
        <v>2257</v>
      </c>
      <c r="C58" s="28" t="s">
        <v>976</v>
      </c>
      <c r="D58" s="70" t="n">
        <v>38000</v>
      </c>
      <c r="E58" s="53" t="s">
        <v>2176</v>
      </c>
    </row>
    <row r="59" customFormat="false" ht="15" hidden="false" customHeight="false" outlineLevel="0" collapsed="false">
      <c r="A59" s="66" t="s">
        <v>2258</v>
      </c>
      <c r="B59" s="66" t="s">
        <v>2259</v>
      </c>
      <c r="C59" s="28" t="s">
        <v>976</v>
      </c>
      <c r="D59" s="70" t="n">
        <v>18000</v>
      </c>
      <c r="E59" s="53" t="s">
        <v>2176</v>
      </c>
    </row>
    <row r="60" customFormat="false" ht="15" hidden="false" customHeight="false" outlineLevel="0" collapsed="false">
      <c r="A60" s="66" t="s">
        <v>2260</v>
      </c>
      <c r="B60" s="66" t="s">
        <v>2261</v>
      </c>
      <c r="C60" s="28" t="s">
        <v>219</v>
      </c>
      <c r="D60" s="70" t="n">
        <v>108000</v>
      </c>
      <c r="E60" s="53" t="s">
        <v>2176</v>
      </c>
    </row>
    <row r="61" customFormat="false" ht="15" hidden="false" customHeight="false" outlineLevel="0" collapsed="false">
      <c r="A61" s="66" t="s">
        <v>2262</v>
      </c>
      <c r="B61" s="66" t="s">
        <v>2263</v>
      </c>
      <c r="C61" s="28" t="s">
        <v>976</v>
      </c>
      <c r="D61" s="70" t="n">
        <v>45000</v>
      </c>
      <c r="E61" s="53" t="s">
        <v>2176</v>
      </c>
    </row>
    <row r="62" customFormat="false" ht="15" hidden="false" customHeight="false" outlineLevel="0" collapsed="false">
      <c r="A62" s="72" t="s">
        <v>2264</v>
      </c>
      <c r="B62" s="55"/>
      <c r="C62" s="55"/>
      <c r="D62" s="55"/>
      <c r="E62" s="55"/>
    </row>
    <row r="63" customFormat="false" ht="15" hidden="false" customHeight="false" outlineLevel="0" collapsed="false">
      <c r="A63" s="66" t="s">
        <v>2265</v>
      </c>
      <c r="B63" s="66" t="s">
        <v>2266</v>
      </c>
      <c r="C63" s="28" t="s">
        <v>1661</v>
      </c>
      <c r="D63" s="70" t="n">
        <v>650000</v>
      </c>
      <c r="E63" s="53" t="s">
        <v>2267</v>
      </c>
    </row>
    <row r="64" customFormat="false" ht="15" hidden="false" customHeight="false" outlineLevel="0" collapsed="false">
      <c r="A64" s="66" t="s">
        <v>2268</v>
      </c>
      <c r="B64" s="66" t="s">
        <v>2269</v>
      </c>
      <c r="C64" s="28" t="s">
        <v>1661</v>
      </c>
      <c r="D64" s="70" t="n">
        <v>450000</v>
      </c>
      <c r="E64" s="53" t="s">
        <v>2267</v>
      </c>
    </row>
    <row r="65" customFormat="false" ht="15" hidden="false" customHeight="false" outlineLevel="0" collapsed="false">
      <c r="A65" s="66" t="s">
        <v>2270</v>
      </c>
      <c r="B65" s="66" t="s">
        <v>2271</v>
      </c>
      <c r="C65" s="28" t="s">
        <v>1661</v>
      </c>
      <c r="D65" s="70" t="n">
        <v>750000</v>
      </c>
      <c r="E65" s="53" t="s">
        <v>2267</v>
      </c>
    </row>
    <row r="66" customFormat="false" ht="15" hidden="false" customHeight="false" outlineLevel="0" collapsed="false">
      <c r="A66" s="66" t="s">
        <v>2272</v>
      </c>
      <c r="B66" s="66" t="s">
        <v>2273</v>
      </c>
      <c r="C66" s="28" t="s">
        <v>1661</v>
      </c>
      <c r="D66" s="70" t="n">
        <v>420000</v>
      </c>
      <c r="E66" s="53" t="s">
        <v>2267</v>
      </c>
    </row>
    <row r="67" customFormat="false" ht="15" hidden="false" customHeight="false" outlineLevel="0" collapsed="false">
      <c r="A67" s="66" t="s">
        <v>2274</v>
      </c>
      <c r="B67" s="66" t="s">
        <v>2275</v>
      </c>
      <c r="C67" s="28" t="s">
        <v>1661</v>
      </c>
      <c r="D67" s="70" t="n">
        <v>600000</v>
      </c>
      <c r="E67" s="53" t="s">
        <v>2267</v>
      </c>
    </row>
    <row r="68" customFormat="false" ht="15" hidden="false" customHeight="false" outlineLevel="0" collapsed="false">
      <c r="A68" s="66" t="s">
        <v>2276</v>
      </c>
      <c r="B68" s="66" t="s">
        <v>2277</v>
      </c>
      <c r="C68" s="28" t="s">
        <v>1661</v>
      </c>
      <c r="D68" s="70" t="n">
        <v>125000</v>
      </c>
      <c r="E68" s="53" t="s">
        <v>2267</v>
      </c>
    </row>
    <row r="69" customFormat="false" ht="15" hidden="false" customHeight="false" outlineLevel="0" collapsed="false">
      <c r="A69" s="66" t="s">
        <v>2278</v>
      </c>
      <c r="B69" s="66" t="s">
        <v>2279</v>
      </c>
      <c r="C69" s="28" t="s">
        <v>1661</v>
      </c>
      <c r="D69" s="70" t="n">
        <v>60000</v>
      </c>
      <c r="E69" s="53" t="s">
        <v>2267</v>
      </c>
    </row>
    <row r="70" customFormat="false" ht="15" hidden="false" customHeight="false" outlineLevel="0" collapsed="false">
      <c r="A70" s="66" t="s">
        <v>2280</v>
      </c>
      <c r="B70" s="66" t="s">
        <v>2281</v>
      </c>
      <c r="C70" s="28" t="s">
        <v>1661</v>
      </c>
      <c r="D70" s="70" t="n">
        <v>85000</v>
      </c>
      <c r="E70" s="53" t="s">
        <v>2267</v>
      </c>
    </row>
    <row r="71" customFormat="false" ht="15" hidden="false" customHeight="false" outlineLevel="0" collapsed="false">
      <c r="A71" s="66" t="s">
        <v>2282</v>
      </c>
      <c r="B71" s="66" t="s">
        <v>2283</v>
      </c>
      <c r="C71" s="28" t="s">
        <v>1661</v>
      </c>
      <c r="D71" s="70" t="n">
        <v>850000</v>
      </c>
      <c r="E71" s="53" t="s">
        <v>2267</v>
      </c>
    </row>
    <row r="72" customFormat="false" ht="15" hidden="false" customHeight="false" outlineLevel="0" collapsed="false">
      <c r="A72" s="66" t="s">
        <v>2284</v>
      </c>
      <c r="B72" s="66" t="s">
        <v>2285</v>
      </c>
      <c r="C72" s="28" t="s">
        <v>1661</v>
      </c>
      <c r="D72" s="70" t="n">
        <v>95000</v>
      </c>
      <c r="E72" s="53" t="s">
        <v>2267</v>
      </c>
    </row>
  </sheetData>
  <mergeCells count="1"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7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9"/>
    <col collapsed="false" customWidth="true" hidden="false" outlineLevel="0" max="6" min="4" style="0" width="8"/>
    <col collapsed="false" customWidth="true" hidden="false" outlineLevel="0" max="49" min="7" style="0" width="6.3"/>
  </cols>
  <sheetData>
    <row r="1" customFormat="false" ht="16.15" hidden="false" customHeight="false" outlineLevel="0" collapsed="false">
      <c r="A1" s="19" t="s">
        <v>2286</v>
      </c>
    </row>
    <row r="2" customFormat="false" ht="15" hidden="false" customHeight="false" outlineLevel="0" collapsed="false">
      <c r="A2" s="2" t="str">
        <f aca="false">"Pekerjaan: "&amp;'Informasi Proyek'!C7</f>
        <v>Pekerjaan: Pembangunan Balai Pelatihan Vokasi dan Produktivitas Morowali Utara</v>
      </c>
    </row>
    <row r="3" customFormat="false" ht="15" hidden="false" customHeight="false" outlineLevel="0" collapsed="false">
      <c r="A3" s="5" t="str">
        <f aca="false">"Mulai: "&amp;TEXT('Informasi Proyek'!C16,"dd-mmm-yyyy")&amp;"  |  Selesai: "&amp;TEXT('Informasi Proyek'!C17,"dd-mmm-yyyy")&amp;"  |  Durasi: "&amp;'Informasi Proyek'!C14&amp;" hari kalender ("&amp;'Informasi Proyek'!C15&amp;" minggu)"</f>
        <v>Mulai: 02-Nov-2026  |  Selesai: 28-Aug-2027  |  Durasi: 300 hari kalender (43 minggu)</v>
      </c>
    </row>
    <row r="4" customFormat="false" ht="15" hidden="false" customHeight="false" outlineLevel="0" collapsed="false">
      <c r="A4" s="41" t="s">
        <v>2287</v>
      </c>
    </row>
    <row r="6" customFormat="false" ht="23.85" hidden="false" customHeight="false" outlineLevel="0" collapsed="false">
      <c r="A6" s="22" t="s">
        <v>69</v>
      </c>
      <c r="B6" s="22" t="s">
        <v>2288</v>
      </c>
      <c r="C6" s="22" t="s">
        <v>72</v>
      </c>
      <c r="D6" s="22" t="s">
        <v>2289</v>
      </c>
      <c r="E6" s="22" t="s">
        <v>2290</v>
      </c>
      <c r="F6" s="22" t="s">
        <v>2291</v>
      </c>
      <c r="G6" s="22" t="n">
        <v>1</v>
      </c>
      <c r="H6" s="22" t="n">
        <v>2</v>
      </c>
      <c r="I6" s="22" t="n">
        <v>3</v>
      </c>
      <c r="J6" s="22" t="n">
        <v>4</v>
      </c>
      <c r="K6" s="22" t="n">
        <v>5</v>
      </c>
      <c r="L6" s="22" t="n">
        <v>6</v>
      </c>
      <c r="M6" s="22" t="n">
        <v>7</v>
      </c>
      <c r="N6" s="22" t="n">
        <v>8</v>
      </c>
      <c r="O6" s="22" t="n">
        <v>9</v>
      </c>
      <c r="P6" s="22" t="n">
        <v>10</v>
      </c>
      <c r="Q6" s="22" t="n">
        <v>11</v>
      </c>
      <c r="R6" s="22" t="n">
        <v>12</v>
      </c>
      <c r="S6" s="22" t="n">
        <v>13</v>
      </c>
      <c r="T6" s="22" t="n">
        <v>14</v>
      </c>
      <c r="U6" s="22" t="n">
        <v>15</v>
      </c>
      <c r="V6" s="22" t="n">
        <v>16</v>
      </c>
      <c r="W6" s="22" t="n">
        <v>17</v>
      </c>
      <c r="X6" s="22" t="n">
        <v>18</v>
      </c>
      <c r="Y6" s="22" t="n">
        <v>19</v>
      </c>
      <c r="Z6" s="22" t="n">
        <v>20</v>
      </c>
      <c r="AA6" s="22" t="n">
        <v>21</v>
      </c>
      <c r="AB6" s="22" t="n">
        <v>22</v>
      </c>
      <c r="AC6" s="22" t="n">
        <v>23</v>
      </c>
      <c r="AD6" s="22" t="n">
        <v>24</v>
      </c>
      <c r="AE6" s="22" t="n">
        <v>25</v>
      </c>
      <c r="AF6" s="22" t="n">
        <v>26</v>
      </c>
      <c r="AG6" s="22" t="n">
        <v>27</v>
      </c>
      <c r="AH6" s="22" t="n">
        <v>28</v>
      </c>
      <c r="AI6" s="22" t="n">
        <v>29</v>
      </c>
      <c r="AJ6" s="22" t="n">
        <v>30</v>
      </c>
      <c r="AK6" s="22" t="n">
        <v>31</v>
      </c>
      <c r="AL6" s="22" t="n">
        <v>32</v>
      </c>
      <c r="AM6" s="22" t="n">
        <v>33</v>
      </c>
      <c r="AN6" s="22" t="n">
        <v>34</v>
      </c>
      <c r="AO6" s="22" t="n">
        <v>35</v>
      </c>
      <c r="AP6" s="22" t="n">
        <v>36</v>
      </c>
      <c r="AQ6" s="22" t="n">
        <v>37</v>
      </c>
      <c r="AR6" s="22" t="n">
        <v>38</v>
      </c>
      <c r="AS6" s="22" t="n">
        <v>39</v>
      </c>
      <c r="AT6" s="22" t="n">
        <v>40</v>
      </c>
      <c r="AU6" s="22" t="n">
        <v>41</v>
      </c>
      <c r="AV6" s="22" t="n">
        <v>42</v>
      </c>
      <c r="AW6" s="22" t="n">
        <v>43</v>
      </c>
    </row>
    <row r="7" customFormat="false" ht="42" hidden="false" customHeight="true" outlineLevel="0" collapsed="false">
      <c r="B7" s="73" t="s">
        <v>2292</v>
      </c>
      <c r="G7" s="74" t="n">
        <f aca="false">'Informasi Proyek'!$C$16+7*(G$6-1)</f>
        <v>46328</v>
      </c>
      <c r="H7" s="74" t="n">
        <f aca="false">'Informasi Proyek'!$C$16+7*(H$6-1)</f>
        <v>46335</v>
      </c>
      <c r="I7" s="74" t="n">
        <f aca="false">'Informasi Proyek'!$C$16+7*(I$6-1)</f>
        <v>46342</v>
      </c>
      <c r="J7" s="74" t="n">
        <f aca="false">'Informasi Proyek'!$C$16+7*(J$6-1)</f>
        <v>46349</v>
      </c>
      <c r="K7" s="74" t="n">
        <f aca="false">'Informasi Proyek'!$C$16+7*(K$6-1)</f>
        <v>46356</v>
      </c>
      <c r="L7" s="74" t="n">
        <f aca="false">'Informasi Proyek'!$C$16+7*(L$6-1)</f>
        <v>46363</v>
      </c>
      <c r="M7" s="74" t="n">
        <f aca="false">'Informasi Proyek'!$C$16+7*(M$6-1)</f>
        <v>46370</v>
      </c>
      <c r="N7" s="74" t="n">
        <f aca="false">'Informasi Proyek'!$C$16+7*(N$6-1)</f>
        <v>46377</v>
      </c>
      <c r="O7" s="74" t="n">
        <f aca="false">'Informasi Proyek'!$C$16+7*(O$6-1)</f>
        <v>46384</v>
      </c>
      <c r="P7" s="74" t="n">
        <f aca="false">'Informasi Proyek'!$C$16+7*(P$6-1)</f>
        <v>46391</v>
      </c>
      <c r="Q7" s="74" t="n">
        <f aca="false">'Informasi Proyek'!$C$16+7*(Q$6-1)</f>
        <v>46398</v>
      </c>
      <c r="R7" s="74" t="n">
        <f aca="false">'Informasi Proyek'!$C$16+7*(R$6-1)</f>
        <v>46405</v>
      </c>
      <c r="S7" s="74" t="n">
        <f aca="false">'Informasi Proyek'!$C$16+7*(S$6-1)</f>
        <v>46412</v>
      </c>
      <c r="T7" s="74" t="n">
        <f aca="false">'Informasi Proyek'!$C$16+7*(T$6-1)</f>
        <v>46419</v>
      </c>
      <c r="U7" s="74" t="n">
        <f aca="false">'Informasi Proyek'!$C$16+7*(U$6-1)</f>
        <v>46426</v>
      </c>
      <c r="V7" s="74" t="n">
        <f aca="false">'Informasi Proyek'!$C$16+7*(V$6-1)</f>
        <v>46433</v>
      </c>
      <c r="W7" s="74" t="n">
        <f aca="false">'Informasi Proyek'!$C$16+7*(W$6-1)</f>
        <v>46440</v>
      </c>
      <c r="X7" s="74" t="n">
        <f aca="false">'Informasi Proyek'!$C$16+7*(X$6-1)</f>
        <v>46447</v>
      </c>
      <c r="Y7" s="74" t="n">
        <f aca="false">'Informasi Proyek'!$C$16+7*(Y$6-1)</f>
        <v>46454</v>
      </c>
      <c r="Z7" s="74" t="n">
        <f aca="false">'Informasi Proyek'!$C$16+7*(Z$6-1)</f>
        <v>46461</v>
      </c>
      <c r="AA7" s="74" t="n">
        <f aca="false">'Informasi Proyek'!$C$16+7*(AA$6-1)</f>
        <v>46468</v>
      </c>
      <c r="AB7" s="74" t="n">
        <f aca="false">'Informasi Proyek'!$C$16+7*(AB$6-1)</f>
        <v>46475</v>
      </c>
      <c r="AC7" s="74" t="n">
        <f aca="false">'Informasi Proyek'!$C$16+7*(AC$6-1)</f>
        <v>46482</v>
      </c>
      <c r="AD7" s="74" t="n">
        <f aca="false">'Informasi Proyek'!$C$16+7*(AD$6-1)</f>
        <v>46489</v>
      </c>
      <c r="AE7" s="74" t="n">
        <f aca="false">'Informasi Proyek'!$C$16+7*(AE$6-1)</f>
        <v>46496</v>
      </c>
      <c r="AF7" s="74" t="n">
        <f aca="false">'Informasi Proyek'!$C$16+7*(AF$6-1)</f>
        <v>46503</v>
      </c>
      <c r="AG7" s="74" t="n">
        <f aca="false">'Informasi Proyek'!$C$16+7*(AG$6-1)</f>
        <v>46510</v>
      </c>
      <c r="AH7" s="74" t="n">
        <f aca="false">'Informasi Proyek'!$C$16+7*(AH$6-1)</f>
        <v>46517</v>
      </c>
      <c r="AI7" s="74" t="n">
        <f aca="false">'Informasi Proyek'!$C$16+7*(AI$6-1)</f>
        <v>46524</v>
      </c>
      <c r="AJ7" s="74" t="n">
        <f aca="false">'Informasi Proyek'!$C$16+7*(AJ$6-1)</f>
        <v>46531</v>
      </c>
      <c r="AK7" s="74" t="n">
        <f aca="false">'Informasi Proyek'!$C$16+7*(AK$6-1)</f>
        <v>46538</v>
      </c>
      <c r="AL7" s="74" t="n">
        <f aca="false">'Informasi Proyek'!$C$16+7*(AL$6-1)</f>
        <v>46545</v>
      </c>
      <c r="AM7" s="74" t="n">
        <f aca="false">'Informasi Proyek'!$C$16+7*(AM$6-1)</f>
        <v>46552</v>
      </c>
      <c r="AN7" s="74" t="n">
        <f aca="false">'Informasi Proyek'!$C$16+7*(AN$6-1)</f>
        <v>46559</v>
      </c>
      <c r="AO7" s="74" t="n">
        <f aca="false">'Informasi Proyek'!$C$16+7*(AO$6-1)</f>
        <v>46566</v>
      </c>
      <c r="AP7" s="74" t="n">
        <f aca="false">'Informasi Proyek'!$C$16+7*(AP$6-1)</f>
        <v>46573</v>
      </c>
      <c r="AQ7" s="74" t="n">
        <f aca="false">'Informasi Proyek'!$C$16+7*(AQ$6-1)</f>
        <v>46580</v>
      </c>
      <c r="AR7" s="74" t="n">
        <f aca="false">'Informasi Proyek'!$C$16+7*(AR$6-1)</f>
        <v>46587</v>
      </c>
      <c r="AS7" s="74" t="n">
        <f aca="false">'Informasi Proyek'!$C$16+7*(AS$6-1)</f>
        <v>46594</v>
      </c>
      <c r="AT7" s="74" t="n">
        <f aca="false">'Informasi Proyek'!$C$16+7*(AT$6-1)</f>
        <v>46601</v>
      </c>
      <c r="AU7" s="74" t="n">
        <f aca="false">'Informasi Proyek'!$C$16+7*(AU$6-1)</f>
        <v>46608</v>
      </c>
      <c r="AV7" s="74" t="n">
        <f aca="false">'Informasi Proyek'!$C$16+7*(AV$6-1)</f>
        <v>46615</v>
      </c>
      <c r="AW7" s="74" t="n">
        <f aca="false">'Informasi Proyek'!$C$16+7*(AW$6-1)</f>
        <v>46622</v>
      </c>
    </row>
    <row r="8" customFormat="false" ht="25.5" hidden="false" customHeight="true" outlineLevel="0" collapsed="false">
      <c r="A8" s="28" t="n">
        <v>1</v>
      </c>
      <c r="B8" s="29" t="str">
        <f aca="false">"PENDAHULUAN - "&amp;Rekap!B11</f>
        <v>PENDAHULUAN - PEKERJAAN PERSIAPAN</v>
      </c>
      <c r="C8" s="75" t="n">
        <f aca="false">Rekap!C11/Rekap!$C$69</f>
        <v>0.0189920903585519</v>
      </c>
      <c r="D8" s="76" t="n">
        <v>1</v>
      </c>
      <c r="E8" s="76" t="n">
        <v>43</v>
      </c>
      <c r="F8" s="28" t="n">
        <f aca="false">D8+E8-1</f>
        <v>43</v>
      </c>
      <c r="G8" s="77" t="n">
        <f aca="false">IF(AND(G$6&gt;=$D8,G$6&lt;=$F8),$C8/$E8,0)</f>
        <v>0.000441676519966323</v>
      </c>
      <c r="H8" s="77" t="n">
        <f aca="false">IF(AND(H$6&gt;=$D8,H$6&lt;=$F8),$C8/$E8,0)</f>
        <v>0.000441676519966323</v>
      </c>
      <c r="I8" s="77" t="n">
        <f aca="false">IF(AND(I$6&gt;=$D8,I$6&lt;=$F8),$C8/$E8,0)</f>
        <v>0.000441676519966323</v>
      </c>
      <c r="J8" s="77" t="n">
        <f aca="false">IF(AND(J$6&gt;=$D8,J$6&lt;=$F8),$C8/$E8,0)</f>
        <v>0.000441676519966323</v>
      </c>
      <c r="K8" s="77" t="n">
        <f aca="false">IF(AND(K$6&gt;=$D8,K$6&lt;=$F8),$C8/$E8,0)</f>
        <v>0.000441676519966323</v>
      </c>
      <c r="L8" s="77" t="n">
        <f aca="false">IF(AND(L$6&gt;=$D8,L$6&lt;=$F8),$C8/$E8,0)</f>
        <v>0.000441676519966323</v>
      </c>
      <c r="M8" s="77" t="n">
        <f aca="false">IF(AND(M$6&gt;=$D8,M$6&lt;=$F8),$C8/$E8,0)</f>
        <v>0.000441676519966323</v>
      </c>
      <c r="N8" s="77" t="n">
        <f aca="false">IF(AND(N$6&gt;=$D8,N$6&lt;=$F8),$C8/$E8,0)</f>
        <v>0.000441676519966323</v>
      </c>
      <c r="O8" s="77" t="n">
        <f aca="false">IF(AND(O$6&gt;=$D8,O$6&lt;=$F8),$C8/$E8,0)</f>
        <v>0.000441676519966323</v>
      </c>
      <c r="P8" s="77" t="n">
        <f aca="false">IF(AND(P$6&gt;=$D8,P$6&lt;=$F8),$C8/$E8,0)</f>
        <v>0.000441676519966323</v>
      </c>
      <c r="Q8" s="77" t="n">
        <f aca="false">IF(AND(Q$6&gt;=$D8,Q$6&lt;=$F8),$C8/$E8,0)</f>
        <v>0.000441676519966323</v>
      </c>
      <c r="R8" s="77" t="n">
        <f aca="false">IF(AND(R$6&gt;=$D8,R$6&lt;=$F8),$C8/$E8,0)</f>
        <v>0.000441676519966323</v>
      </c>
      <c r="S8" s="77" t="n">
        <f aca="false">IF(AND(S$6&gt;=$D8,S$6&lt;=$F8),$C8/$E8,0)</f>
        <v>0.000441676519966323</v>
      </c>
      <c r="T8" s="77" t="n">
        <f aca="false">IF(AND(T$6&gt;=$D8,T$6&lt;=$F8),$C8/$E8,0)</f>
        <v>0.000441676519966323</v>
      </c>
      <c r="U8" s="77" t="n">
        <f aca="false">IF(AND(U$6&gt;=$D8,U$6&lt;=$F8),$C8/$E8,0)</f>
        <v>0.000441676519966323</v>
      </c>
      <c r="V8" s="77" t="n">
        <f aca="false">IF(AND(V$6&gt;=$D8,V$6&lt;=$F8),$C8/$E8,0)</f>
        <v>0.000441676519966323</v>
      </c>
      <c r="W8" s="77" t="n">
        <f aca="false">IF(AND(W$6&gt;=$D8,W$6&lt;=$F8),$C8/$E8,0)</f>
        <v>0.000441676519966323</v>
      </c>
      <c r="X8" s="77" t="n">
        <f aca="false">IF(AND(X$6&gt;=$D8,X$6&lt;=$F8),$C8/$E8,0)</f>
        <v>0.000441676519966323</v>
      </c>
      <c r="Y8" s="77" t="n">
        <f aca="false">IF(AND(Y$6&gt;=$D8,Y$6&lt;=$F8),$C8/$E8,0)</f>
        <v>0.000441676519966323</v>
      </c>
      <c r="Z8" s="77" t="n">
        <f aca="false">IF(AND(Z$6&gt;=$D8,Z$6&lt;=$F8),$C8/$E8,0)</f>
        <v>0.000441676519966323</v>
      </c>
      <c r="AA8" s="77" t="n">
        <f aca="false">IF(AND(AA$6&gt;=$D8,AA$6&lt;=$F8),$C8/$E8,0)</f>
        <v>0.000441676519966323</v>
      </c>
      <c r="AB8" s="77" t="n">
        <f aca="false">IF(AND(AB$6&gt;=$D8,AB$6&lt;=$F8),$C8/$E8,0)</f>
        <v>0.000441676519966323</v>
      </c>
      <c r="AC8" s="77" t="n">
        <f aca="false">IF(AND(AC$6&gt;=$D8,AC$6&lt;=$F8),$C8/$E8,0)</f>
        <v>0.000441676519966323</v>
      </c>
      <c r="AD8" s="77" t="n">
        <f aca="false">IF(AND(AD$6&gt;=$D8,AD$6&lt;=$F8),$C8/$E8,0)</f>
        <v>0.000441676519966323</v>
      </c>
      <c r="AE8" s="77" t="n">
        <f aca="false">IF(AND(AE$6&gt;=$D8,AE$6&lt;=$F8),$C8/$E8,0)</f>
        <v>0.000441676519966323</v>
      </c>
      <c r="AF8" s="77" t="n">
        <f aca="false">IF(AND(AF$6&gt;=$D8,AF$6&lt;=$F8),$C8/$E8,0)</f>
        <v>0.000441676519966323</v>
      </c>
      <c r="AG8" s="77" t="n">
        <f aca="false">IF(AND(AG$6&gt;=$D8,AG$6&lt;=$F8),$C8/$E8,0)</f>
        <v>0.000441676519966323</v>
      </c>
      <c r="AH8" s="77" t="n">
        <f aca="false">IF(AND(AH$6&gt;=$D8,AH$6&lt;=$F8),$C8/$E8,0)</f>
        <v>0.000441676519966323</v>
      </c>
      <c r="AI8" s="77" t="n">
        <f aca="false">IF(AND(AI$6&gt;=$D8,AI$6&lt;=$F8),$C8/$E8,0)</f>
        <v>0.000441676519966323</v>
      </c>
      <c r="AJ8" s="77" t="n">
        <f aca="false">IF(AND(AJ$6&gt;=$D8,AJ$6&lt;=$F8),$C8/$E8,0)</f>
        <v>0.000441676519966323</v>
      </c>
      <c r="AK8" s="77" t="n">
        <f aca="false">IF(AND(AK$6&gt;=$D8,AK$6&lt;=$F8),$C8/$E8,0)</f>
        <v>0.000441676519966323</v>
      </c>
      <c r="AL8" s="77" t="n">
        <f aca="false">IF(AND(AL$6&gt;=$D8,AL$6&lt;=$F8),$C8/$E8,0)</f>
        <v>0.000441676519966323</v>
      </c>
      <c r="AM8" s="77" t="n">
        <f aca="false">IF(AND(AM$6&gt;=$D8,AM$6&lt;=$F8),$C8/$E8,0)</f>
        <v>0.000441676519966323</v>
      </c>
      <c r="AN8" s="77" t="n">
        <f aca="false">IF(AND(AN$6&gt;=$D8,AN$6&lt;=$F8),$C8/$E8,0)</f>
        <v>0.000441676519966323</v>
      </c>
      <c r="AO8" s="77" t="n">
        <f aca="false">IF(AND(AO$6&gt;=$D8,AO$6&lt;=$F8),$C8/$E8,0)</f>
        <v>0.000441676519966323</v>
      </c>
      <c r="AP8" s="77" t="n">
        <f aca="false">IF(AND(AP$6&gt;=$D8,AP$6&lt;=$F8),$C8/$E8,0)</f>
        <v>0.000441676519966323</v>
      </c>
      <c r="AQ8" s="77" t="n">
        <f aca="false">IF(AND(AQ$6&gt;=$D8,AQ$6&lt;=$F8),$C8/$E8,0)</f>
        <v>0.000441676519966323</v>
      </c>
      <c r="AR8" s="77" t="n">
        <f aca="false">IF(AND(AR$6&gt;=$D8,AR$6&lt;=$F8),$C8/$E8,0)</f>
        <v>0.000441676519966323</v>
      </c>
      <c r="AS8" s="77" t="n">
        <f aca="false">IF(AND(AS$6&gt;=$D8,AS$6&lt;=$F8),$C8/$E8,0)</f>
        <v>0.000441676519966323</v>
      </c>
      <c r="AT8" s="77" t="n">
        <f aca="false">IF(AND(AT$6&gt;=$D8,AT$6&lt;=$F8),$C8/$E8,0)</f>
        <v>0.000441676519966323</v>
      </c>
      <c r="AU8" s="77" t="n">
        <f aca="false">IF(AND(AU$6&gt;=$D8,AU$6&lt;=$F8),$C8/$E8,0)</f>
        <v>0.000441676519966323</v>
      </c>
      <c r="AV8" s="77" t="n">
        <f aca="false">IF(AND(AV$6&gt;=$D8,AV$6&lt;=$F8),$C8/$E8,0)</f>
        <v>0.000441676519966323</v>
      </c>
      <c r="AW8" s="77" t="n">
        <f aca="false">IF(AND(AW$6&gt;=$D8,AW$6&lt;=$F8),$C8/$E8,0)</f>
        <v>0.000441676519966323</v>
      </c>
    </row>
    <row r="9" customFormat="false" ht="25.5" hidden="false" customHeight="true" outlineLevel="0" collapsed="false">
      <c r="A9" s="28" t="n">
        <v>2</v>
      </c>
      <c r="B9" s="29" t="str">
        <f aca="false">"KANTOR - "&amp;Rekap!B14</f>
        <v>KANTOR - PEKERJAAN TANAH (KANTOR)</v>
      </c>
      <c r="C9" s="75" t="n">
        <f aca="false">Rekap!C14/Rekap!$C$69</f>
        <v>0.00246972515533322</v>
      </c>
      <c r="D9" s="76" t="n">
        <v>6</v>
      </c>
      <c r="E9" s="76" t="n">
        <v>5</v>
      </c>
      <c r="F9" s="28" t="n">
        <f aca="false">D9+E9-1</f>
        <v>10</v>
      </c>
      <c r="G9" s="77" t="n">
        <f aca="false">IF(AND(G$6&gt;=$D9,G$6&lt;=$F9),$C9/$E9,0)</f>
        <v>0</v>
      </c>
      <c r="H9" s="77" t="n">
        <f aca="false">IF(AND(H$6&gt;=$D9,H$6&lt;=$F9),$C9/$E9,0)</f>
        <v>0</v>
      </c>
      <c r="I9" s="77" t="n">
        <f aca="false">IF(AND(I$6&gt;=$D9,I$6&lt;=$F9),$C9/$E9,0)</f>
        <v>0</v>
      </c>
      <c r="J9" s="77" t="n">
        <f aca="false">IF(AND(J$6&gt;=$D9,J$6&lt;=$F9),$C9/$E9,0)</f>
        <v>0</v>
      </c>
      <c r="K9" s="77" t="n">
        <f aca="false">IF(AND(K$6&gt;=$D9,K$6&lt;=$F9),$C9/$E9,0)</f>
        <v>0</v>
      </c>
      <c r="L9" s="77" t="n">
        <f aca="false">IF(AND(L$6&gt;=$D9,L$6&lt;=$F9),$C9/$E9,0)</f>
        <v>0.000493945031066643</v>
      </c>
      <c r="M9" s="77" t="n">
        <f aca="false">IF(AND(M$6&gt;=$D9,M$6&lt;=$F9),$C9/$E9,0)</f>
        <v>0.000493945031066643</v>
      </c>
      <c r="N9" s="77" t="n">
        <f aca="false">IF(AND(N$6&gt;=$D9,N$6&lt;=$F9),$C9/$E9,0)</f>
        <v>0.000493945031066643</v>
      </c>
      <c r="O9" s="77" t="n">
        <f aca="false">IF(AND(O$6&gt;=$D9,O$6&lt;=$F9),$C9/$E9,0)</f>
        <v>0.000493945031066643</v>
      </c>
      <c r="P9" s="77" t="n">
        <f aca="false">IF(AND(P$6&gt;=$D9,P$6&lt;=$F9),$C9/$E9,0)</f>
        <v>0.000493945031066643</v>
      </c>
      <c r="Q9" s="77" t="n">
        <f aca="false">IF(AND(Q$6&gt;=$D9,Q$6&lt;=$F9),$C9/$E9,0)</f>
        <v>0</v>
      </c>
      <c r="R9" s="77" t="n">
        <f aca="false">IF(AND(R$6&gt;=$D9,R$6&lt;=$F9),$C9/$E9,0)</f>
        <v>0</v>
      </c>
      <c r="S9" s="77" t="n">
        <f aca="false">IF(AND(S$6&gt;=$D9,S$6&lt;=$F9),$C9/$E9,0)</f>
        <v>0</v>
      </c>
      <c r="T9" s="77" t="n">
        <f aca="false">IF(AND(T$6&gt;=$D9,T$6&lt;=$F9),$C9/$E9,0)</f>
        <v>0</v>
      </c>
      <c r="U9" s="77" t="n">
        <f aca="false">IF(AND(U$6&gt;=$D9,U$6&lt;=$F9),$C9/$E9,0)</f>
        <v>0</v>
      </c>
      <c r="V9" s="77" t="n">
        <f aca="false">IF(AND(V$6&gt;=$D9,V$6&lt;=$F9),$C9/$E9,0)</f>
        <v>0</v>
      </c>
      <c r="W9" s="77" t="n">
        <f aca="false">IF(AND(W$6&gt;=$D9,W$6&lt;=$F9),$C9/$E9,0)</f>
        <v>0</v>
      </c>
      <c r="X9" s="77" t="n">
        <f aca="false">IF(AND(X$6&gt;=$D9,X$6&lt;=$F9),$C9/$E9,0)</f>
        <v>0</v>
      </c>
      <c r="Y9" s="77" t="n">
        <f aca="false">IF(AND(Y$6&gt;=$D9,Y$6&lt;=$F9),$C9/$E9,0)</f>
        <v>0</v>
      </c>
      <c r="Z9" s="77" t="n">
        <f aca="false">IF(AND(Z$6&gt;=$D9,Z$6&lt;=$F9),$C9/$E9,0)</f>
        <v>0</v>
      </c>
      <c r="AA9" s="77" t="n">
        <f aca="false">IF(AND(AA$6&gt;=$D9,AA$6&lt;=$F9),$C9/$E9,0)</f>
        <v>0</v>
      </c>
      <c r="AB9" s="77" t="n">
        <f aca="false">IF(AND(AB$6&gt;=$D9,AB$6&lt;=$F9),$C9/$E9,0)</f>
        <v>0</v>
      </c>
      <c r="AC9" s="77" t="n">
        <f aca="false">IF(AND(AC$6&gt;=$D9,AC$6&lt;=$F9),$C9/$E9,0)</f>
        <v>0</v>
      </c>
      <c r="AD9" s="77" t="n">
        <f aca="false">IF(AND(AD$6&gt;=$D9,AD$6&lt;=$F9),$C9/$E9,0)</f>
        <v>0</v>
      </c>
      <c r="AE9" s="77" t="n">
        <f aca="false">IF(AND(AE$6&gt;=$D9,AE$6&lt;=$F9),$C9/$E9,0)</f>
        <v>0</v>
      </c>
      <c r="AF9" s="77" t="n">
        <f aca="false">IF(AND(AF$6&gt;=$D9,AF$6&lt;=$F9),$C9/$E9,0)</f>
        <v>0</v>
      </c>
      <c r="AG9" s="77" t="n">
        <f aca="false">IF(AND(AG$6&gt;=$D9,AG$6&lt;=$F9),$C9/$E9,0)</f>
        <v>0</v>
      </c>
      <c r="AH9" s="77" t="n">
        <f aca="false">IF(AND(AH$6&gt;=$D9,AH$6&lt;=$F9),$C9/$E9,0)</f>
        <v>0</v>
      </c>
      <c r="AI9" s="77" t="n">
        <f aca="false">IF(AND(AI$6&gt;=$D9,AI$6&lt;=$F9),$C9/$E9,0)</f>
        <v>0</v>
      </c>
      <c r="AJ9" s="77" t="n">
        <f aca="false">IF(AND(AJ$6&gt;=$D9,AJ$6&lt;=$F9),$C9/$E9,0)</f>
        <v>0</v>
      </c>
      <c r="AK9" s="77" t="n">
        <f aca="false">IF(AND(AK$6&gt;=$D9,AK$6&lt;=$F9),$C9/$E9,0)</f>
        <v>0</v>
      </c>
      <c r="AL9" s="77" t="n">
        <f aca="false">IF(AND(AL$6&gt;=$D9,AL$6&lt;=$F9),$C9/$E9,0)</f>
        <v>0</v>
      </c>
      <c r="AM9" s="77" t="n">
        <f aca="false">IF(AND(AM$6&gt;=$D9,AM$6&lt;=$F9),$C9/$E9,0)</f>
        <v>0</v>
      </c>
      <c r="AN9" s="77" t="n">
        <f aca="false">IF(AND(AN$6&gt;=$D9,AN$6&lt;=$F9),$C9/$E9,0)</f>
        <v>0</v>
      </c>
      <c r="AO9" s="77" t="n">
        <f aca="false">IF(AND(AO$6&gt;=$D9,AO$6&lt;=$F9),$C9/$E9,0)</f>
        <v>0</v>
      </c>
      <c r="AP9" s="77" t="n">
        <f aca="false">IF(AND(AP$6&gt;=$D9,AP$6&lt;=$F9),$C9/$E9,0)</f>
        <v>0</v>
      </c>
      <c r="AQ9" s="77" t="n">
        <f aca="false">IF(AND(AQ$6&gt;=$D9,AQ$6&lt;=$F9),$C9/$E9,0)</f>
        <v>0</v>
      </c>
      <c r="AR9" s="77" t="n">
        <f aca="false">IF(AND(AR$6&gt;=$D9,AR$6&lt;=$F9),$C9/$E9,0)</f>
        <v>0</v>
      </c>
      <c r="AS9" s="77" t="n">
        <f aca="false">IF(AND(AS$6&gt;=$D9,AS$6&lt;=$F9),$C9/$E9,0)</f>
        <v>0</v>
      </c>
      <c r="AT9" s="77" t="n">
        <f aca="false">IF(AND(AT$6&gt;=$D9,AT$6&lt;=$F9),$C9/$E9,0)</f>
        <v>0</v>
      </c>
      <c r="AU9" s="77" t="n">
        <f aca="false">IF(AND(AU$6&gt;=$D9,AU$6&lt;=$F9),$C9/$E9,0)</f>
        <v>0</v>
      </c>
      <c r="AV9" s="77" t="n">
        <f aca="false">IF(AND(AV$6&gt;=$D9,AV$6&lt;=$F9),$C9/$E9,0)</f>
        <v>0</v>
      </c>
      <c r="AW9" s="77" t="n">
        <f aca="false">IF(AND(AW$6&gt;=$D9,AW$6&lt;=$F9),$C9/$E9,0)</f>
        <v>0</v>
      </c>
    </row>
    <row r="10" customFormat="false" ht="25.5" hidden="false" customHeight="true" outlineLevel="0" collapsed="false">
      <c r="A10" s="28" t="n">
        <v>3</v>
      </c>
      <c r="B10" s="29" t="str">
        <f aca="false">"KANTOR - "&amp;Rekap!B15</f>
        <v>KANTOR - PEKERJAAN STRUKTURAL (KANTOR)</v>
      </c>
      <c r="C10" s="75" t="n">
        <f aca="false">Rekap!C15/Rekap!$C$69</f>
        <v>0.086227524729719</v>
      </c>
      <c r="D10" s="76" t="n">
        <v>9</v>
      </c>
      <c r="E10" s="76" t="n">
        <v>19</v>
      </c>
      <c r="F10" s="28" t="n">
        <f aca="false">D10+E10-1</f>
        <v>27</v>
      </c>
      <c r="G10" s="77" t="n">
        <f aca="false">IF(AND(G$6&gt;=$D10,G$6&lt;=$F10),$C10/$E10,0)</f>
        <v>0</v>
      </c>
      <c r="H10" s="77" t="n">
        <f aca="false">IF(AND(H$6&gt;=$D10,H$6&lt;=$F10),$C10/$E10,0)</f>
        <v>0</v>
      </c>
      <c r="I10" s="77" t="n">
        <f aca="false">IF(AND(I$6&gt;=$D10,I$6&lt;=$F10),$C10/$E10,0)</f>
        <v>0</v>
      </c>
      <c r="J10" s="77" t="n">
        <f aca="false">IF(AND(J$6&gt;=$D10,J$6&lt;=$F10),$C10/$E10,0)</f>
        <v>0</v>
      </c>
      <c r="K10" s="77" t="n">
        <f aca="false">IF(AND(K$6&gt;=$D10,K$6&lt;=$F10),$C10/$E10,0)</f>
        <v>0</v>
      </c>
      <c r="L10" s="77" t="n">
        <f aca="false">IF(AND(L$6&gt;=$D10,L$6&lt;=$F10),$C10/$E10,0)</f>
        <v>0</v>
      </c>
      <c r="M10" s="77" t="n">
        <f aca="false">IF(AND(M$6&gt;=$D10,M$6&lt;=$F10),$C10/$E10,0)</f>
        <v>0</v>
      </c>
      <c r="N10" s="77" t="n">
        <f aca="false">IF(AND(N$6&gt;=$D10,N$6&lt;=$F10),$C10/$E10,0)</f>
        <v>0</v>
      </c>
      <c r="O10" s="77" t="n">
        <f aca="false">IF(AND(O$6&gt;=$D10,O$6&lt;=$F10),$C10/$E10,0)</f>
        <v>0.00453829077524837</v>
      </c>
      <c r="P10" s="77" t="n">
        <f aca="false">IF(AND(P$6&gt;=$D10,P$6&lt;=$F10),$C10/$E10,0)</f>
        <v>0.00453829077524837</v>
      </c>
      <c r="Q10" s="77" t="n">
        <f aca="false">IF(AND(Q$6&gt;=$D10,Q$6&lt;=$F10),$C10/$E10,0)</f>
        <v>0.00453829077524837</v>
      </c>
      <c r="R10" s="77" t="n">
        <f aca="false">IF(AND(R$6&gt;=$D10,R$6&lt;=$F10),$C10/$E10,0)</f>
        <v>0.00453829077524837</v>
      </c>
      <c r="S10" s="77" t="n">
        <f aca="false">IF(AND(S$6&gt;=$D10,S$6&lt;=$F10),$C10/$E10,0)</f>
        <v>0.00453829077524837</v>
      </c>
      <c r="T10" s="77" t="n">
        <f aca="false">IF(AND(T$6&gt;=$D10,T$6&lt;=$F10),$C10/$E10,0)</f>
        <v>0.00453829077524837</v>
      </c>
      <c r="U10" s="77" t="n">
        <f aca="false">IF(AND(U$6&gt;=$D10,U$6&lt;=$F10),$C10/$E10,0)</f>
        <v>0.00453829077524837</v>
      </c>
      <c r="V10" s="77" t="n">
        <f aca="false">IF(AND(V$6&gt;=$D10,V$6&lt;=$F10),$C10/$E10,0)</f>
        <v>0.00453829077524837</v>
      </c>
      <c r="W10" s="77" t="n">
        <f aca="false">IF(AND(W$6&gt;=$D10,W$6&lt;=$F10),$C10/$E10,0)</f>
        <v>0.00453829077524837</v>
      </c>
      <c r="X10" s="77" t="n">
        <f aca="false">IF(AND(X$6&gt;=$D10,X$6&lt;=$F10),$C10/$E10,0)</f>
        <v>0.00453829077524837</v>
      </c>
      <c r="Y10" s="77" t="n">
        <f aca="false">IF(AND(Y$6&gt;=$D10,Y$6&lt;=$F10),$C10/$E10,0)</f>
        <v>0.00453829077524837</v>
      </c>
      <c r="Z10" s="77" t="n">
        <f aca="false">IF(AND(Z$6&gt;=$D10,Z$6&lt;=$F10),$C10/$E10,0)</f>
        <v>0.00453829077524837</v>
      </c>
      <c r="AA10" s="77" t="n">
        <f aca="false">IF(AND(AA$6&gt;=$D10,AA$6&lt;=$F10),$C10/$E10,0)</f>
        <v>0.00453829077524837</v>
      </c>
      <c r="AB10" s="77" t="n">
        <f aca="false">IF(AND(AB$6&gt;=$D10,AB$6&lt;=$F10),$C10/$E10,0)</f>
        <v>0.00453829077524837</v>
      </c>
      <c r="AC10" s="77" t="n">
        <f aca="false">IF(AND(AC$6&gt;=$D10,AC$6&lt;=$F10),$C10/$E10,0)</f>
        <v>0.00453829077524837</v>
      </c>
      <c r="AD10" s="77" t="n">
        <f aca="false">IF(AND(AD$6&gt;=$D10,AD$6&lt;=$F10),$C10/$E10,0)</f>
        <v>0.00453829077524837</v>
      </c>
      <c r="AE10" s="77" t="n">
        <f aca="false">IF(AND(AE$6&gt;=$D10,AE$6&lt;=$F10),$C10/$E10,0)</f>
        <v>0.00453829077524837</v>
      </c>
      <c r="AF10" s="77" t="n">
        <f aca="false">IF(AND(AF$6&gt;=$D10,AF$6&lt;=$F10),$C10/$E10,0)</f>
        <v>0.00453829077524837</v>
      </c>
      <c r="AG10" s="77" t="n">
        <f aca="false">IF(AND(AG$6&gt;=$D10,AG$6&lt;=$F10),$C10/$E10,0)</f>
        <v>0.00453829077524837</v>
      </c>
      <c r="AH10" s="77" t="n">
        <f aca="false">IF(AND(AH$6&gt;=$D10,AH$6&lt;=$F10),$C10/$E10,0)</f>
        <v>0</v>
      </c>
      <c r="AI10" s="77" t="n">
        <f aca="false">IF(AND(AI$6&gt;=$D10,AI$6&lt;=$F10),$C10/$E10,0)</f>
        <v>0</v>
      </c>
      <c r="AJ10" s="77" t="n">
        <f aca="false">IF(AND(AJ$6&gt;=$D10,AJ$6&lt;=$F10),$C10/$E10,0)</f>
        <v>0</v>
      </c>
      <c r="AK10" s="77" t="n">
        <f aca="false">IF(AND(AK$6&gt;=$D10,AK$6&lt;=$F10),$C10/$E10,0)</f>
        <v>0</v>
      </c>
      <c r="AL10" s="77" t="n">
        <f aca="false">IF(AND(AL$6&gt;=$D10,AL$6&lt;=$F10),$C10/$E10,0)</f>
        <v>0</v>
      </c>
      <c r="AM10" s="77" t="n">
        <f aca="false">IF(AND(AM$6&gt;=$D10,AM$6&lt;=$F10),$C10/$E10,0)</f>
        <v>0</v>
      </c>
      <c r="AN10" s="77" t="n">
        <f aca="false">IF(AND(AN$6&gt;=$D10,AN$6&lt;=$F10),$C10/$E10,0)</f>
        <v>0</v>
      </c>
      <c r="AO10" s="77" t="n">
        <f aca="false">IF(AND(AO$6&gt;=$D10,AO$6&lt;=$F10),$C10/$E10,0)</f>
        <v>0</v>
      </c>
      <c r="AP10" s="77" t="n">
        <f aca="false">IF(AND(AP$6&gt;=$D10,AP$6&lt;=$F10),$C10/$E10,0)</f>
        <v>0</v>
      </c>
      <c r="AQ10" s="77" t="n">
        <f aca="false">IF(AND(AQ$6&gt;=$D10,AQ$6&lt;=$F10),$C10/$E10,0)</f>
        <v>0</v>
      </c>
      <c r="AR10" s="77" t="n">
        <f aca="false">IF(AND(AR$6&gt;=$D10,AR$6&lt;=$F10),$C10/$E10,0)</f>
        <v>0</v>
      </c>
      <c r="AS10" s="77" t="n">
        <f aca="false">IF(AND(AS$6&gt;=$D10,AS$6&lt;=$F10),$C10/$E10,0)</f>
        <v>0</v>
      </c>
      <c r="AT10" s="77" t="n">
        <f aca="false">IF(AND(AT$6&gt;=$D10,AT$6&lt;=$F10),$C10/$E10,0)</f>
        <v>0</v>
      </c>
      <c r="AU10" s="77" t="n">
        <f aca="false">IF(AND(AU$6&gt;=$D10,AU$6&lt;=$F10),$C10/$E10,0)</f>
        <v>0</v>
      </c>
      <c r="AV10" s="77" t="n">
        <f aca="false">IF(AND(AV$6&gt;=$D10,AV$6&lt;=$F10),$C10/$E10,0)</f>
        <v>0</v>
      </c>
      <c r="AW10" s="77" t="n">
        <f aca="false">IF(AND(AW$6&gt;=$D10,AW$6&lt;=$F10),$C10/$E10,0)</f>
        <v>0</v>
      </c>
    </row>
    <row r="11" customFormat="false" ht="25.5" hidden="false" customHeight="true" outlineLevel="0" collapsed="false">
      <c r="A11" s="28" t="n">
        <v>4</v>
      </c>
      <c r="B11" s="29" t="str">
        <f aca="false">"KANTOR - "&amp;Rekap!B16</f>
        <v>KANTOR - PEKERJAAN ARSITEKTURAL (KANTOR)</v>
      </c>
      <c r="C11" s="75" t="n">
        <f aca="false">Rekap!C16/Rekap!$C$69</f>
        <v>0.0883841891325561</v>
      </c>
      <c r="D11" s="76" t="n">
        <v>21</v>
      </c>
      <c r="E11" s="76" t="n">
        <v>18</v>
      </c>
      <c r="F11" s="28" t="n">
        <f aca="false">D11+E11-1</f>
        <v>38</v>
      </c>
      <c r="G11" s="77" t="n">
        <f aca="false">IF(AND(G$6&gt;=$D11,G$6&lt;=$F11),$C11/$E11,0)</f>
        <v>0</v>
      </c>
      <c r="H11" s="77" t="n">
        <f aca="false">IF(AND(H$6&gt;=$D11,H$6&lt;=$F11),$C11/$E11,0)</f>
        <v>0</v>
      </c>
      <c r="I11" s="77" t="n">
        <f aca="false">IF(AND(I$6&gt;=$D11,I$6&lt;=$F11),$C11/$E11,0)</f>
        <v>0</v>
      </c>
      <c r="J11" s="77" t="n">
        <f aca="false">IF(AND(J$6&gt;=$D11,J$6&lt;=$F11),$C11/$E11,0)</f>
        <v>0</v>
      </c>
      <c r="K11" s="77" t="n">
        <f aca="false">IF(AND(K$6&gt;=$D11,K$6&lt;=$F11),$C11/$E11,0)</f>
        <v>0</v>
      </c>
      <c r="L11" s="77" t="n">
        <f aca="false">IF(AND(L$6&gt;=$D11,L$6&lt;=$F11),$C11/$E11,0)</f>
        <v>0</v>
      </c>
      <c r="M11" s="77" t="n">
        <f aca="false">IF(AND(M$6&gt;=$D11,M$6&lt;=$F11),$C11/$E11,0)</f>
        <v>0</v>
      </c>
      <c r="N11" s="77" t="n">
        <f aca="false">IF(AND(N$6&gt;=$D11,N$6&lt;=$F11),$C11/$E11,0)</f>
        <v>0</v>
      </c>
      <c r="O11" s="77" t="n">
        <f aca="false">IF(AND(O$6&gt;=$D11,O$6&lt;=$F11),$C11/$E11,0)</f>
        <v>0</v>
      </c>
      <c r="P11" s="77" t="n">
        <f aca="false">IF(AND(P$6&gt;=$D11,P$6&lt;=$F11),$C11/$E11,0)</f>
        <v>0</v>
      </c>
      <c r="Q11" s="77" t="n">
        <f aca="false">IF(AND(Q$6&gt;=$D11,Q$6&lt;=$F11),$C11/$E11,0)</f>
        <v>0</v>
      </c>
      <c r="R11" s="77" t="n">
        <f aca="false">IF(AND(R$6&gt;=$D11,R$6&lt;=$F11),$C11/$E11,0)</f>
        <v>0</v>
      </c>
      <c r="S11" s="77" t="n">
        <f aca="false">IF(AND(S$6&gt;=$D11,S$6&lt;=$F11),$C11/$E11,0)</f>
        <v>0</v>
      </c>
      <c r="T11" s="77" t="n">
        <f aca="false">IF(AND(T$6&gt;=$D11,T$6&lt;=$F11),$C11/$E11,0)</f>
        <v>0</v>
      </c>
      <c r="U11" s="77" t="n">
        <f aca="false">IF(AND(U$6&gt;=$D11,U$6&lt;=$F11),$C11/$E11,0)</f>
        <v>0</v>
      </c>
      <c r="V11" s="77" t="n">
        <f aca="false">IF(AND(V$6&gt;=$D11,V$6&lt;=$F11),$C11/$E11,0)</f>
        <v>0</v>
      </c>
      <c r="W11" s="77" t="n">
        <f aca="false">IF(AND(W$6&gt;=$D11,W$6&lt;=$F11),$C11/$E11,0)</f>
        <v>0</v>
      </c>
      <c r="X11" s="77" t="n">
        <f aca="false">IF(AND(X$6&gt;=$D11,X$6&lt;=$F11),$C11/$E11,0)</f>
        <v>0</v>
      </c>
      <c r="Y11" s="77" t="n">
        <f aca="false">IF(AND(Y$6&gt;=$D11,Y$6&lt;=$F11),$C11/$E11,0)</f>
        <v>0</v>
      </c>
      <c r="Z11" s="77" t="n">
        <f aca="false">IF(AND(Z$6&gt;=$D11,Z$6&lt;=$F11),$C11/$E11,0)</f>
        <v>0</v>
      </c>
      <c r="AA11" s="77" t="n">
        <f aca="false">IF(AND(AA$6&gt;=$D11,AA$6&lt;=$F11),$C11/$E11,0)</f>
        <v>0.00491023272958645</v>
      </c>
      <c r="AB11" s="77" t="n">
        <f aca="false">IF(AND(AB$6&gt;=$D11,AB$6&lt;=$F11),$C11/$E11,0)</f>
        <v>0.00491023272958645</v>
      </c>
      <c r="AC11" s="77" t="n">
        <f aca="false">IF(AND(AC$6&gt;=$D11,AC$6&lt;=$F11),$C11/$E11,0)</f>
        <v>0.00491023272958645</v>
      </c>
      <c r="AD11" s="77" t="n">
        <f aca="false">IF(AND(AD$6&gt;=$D11,AD$6&lt;=$F11),$C11/$E11,0)</f>
        <v>0.00491023272958645</v>
      </c>
      <c r="AE11" s="77" t="n">
        <f aca="false">IF(AND(AE$6&gt;=$D11,AE$6&lt;=$F11),$C11/$E11,0)</f>
        <v>0.00491023272958645</v>
      </c>
      <c r="AF11" s="77" t="n">
        <f aca="false">IF(AND(AF$6&gt;=$D11,AF$6&lt;=$F11),$C11/$E11,0)</f>
        <v>0.00491023272958645</v>
      </c>
      <c r="AG11" s="77" t="n">
        <f aca="false">IF(AND(AG$6&gt;=$D11,AG$6&lt;=$F11),$C11/$E11,0)</f>
        <v>0.00491023272958645</v>
      </c>
      <c r="AH11" s="77" t="n">
        <f aca="false">IF(AND(AH$6&gt;=$D11,AH$6&lt;=$F11),$C11/$E11,0)</f>
        <v>0.00491023272958645</v>
      </c>
      <c r="AI11" s="77" t="n">
        <f aca="false">IF(AND(AI$6&gt;=$D11,AI$6&lt;=$F11),$C11/$E11,0)</f>
        <v>0.00491023272958645</v>
      </c>
      <c r="AJ11" s="77" t="n">
        <f aca="false">IF(AND(AJ$6&gt;=$D11,AJ$6&lt;=$F11),$C11/$E11,0)</f>
        <v>0.00491023272958645</v>
      </c>
      <c r="AK11" s="77" t="n">
        <f aca="false">IF(AND(AK$6&gt;=$D11,AK$6&lt;=$F11),$C11/$E11,0)</f>
        <v>0.00491023272958645</v>
      </c>
      <c r="AL11" s="77" t="n">
        <f aca="false">IF(AND(AL$6&gt;=$D11,AL$6&lt;=$F11),$C11/$E11,0)</f>
        <v>0.00491023272958645</v>
      </c>
      <c r="AM11" s="77" t="n">
        <f aca="false">IF(AND(AM$6&gt;=$D11,AM$6&lt;=$F11),$C11/$E11,0)</f>
        <v>0.00491023272958645</v>
      </c>
      <c r="AN11" s="77" t="n">
        <f aca="false">IF(AND(AN$6&gt;=$D11,AN$6&lt;=$F11),$C11/$E11,0)</f>
        <v>0.00491023272958645</v>
      </c>
      <c r="AO11" s="77" t="n">
        <f aca="false">IF(AND(AO$6&gt;=$D11,AO$6&lt;=$F11),$C11/$E11,0)</f>
        <v>0.00491023272958645</v>
      </c>
      <c r="AP11" s="77" t="n">
        <f aca="false">IF(AND(AP$6&gt;=$D11,AP$6&lt;=$F11),$C11/$E11,0)</f>
        <v>0.00491023272958645</v>
      </c>
      <c r="AQ11" s="77" t="n">
        <f aca="false">IF(AND(AQ$6&gt;=$D11,AQ$6&lt;=$F11),$C11/$E11,0)</f>
        <v>0.00491023272958645</v>
      </c>
      <c r="AR11" s="77" t="n">
        <f aca="false">IF(AND(AR$6&gt;=$D11,AR$6&lt;=$F11),$C11/$E11,0)</f>
        <v>0.00491023272958645</v>
      </c>
      <c r="AS11" s="77" t="n">
        <f aca="false">IF(AND(AS$6&gt;=$D11,AS$6&lt;=$F11),$C11/$E11,0)</f>
        <v>0</v>
      </c>
      <c r="AT11" s="77" t="n">
        <f aca="false">IF(AND(AT$6&gt;=$D11,AT$6&lt;=$F11),$C11/$E11,0)</f>
        <v>0</v>
      </c>
      <c r="AU11" s="77" t="n">
        <f aca="false">IF(AND(AU$6&gt;=$D11,AU$6&lt;=$F11),$C11/$E11,0)</f>
        <v>0</v>
      </c>
      <c r="AV11" s="77" t="n">
        <f aca="false">IF(AND(AV$6&gt;=$D11,AV$6&lt;=$F11),$C11/$E11,0)</f>
        <v>0</v>
      </c>
      <c r="AW11" s="77" t="n">
        <f aca="false">IF(AND(AW$6&gt;=$D11,AW$6&lt;=$F11),$C11/$E11,0)</f>
        <v>0</v>
      </c>
    </row>
    <row r="12" customFormat="false" ht="25.5" hidden="false" customHeight="true" outlineLevel="0" collapsed="false">
      <c r="A12" s="28" t="n">
        <v>5</v>
      </c>
      <c r="B12" s="29" t="str">
        <f aca="false">"KANTOR - "&amp;Rekap!B17</f>
        <v>KANTOR - PEKERJAAN MEKANIKAL (KANTOR)</v>
      </c>
      <c r="C12" s="75" t="n">
        <f aca="false">Rekap!C17/Rekap!$C$69</f>
        <v>0.0412216948495014</v>
      </c>
      <c r="D12" s="76" t="n">
        <v>28</v>
      </c>
      <c r="E12" s="76" t="n">
        <v>13</v>
      </c>
      <c r="F12" s="28" t="n">
        <f aca="false">D12+E12-1</f>
        <v>40</v>
      </c>
      <c r="G12" s="77" t="n">
        <f aca="false">IF(AND(G$6&gt;=$D12,G$6&lt;=$F12),$C12/$E12,0)</f>
        <v>0</v>
      </c>
      <c r="H12" s="77" t="n">
        <f aca="false">IF(AND(H$6&gt;=$D12,H$6&lt;=$F12),$C12/$E12,0)</f>
        <v>0</v>
      </c>
      <c r="I12" s="77" t="n">
        <f aca="false">IF(AND(I$6&gt;=$D12,I$6&lt;=$F12),$C12/$E12,0)</f>
        <v>0</v>
      </c>
      <c r="J12" s="77" t="n">
        <f aca="false">IF(AND(J$6&gt;=$D12,J$6&lt;=$F12),$C12/$E12,0)</f>
        <v>0</v>
      </c>
      <c r="K12" s="77" t="n">
        <f aca="false">IF(AND(K$6&gt;=$D12,K$6&lt;=$F12),$C12/$E12,0)</f>
        <v>0</v>
      </c>
      <c r="L12" s="77" t="n">
        <f aca="false">IF(AND(L$6&gt;=$D12,L$6&lt;=$F12),$C12/$E12,0)</f>
        <v>0</v>
      </c>
      <c r="M12" s="77" t="n">
        <f aca="false">IF(AND(M$6&gt;=$D12,M$6&lt;=$F12),$C12/$E12,0)</f>
        <v>0</v>
      </c>
      <c r="N12" s="77" t="n">
        <f aca="false">IF(AND(N$6&gt;=$D12,N$6&lt;=$F12),$C12/$E12,0)</f>
        <v>0</v>
      </c>
      <c r="O12" s="77" t="n">
        <f aca="false">IF(AND(O$6&gt;=$D12,O$6&lt;=$F12),$C12/$E12,0)</f>
        <v>0</v>
      </c>
      <c r="P12" s="77" t="n">
        <f aca="false">IF(AND(P$6&gt;=$D12,P$6&lt;=$F12),$C12/$E12,0)</f>
        <v>0</v>
      </c>
      <c r="Q12" s="77" t="n">
        <f aca="false">IF(AND(Q$6&gt;=$D12,Q$6&lt;=$F12),$C12/$E12,0)</f>
        <v>0</v>
      </c>
      <c r="R12" s="77" t="n">
        <f aca="false">IF(AND(R$6&gt;=$D12,R$6&lt;=$F12),$C12/$E12,0)</f>
        <v>0</v>
      </c>
      <c r="S12" s="77" t="n">
        <f aca="false">IF(AND(S$6&gt;=$D12,S$6&lt;=$F12),$C12/$E12,0)</f>
        <v>0</v>
      </c>
      <c r="T12" s="77" t="n">
        <f aca="false">IF(AND(T$6&gt;=$D12,T$6&lt;=$F12),$C12/$E12,0)</f>
        <v>0</v>
      </c>
      <c r="U12" s="77" t="n">
        <f aca="false">IF(AND(U$6&gt;=$D12,U$6&lt;=$F12),$C12/$E12,0)</f>
        <v>0</v>
      </c>
      <c r="V12" s="77" t="n">
        <f aca="false">IF(AND(V$6&gt;=$D12,V$6&lt;=$F12),$C12/$E12,0)</f>
        <v>0</v>
      </c>
      <c r="W12" s="77" t="n">
        <f aca="false">IF(AND(W$6&gt;=$D12,W$6&lt;=$F12),$C12/$E12,0)</f>
        <v>0</v>
      </c>
      <c r="X12" s="77" t="n">
        <f aca="false">IF(AND(X$6&gt;=$D12,X$6&lt;=$F12),$C12/$E12,0)</f>
        <v>0</v>
      </c>
      <c r="Y12" s="77" t="n">
        <f aca="false">IF(AND(Y$6&gt;=$D12,Y$6&lt;=$F12),$C12/$E12,0)</f>
        <v>0</v>
      </c>
      <c r="Z12" s="77" t="n">
        <f aca="false">IF(AND(Z$6&gt;=$D12,Z$6&lt;=$F12),$C12/$E12,0)</f>
        <v>0</v>
      </c>
      <c r="AA12" s="77" t="n">
        <f aca="false">IF(AND(AA$6&gt;=$D12,AA$6&lt;=$F12),$C12/$E12,0)</f>
        <v>0</v>
      </c>
      <c r="AB12" s="77" t="n">
        <f aca="false">IF(AND(AB$6&gt;=$D12,AB$6&lt;=$F12),$C12/$E12,0)</f>
        <v>0</v>
      </c>
      <c r="AC12" s="77" t="n">
        <f aca="false">IF(AND(AC$6&gt;=$D12,AC$6&lt;=$F12),$C12/$E12,0)</f>
        <v>0</v>
      </c>
      <c r="AD12" s="77" t="n">
        <f aca="false">IF(AND(AD$6&gt;=$D12,AD$6&lt;=$F12),$C12/$E12,0)</f>
        <v>0</v>
      </c>
      <c r="AE12" s="77" t="n">
        <f aca="false">IF(AND(AE$6&gt;=$D12,AE$6&lt;=$F12),$C12/$E12,0)</f>
        <v>0</v>
      </c>
      <c r="AF12" s="77" t="n">
        <f aca="false">IF(AND(AF$6&gt;=$D12,AF$6&lt;=$F12),$C12/$E12,0)</f>
        <v>0</v>
      </c>
      <c r="AG12" s="77" t="n">
        <f aca="false">IF(AND(AG$6&gt;=$D12,AG$6&lt;=$F12),$C12/$E12,0)</f>
        <v>0</v>
      </c>
      <c r="AH12" s="77" t="n">
        <f aca="false">IF(AND(AH$6&gt;=$D12,AH$6&lt;=$F12),$C12/$E12,0)</f>
        <v>0.0031708996038078</v>
      </c>
      <c r="AI12" s="77" t="n">
        <f aca="false">IF(AND(AI$6&gt;=$D12,AI$6&lt;=$F12),$C12/$E12,0)</f>
        <v>0.0031708996038078</v>
      </c>
      <c r="AJ12" s="77" t="n">
        <f aca="false">IF(AND(AJ$6&gt;=$D12,AJ$6&lt;=$F12),$C12/$E12,0)</f>
        <v>0.0031708996038078</v>
      </c>
      <c r="AK12" s="77" t="n">
        <f aca="false">IF(AND(AK$6&gt;=$D12,AK$6&lt;=$F12),$C12/$E12,0)</f>
        <v>0.0031708996038078</v>
      </c>
      <c r="AL12" s="77" t="n">
        <f aca="false">IF(AND(AL$6&gt;=$D12,AL$6&lt;=$F12),$C12/$E12,0)</f>
        <v>0.0031708996038078</v>
      </c>
      <c r="AM12" s="77" t="n">
        <f aca="false">IF(AND(AM$6&gt;=$D12,AM$6&lt;=$F12),$C12/$E12,0)</f>
        <v>0.0031708996038078</v>
      </c>
      <c r="AN12" s="77" t="n">
        <f aca="false">IF(AND(AN$6&gt;=$D12,AN$6&lt;=$F12),$C12/$E12,0)</f>
        <v>0.0031708996038078</v>
      </c>
      <c r="AO12" s="77" t="n">
        <f aca="false">IF(AND(AO$6&gt;=$D12,AO$6&lt;=$F12),$C12/$E12,0)</f>
        <v>0.0031708996038078</v>
      </c>
      <c r="AP12" s="77" t="n">
        <f aca="false">IF(AND(AP$6&gt;=$D12,AP$6&lt;=$F12),$C12/$E12,0)</f>
        <v>0.0031708996038078</v>
      </c>
      <c r="AQ12" s="77" t="n">
        <f aca="false">IF(AND(AQ$6&gt;=$D12,AQ$6&lt;=$F12),$C12/$E12,0)</f>
        <v>0.0031708996038078</v>
      </c>
      <c r="AR12" s="77" t="n">
        <f aca="false">IF(AND(AR$6&gt;=$D12,AR$6&lt;=$F12),$C12/$E12,0)</f>
        <v>0.0031708996038078</v>
      </c>
      <c r="AS12" s="77" t="n">
        <f aca="false">IF(AND(AS$6&gt;=$D12,AS$6&lt;=$F12),$C12/$E12,0)</f>
        <v>0.0031708996038078</v>
      </c>
      <c r="AT12" s="77" t="n">
        <f aca="false">IF(AND(AT$6&gt;=$D12,AT$6&lt;=$F12),$C12/$E12,0)</f>
        <v>0.0031708996038078</v>
      </c>
      <c r="AU12" s="77" t="n">
        <f aca="false">IF(AND(AU$6&gt;=$D12,AU$6&lt;=$F12),$C12/$E12,0)</f>
        <v>0</v>
      </c>
      <c r="AV12" s="77" t="n">
        <f aca="false">IF(AND(AV$6&gt;=$D12,AV$6&lt;=$F12),$C12/$E12,0)</f>
        <v>0</v>
      </c>
      <c r="AW12" s="77" t="n">
        <f aca="false">IF(AND(AW$6&gt;=$D12,AW$6&lt;=$F12),$C12/$E12,0)</f>
        <v>0</v>
      </c>
    </row>
    <row r="13" customFormat="false" ht="25.5" hidden="false" customHeight="true" outlineLevel="0" collapsed="false">
      <c r="A13" s="28" t="n">
        <v>6</v>
      </c>
      <c r="B13" s="29" t="str">
        <f aca="false">"KANTOR - "&amp;Rekap!B18</f>
        <v>KANTOR - PEKERJAAN PLUMBING (KANTOR)</v>
      </c>
      <c r="C13" s="75" t="n">
        <f aca="false">Rekap!C18/Rekap!$C$69</f>
        <v>0.00666545506045995</v>
      </c>
      <c r="D13" s="76" t="n">
        <v>22</v>
      </c>
      <c r="E13" s="76" t="n">
        <v>17</v>
      </c>
      <c r="F13" s="28" t="n">
        <f aca="false">D13+E13-1</f>
        <v>38</v>
      </c>
      <c r="G13" s="77" t="n">
        <f aca="false">IF(AND(G$6&gt;=$D13,G$6&lt;=$F13),$C13/$E13,0)</f>
        <v>0</v>
      </c>
      <c r="H13" s="77" t="n">
        <f aca="false">IF(AND(H$6&gt;=$D13,H$6&lt;=$F13),$C13/$E13,0)</f>
        <v>0</v>
      </c>
      <c r="I13" s="77" t="n">
        <f aca="false">IF(AND(I$6&gt;=$D13,I$6&lt;=$F13),$C13/$E13,0)</f>
        <v>0</v>
      </c>
      <c r="J13" s="77" t="n">
        <f aca="false">IF(AND(J$6&gt;=$D13,J$6&lt;=$F13),$C13/$E13,0)</f>
        <v>0</v>
      </c>
      <c r="K13" s="77" t="n">
        <f aca="false">IF(AND(K$6&gt;=$D13,K$6&lt;=$F13),$C13/$E13,0)</f>
        <v>0</v>
      </c>
      <c r="L13" s="77" t="n">
        <f aca="false">IF(AND(L$6&gt;=$D13,L$6&lt;=$F13),$C13/$E13,0)</f>
        <v>0</v>
      </c>
      <c r="M13" s="77" t="n">
        <f aca="false">IF(AND(M$6&gt;=$D13,M$6&lt;=$F13),$C13/$E13,0)</f>
        <v>0</v>
      </c>
      <c r="N13" s="77" t="n">
        <f aca="false">IF(AND(N$6&gt;=$D13,N$6&lt;=$F13),$C13/$E13,0)</f>
        <v>0</v>
      </c>
      <c r="O13" s="77" t="n">
        <f aca="false">IF(AND(O$6&gt;=$D13,O$6&lt;=$F13),$C13/$E13,0)</f>
        <v>0</v>
      </c>
      <c r="P13" s="77" t="n">
        <f aca="false">IF(AND(P$6&gt;=$D13,P$6&lt;=$F13),$C13/$E13,0)</f>
        <v>0</v>
      </c>
      <c r="Q13" s="77" t="n">
        <f aca="false">IF(AND(Q$6&gt;=$D13,Q$6&lt;=$F13),$C13/$E13,0)</f>
        <v>0</v>
      </c>
      <c r="R13" s="77" t="n">
        <f aca="false">IF(AND(R$6&gt;=$D13,R$6&lt;=$F13),$C13/$E13,0)</f>
        <v>0</v>
      </c>
      <c r="S13" s="77" t="n">
        <f aca="false">IF(AND(S$6&gt;=$D13,S$6&lt;=$F13),$C13/$E13,0)</f>
        <v>0</v>
      </c>
      <c r="T13" s="77" t="n">
        <f aca="false">IF(AND(T$6&gt;=$D13,T$6&lt;=$F13),$C13/$E13,0)</f>
        <v>0</v>
      </c>
      <c r="U13" s="77" t="n">
        <f aca="false">IF(AND(U$6&gt;=$D13,U$6&lt;=$F13),$C13/$E13,0)</f>
        <v>0</v>
      </c>
      <c r="V13" s="77" t="n">
        <f aca="false">IF(AND(V$6&gt;=$D13,V$6&lt;=$F13),$C13/$E13,0)</f>
        <v>0</v>
      </c>
      <c r="W13" s="77" t="n">
        <f aca="false">IF(AND(W$6&gt;=$D13,W$6&lt;=$F13),$C13/$E13,0)</f>
        <v>0</v>
      </c>
      <c r="X13" s="77" t="n">
        <f aca="false">IF(AND(X$6&gt;=$D13,X$6&lt;=$F13),$C13/$E13,0)</f>
        <v>0</v>
      </c>
      <c r="Y13" s="77" t="n">
        <f aca="false">IF(AND(Y$6&gt;=$D13,Y$6&lt;=$F13),$C13/$E13,0)</f>
        <v>0</v>
      </c>
      <c r="Z13" s="77" t="n">
        <f aca="false">IF(AND(Z$6&gt;=$D13,Z$6&lt;=$F13),$C13/$E13,0)</f>
        <v>0</v>
      </c>
      <c r="AA13" s="77" t="n">
        <f aca="false">IF(AND(AA$6&gt;=$D13,AA$6&lt;=$F13),$C13/$E13,0)</f>
        <v>0</v>
      </c>
      <c r="AB13" s="77" t="n">
        <f aca="false">IF(AND(AB$6&gt;=$D13,AB$6&lt;=$F13),$C13/$E13,0)</f>
        <v>0.000392085591791762</v>
      </c>
      <c r="AC13" s="77" t="n">
        <f aca="false">IF(AND(AC$6&gt;=$D13,AC$6&lt;=$F13),$C13/$E13,0)</f>
        <v>0.000392085591791762</v>
      </c>
      <c r="AD13" s="77" t="n">
        <f aca="false">IF(AND(AD$6&gt;=$D13,AD$6&lt;=$F13),$C13/$E13,0)</f>
        <v>0.000392085591791762</v>
      </c>
      <c r="AE13" s="77" t="n">
        <f aca="false">IF(AND(AE$6&gt;=$D13,AE$6&lt;=$F13),$C13/$E13,0)</f>
        <v>0.000392085591791762</v>
      </c>
      <c r="AF13" s="77" t="n">
        <f aca="false">IF(AND(AF$6&gt;=$D13,AF$6&lt;=$F13),$C13/$E13,0)</f>
        <v>0.000392085591791762</v>
      </c>
      <c r="AG13" s="77" t="n">
        <f aca="false">IF(AND(AG$6&gt;=$D13,AG$6&lt;=$F13),$C13/$E13,0)</f>
        <v>0.000392085591791762</v>
      </c>
      <c r="AH13" s="77" t="n">
        <f aca="false">IF(AND(AH$6&gt;=$D13,AH$6&lt;=$F13),$C13/$E13,0)</f>
        <v>0.000392085591791762</v>
      </c>
      <c r="AI13" s="77" t="n">
        <f aca="false">IF(AND(AI$6&gt;=$D13,AI$6&lt;=$F13),$C13/$E13,0)</f>
        <v>0.000392085591791762</v>
      </c>
      <c r="AJ13" s="77" t="n">
        <f aca="false">IF(AND(AJ$6&gt;=$D13,AJ$6&lt;=$F13),$C13/$E13,0)</f>
        <v>0.000392085591791762</v>
      </c>
      <c r="AK13" s="77" t="n">
        <f aca="false">IF(AND(AK$6&gt;=$D13,AK$6&lt;=$F13),$C13/$E13,0)</f>
        <v>0.000392085591791762</v>
      </c>
      <c r="AL13" s="77" t="n">
        <f aca="false">IF(AND(AL$6&gt;=$D13,AL$6&lt;=$F13),$C13/$E13,0)</f>
        <v>0.000392085591791762</v>
      </c>
      <c r="AM13" s="77" t="n">
        <f aca="false">IF(AND(AM$6&gt;=$D13,AM$6&lt;=$F13),$C13/$E13,0)</f>
        <v>0.000392085591791762</v>
      </c>
      <c r="AN13" s="77" t="n">
        <f aca="false">IF(AND(AN$6&gt;=$D13,AN$6&lt;=$F13),$C13/$E13,0)</f>
        <v>0.000392085591791762</v>
      </c>
      <c r="AO13" s="77" t="n">
        <f aca="false">IF(AND(AO$6&gt;=$D13,AO$6&lt;=$F13),$C13/$E13,0)</f>
        <v>0.000392085591791762</v>
      </c>
      <c r="AP13" s="77" t="n">
        <f aca="false">IF(AND(AP$6&gt;=$D13,AP$6&lt;=$F13),$C13/$E13,0)</f>
        <v>0.000392085591791762</v>
      </c>
      <c r="AQ13" s="77" t="n">
        <f aca="false">IF(AND(AQ$6&gt;=$D13,AQ$6&lt;=$F13),$C13/$E13,0)</f>
        <v>0.000392085591791762</v>
      </c>
      <c r="AR13" s="77" t="n">
        <f aca="false">IF(AND(AR$6&gt;=$D13,AR$6&lt;=$F13),$C13/$E13,0)</f>
        <v>0.000392085591791762</v>
      </c>
      <c r="AS13" s="77" t="n">
        <f aca="false">IF(AND(AS$6&gt;=$D13,AS$6&lt;=$F13),$C13/$E13,0)</f>
        <v>0</v>
      </c>
      <c r="AT13" s="77" t="n">
        <f aca="false">IF(AND(AT$6&gt;=$D13,AT$6&lt;=$F13),$C13/$E13,0)</f>
        <v>0</v>
      </c>
      <c r="AU13" s="77" t="n">
        <f aca="false">IF(AND(AU$6&gt;=$D13,AU$6&lt;=$F13),$C13/$E13,0)</f>
        <v>0</v>
      </c>
      <c r="AV13" s="77" t="n">
        <f aca="false">IF(AND(AV$6&gt;=$D13,AV$6&lt;=$F13),$C13/$E13,0)</f>
        <v>0</v>
      </c>
      <c r="AW13" s="77" t="n">
        <f aca="false">IF(AND(AW$6&gt;=$D13,AW$6&lt;=$F13),$C13/$E13,0)</f>
        <v>0</v>
      </c>
    </row>
    <row r="14" customFormat="false" ht="25.5" hidden="false" customHeight="true" outlineLevel="0" collapsed="false">
      <c r="A14" s="28" t="n">
        <v>7</v>
      </c>
      <c r="B14" s="29" t="str">
        <f aca="false">"KANTOR - "&amp;Rekap!B19</f>
        <v>KANTOR - PEKERJAAN ELEKTRIKAL (KANTOR)</v>
      </c>
      <c r="C14" s="75" t="n">
        <f aca="false">Rekap!C19/Rekap!$C$69</f>
        <v>0.0144954953515733</v>
      </c>
      <c r="D14" s="76" t="n">
        <v>24</v>
      </c>
      <c r="E14" s="76" t="n">
        <v>16</v>
      </c>
      <c r="F14" s="28" t="n">
        <f aca="false">D14+E14-1</f>
        <v>39</v>
      </c>
      <c r="G14" s="77" t="n">
        <f aca="false">IF(AND(G$6&gt;=$D14,G$6&lt;=$F14),$C14/$E14,0)</f>
        <v>0</v>
      </c>
      <c r="H14" s="77" t="n">
        <f aca="false">IF(AND(H$6&gt;=$D14,H$6&lt;=$F14),$C14/$E14,0)</f>
        <v>0</v>
      </c>
      <c r="I14" s="77" t="n">
        <f aca="false">IF(AND(I$6&gt;=$D14,I$6&lt;=$F14),$C14/$E14,0)</f>
        <v>0</v>
      </c>
      <c r="J14" s="77" t="n">
        <f aca="false">IF(AND(J$6&gt;=$D14,J$6&lt;=$F14),$C14/$E14,0)</f>
        <v>0</v>
      </c>
      <c r="K14" s="77" t="n">
        <f aca="false">IF(AND(K$6&gt;=$D14,K$6&lt;=$F14),$C14/$E14,0)</f>
        <v>0</v>
      </c>
      <c r="L14" s="77" t="n">
        <f aca="false">IF(AND(L$6&gt;=$D14,L$6&lt;=$F14),$C14/$E14,0)</f>
        <v>0</v>
      </c>
      <c r="M14" s="77" t="n">
        <f aca="false">IF(AND(M$6&gt;=$D14,M$6&lt;=$F14),$C14/$E14,0)</f>
        <v>0</v>
      </c>
      <c r="N14" s="77" t="n">
        <f aca="false">IF(AND(N$6&gt;=$D14,N$6&lt;=$F14),$C14/$E14,0)</f>
        <v>0</v>
      </c>
      <c r="O14" s="77" t="n">
        <f aca="false">IF(AND(O$6&gt;=$D14,O$6&lt;=$F14),$C14/$E14,0)</f>
        <v>0</v>
      </c>
      <c r="P14" s="77" t="n">
        <f aca="false">IF(AND(P$6&gt;=$D14,P$6&lt;=$F14),$C14/$E14,0)</f>
        <v>0</v>
      </c>
      <c r="Q14" s="77" t="n">
        <f aca="false">IF(AND(Q$6&gt;=$D14,Q$6&lt;=$F14),$C14/$E14,0)</f>
        <v>0</v>
      </c>
      <c r="R14" s="77" t="n">
        <f aca="false">IF(AND(R$6&gt;=$D14,R$6&lt;=$F14),$C14/$E14,0)</f>
        <v>0</v>
      </c>
      <c r="S14" s="77" t="n">
        <f aca="false">IF(AND(S$6&gt;=$D14,S$6&lt;=$F14),$C14/$E14,0)</f>
        <v>0</v>
      </c>
      <c r="T14" s="77" t="n">
        <f aca="false">IF(AND(T$6&gt;=$D14,T$6&lt;=$F14),$C14/$E14,0)</f>
        <v>0</v>
      </c>
      <c r="U14" s="77" t="n">
        <f aca="false">IF(AND(U$6&gt;=$D14,U$6&lt;=$F14),$C14/$E14,0)</f>
        <v>0</v>
      </c>
      <c r="V14" s="77" t="n">
        <f aca="false">IF(AND(V$6&gt;=$D14,V$6&lt;=$F14),$C14/$E14,0)</f>
        <v>0</v>
      </c>
      <c r="W14" s="77" t="n">
        <f aca="false">IF(AND(W$6&gt;=$D14,W$6&lt;=$F14),$C14/$E14,0)</f>
        <v>0</v>
      </c>
      <c r="X14" s="77" t="n">
        <f aca="false">IF(AND(X$6&gt;=$D14,X$6&lt;=$F14),$C14/$E14,0)</f>
        <v>0</v>
      </c>
      <c r="Y14" s="77" t="n">
        <f aca="false">IF(AND(Y$6&gt;=$D14,Y$6&lt;=$F14),$C14/$E14,0)</f>
        <v>0</v>
      </c>
      <c r="Z14" s="77" t="n">
        <f aca="false">IF(AND(Z$6&gt;=$D14,Z$6&lt;=$F14),$C14/$E14,0)</f>
        <v>0</v>
      </c>
      <c r="AA14" s="77" t="n">
        <f aca="false">IF(AND(AA$6&gt;=$D14,AA$6&lt;=$F14),$C14/$E14,0)</f>
        <v>0</v>
      </c>
      <c r="AB14" s="77" t="n">
        <f aca="false">IF(AND(AB$6&gt;=$D14,AB$6&lt;=$F14),$C14/$E14,0)</f>
        <v>0</v>
      </c>
      <c r="AC14" s="77" t="n">
        <f aca="false">IF(AND(AC$6&gt;=$D14,AC$6&lt;=$F14),$C14/$E14,0)</f>
        <v>0</v>
      </c>
      <c r="AD14" s="77" t="n">
        <f aca="false">IF(AND(AD$6&gt;=$D14,AD$6&lt;=$F14),$C14/$E14,0)</f>
        <v>0.000905968459473332</v>
      </c>
      <c r="AE14" s="77" t="n">
        <f aca="false">IF(AND(AE$6&gt;=$D14,AE$6&lt;=$F14),$C14/$E14,0)</f>
        <v>0.000905968459473332</v>
      </c>
      <c r="AF14" s="77" t="n">
        <f aca="false">IF(AND(AF$6&gt;=$D14,AF$6&lt;=$F14),$C14/$E14,0)</f>
        <v>0.000905968459473332</v>
      </c>
      <c r="AG14" s="77" t="n">
        <f aca="false">IF(AND(AG$6&gt;=$D14,AG$6&lt;=$F14),$C14/$E14,0)</f>
        <v>0.000905968459473332</v>
      </c>
      <c r="AH14" s="77" t="n">
        <f aca="false">IF(AND(AH$6&gt;=$D14,AH$6&lt;=$F14),$C14/$E14,0)</f>
        <v>0.000905968459473332</v>
      </c>
      <c r="AI14" s="77" t="n">
        <f aca="false">IF(AND(AI$6&gt;=$D14,AI$6&lt;=$F14),$C14/$E14,0)</f>
        <v>0.000905968459473332</v>
      </c>
      <c r="AJ14" s="77" t="n">
        <f aca="false">IF(AND(AJ$6&gt;=$D14,AJ$6&lt;=$F14),$C14/$E14,0)</f>
        <v>0.000905968459473332</v>
      </c>
      <c r="AK14" s="77" t="n">
        <f aca="false">IF(AND(AK$6&gt;=$D14,AK$6&lt;=$F14),$C14/$E14,0)</f>
        <v>0.000905968459473332</v>
      </c>
      <c r="AL14" s="77" t="n">
        <f aca="false">IF(AND(AL$6&gt;=$D14,AL$6&lt;=$F14),$C14/$E14,0)</f>
        <v>0.000905968459473332</v>
      </c>
      <c r="AM14" s="77" t="n">
        <f aca="false">IF(AND(AM$6&gt;=$D14,AM$6&lt;=$F14),$C14/$E14,0)</f>
        <v>0.000905968459473332</v>
      </c>
      <c r="AN14" s="77" t="n">
        <f aca="false">IF(AND(AN$6&gt;=$D14,AN$6&lt;=$F14),$C14/$E14,0)</f>
        <v>0.000905968459473332</v>
      </c>
      <c r="AO14" s="77" t="n">
        <f aca="false">IF(AND(AO$6&gt;=$D14,AO$6&lt;=$F14),$C14/$E14,0)</f>
        <v>0.000905968459473332</v>
      </c>
      <c r="AP14" s="77" t="n">
        <f aca="false">IF(AND(AP$6&gt;=$D14,AP$6&lt;=$F14),$C14/$E14,0)</f>
        <v>0.000905968459473332</v>
      </c>
      <c r="AQ14" s="77" t="n">
        <f aca="false">IF(AND(AQ$6&gt;=$D14,AQ$6&lt;=$F14),$C14/$E14,0)</f>
        <v>0.000905968459473332</v>
      </c>
      <c r="AR14" s="77" t="n">
        <f aca="false">IF(AND(AR$6&gt;=$D14,AR$6&lt;=$F14),$C14/$E14,0)</f>
        <v>0.000905968459473332</v>
      </c>
      <c r="AS14" s="77" t="n">
        <f aca="false">IF(AND(AS$6&gt;=$D14,AS$6&lt;=$F14),$C14/$E14,0)</f>
        <v>0.000905968459473332</v>
      </c>
      <c r="AT14" s="77" t="n">
        <f aca="false">IF(AND(AT$6&gt;=$D14,AT$6&lt;=$F14),$C14/$E14,0)</f>
        <v>0</v>
      </c>
      <c r="AU14" s="77" t="n">
        <f aca="false">IF(AND(AU$6&gt;=$D14,AU$6&lt;=$F14),$C14/$E14,0)</f>
        <v>0</v>
      </c>
      <c r="AV14" s="77" t="n">
        <f aca="false">IF(AND(AV$6&gt;=$D14,AV$6&lt;=$F14),$C14/$E14,0)</f>
        <v>0</v>
      </c>
      <c r="AW14" s="77" t="n">
        <f aca="false">IF(AND(AW$6&gt;=$D14,AW$6&lt;=$F14),$C14/$E14,0)</f>
        <v>0</v>
      </c>
    </row>
    <row r="15" customFormat="false" ht="25.5" hidden="false" customHeight="true" outlineLevel="0" collapsed="false">
      <c r="A15" s="28" t="n">
        <v>8</v>
      </c>
      <c r="B15" s="29" t="str">
        <f aca="false">"WORKSHOP LAS - "&amp;Rekap!B22</f>
        <v>WORKSHOP LAS - PEKERJAAN TANAH (WORKSHOP LAS)</v>
      </c>
      <c r="C15" s="75" t="n">
        <f aca="false">Rekap!C22/Rekap!$C$69</f>
        <v>0.00302807365830994</v>
      </c>
      <c r="D15" s="76" t="n">
        <v>8</v>
      </c>
      <c r="E15" s="76" t="n">
        <v>4</v>
      </c>
      <c r="F15" s="28" t="n">
        <f aca="false">D15+E15-1</f>
        <v>11</v>
      </c>
      <c r="G15" s="77" t="n">
        <f aca="false">IF(AND(G$6&gt;=$D15,G$6&lt;=$F15),$C15/$E15,0)</f>
        <v>0</v>
      </c>
      <c r="H15" s="77" t="n">
        <f aca="false">IF(AND(H$6&gt;=$D15,H$6&lt;=$F15),$C15/$E15,0)</f>
        <v>0</v>
      </c>
      <c r="I15" s="77" t="n">
        <f aca="false">IF(AND(I$6&gt;=$D15,I$6&lt;=$F15),$C15/$E15,0)</f>
        <v>0</v>
      </c>
      <c r="J15" s="77" t="n">
        <f aca="false">IF(AND(J$6&gt;=$D15,J$6&lt;=$F15),$C15/$E15,0)</f>
        <v>0</v>
      </c>
      <c r="K15" s="77" t="n">
        <f aca="false">IF(AND(K$6&gt;=$D15,K$6&lt;=$F15),$C15/$E15,0)</f>
        <v>0</v>
      </c>
      <c r="L15" s="77" t="n">
        <f aca="false">IF(AND(L$6&gt;=$D15,L$6&lt;=$F15),$C15/$E15,0)</f>
        <v>0</v>
      </c>
      <c r="M15" s="77" t="n">
        <f aca="false">IF(AND(M$6&gt;=$D15,M$6&lt;=$F15),$C15/$E15,0)</f>
        <v>0</v>
      </c>
      <c r="N15" s="77" t="n">
        <f aca="false">IF(AND(N$6&gt;=$D15,N$6&lt;=$F15),$C15/$E15,0)</f>
        <v>0.000757018414577485</v>
      </c>
      <c r="O15" s="77" t="n">
        <f aca="false">IF(AND(O$6&gt;=$D15,O$6&lt;=$F15),$C15/$E15,0)</f>
        <v>0.000757018414577485</v>
      </c>
      <c r="P15" s="77" t="n">
        <f aca="false">IF(AND(P$6&gt;=$D15,P$6&lt;=$F15),$C15/$E15,0)</f>
        <v>0.000757018414577485</v>
      </c>
      <c r="Q15" s="77" t="n">
        <f aca="false">IF(AND(Q$6&gt;=$D15,Q$6&lt;=$F15),$C15/$E15,0)</f>
        <v>0.000757018414577485</v>
      </c>
      <c r="R15" s="77" t="n">
        <f aca="false">IF(AND(R$6&gt;=$D15,R$6&lt;=$F15),$C15/$E15,0)</f>
        <v>0</v>
      </c>
      <c r="S15" s="77" t="n">
        <f aca="false">IF(AND(S$6&gt;=$D15,S$6&lt;=$F15),$C15/$E15,0)</f>
        <v>0</v>
      </c>
      <c r="T15" s="77" t="n">
        <f aca="false">IF(AND(T$6&gt;=$D15,T$6&lt;=$F15),$C15/$E15,0)</f>
        <v>0</v>
      </c>
      <c r="U15" s="77" t="n">
        <f aca="false">IF(AND(U$6&gt;=$D15,U$6&lt;=$F15),$C15/$E15,0)</f>
        <v>0</v>
      </c>
      <c r="V15" s="77" t="n">
        <f aca="false">IF(AND(V$6&gt;=$D15,V$6&lt;=$F15),$C15/$E15,0)</f>
        <v>0</v>
      </c>
      <c r="W15" s="77" t="n">
        <f aca="false">IF(AND(W$6&gt;=$D15,W$6&lt;=$F15),$C15/$E15,0)</f>
        <v>0</v>
      </c>
      <c r="X15" s="77" t="n">
        <f aca="false">IF(AND(X$6&gt;=$D15,X$6&lt;=$F15),$C15/$E15,0)</f>
        <v>0</v>
      </c>
      <c r="Y15" s="77" t="n">
        <f aca="false">IF(AND(Y$6&gt;=$D15,Y$6&lt;=$F15),$C15/$E15,0)</f>
        <v>0</v>
      </c>
      <c r="Z15" s="77" t="n">
        <f aca="false">IF(AND(Z$6&gt;=$D15,Z$6&lt;=$F15),$C15/$E15,0)</f>
        <v>0</v>
      </c>
      <c r="AA15" s="77" t="n">
        <f aca="false">IF(AND(AA$6&gt;=$D15,AA$6&lt;=$F15),$C15/$E15,0)</f>
        <v>0</v>
      </c>
      <c r="AB15" s="77" t="n">
        <f aca="false">IF(AND(AB$6&gt;=$D15,AB$6&lt;=$F15),$C15/$E15,0)</f>
        <v>0</v>
      </c>
      <c r="AC15" s="77" t="n">
        <f aca="false">IF(AND(AC$6&gt;=$D15,AC$6&lt;=$F15),$C15/$E15,0)</f>
        <v>0</v>
      </c>
      <c r="AD15" s="77" t="n">
        <f aca="false">IF(AND(AD$6&gt;=$D15,AD$6&lt;=$F15),$C15/$E15,0)</f>
        <v>0</v>
      </c>
      <c r="AE15" s="77" t="n">
        <f aca="false">IF(AND(AE$6&gt;=$D15,AE$6&lt;=$F15),$C15/$E15,0)</f>
        <v>0</v>
      </c>
      <c r="AF15" s="77" t="n">
        <f aca="false">IF(AND(AF$6&gt;=$D15,AF$6&lt;=$F15),$C15/$E15,0)</f>
        <v>0</v>
      </c>
      <c r="AG15" s="77" t="n">
        <f aca="false">IF(AND(AG$6&gt;=$D15,AG$6&lt;=$F15),$C15/$E15,0)</f>
        <v>0</v>
      </c>
      <c r="AH15" s="77" t="n">
        <f aca="false">IF(AND(AH$6&gt;=$D15,AH$6&lt;=$F15),$C15/$E15,0)</f>
        <v>0</v>
      </c>
      <c r="AI15" s="77" t="n">
        <f aca="false">IF(AND(AI$6&gt;=$D15,AI$6&lt;=$F15),$C15/$E15,0)</f>
        <v>0</v>
      </c>
      <c r="AJ15" s="77" t="n">
        <f aca="false">IF(AND(AJ$6&gt;=$D15,AJ$6&lt;=$F15),$C15/$E15,0)</f>
        <v>0</v>
      </c>
      <c r="AK15" s="77" t="n">
        <f aca="false">IF(AND(AK$6&gt;=$D15,AK$6&lt;=$F15),$C15/$E15,0)</f>
        <v>0</v>
      </c>
      <c r="AL15" s="77" t="n">
        <f aca="false">IF(AND(AL$6&gt;=$D15,AL$6&lt;=$F15),$C15/$E15,0)</f>
        <v>0</v>
      </c>
      <c r="AM15" s="77" t="n">
        <f aca="false">IF(AND(AM$6&gt;=$D15,AM$6&lt;=$F15),$C15/$E15,0)</f>
        <v>0</v>
      </c>
      <c r="AN15" s="77" t="n">
        <f aca="false">IF(AND(AN$6&gt;=$D15,AN$6&lt;=$F15),$C15/$E15,0)</f>
        <v>0</v>
      </c>
      <c r="AO15" s="77" t="n">
        <f aca="false">IF(AND(AO$6&gt;=$D15,AO$6&lt;=$F15),$C15/$E15,0)</f>
        <v>0</v>
      </c>
      <c r="AP15" s="77" t="n">
        <f aca="false">IF(AND(AP$6&gt;=$D15,AP$6&lt;=$F15),$C15/$E15,0)</f>
        <v>0</v>
      </c>
      <c r="AQ15" s="77" t="n">
        <f aca="false">IF(AND(AQ$6&gt;=$D15,AQ$6&lt;=$F15),$C15/$E15,0)</f>
        <v>0</v>
      </c>
      <c r="AR15" s="77" t="n">
        <f aca="false">IF(AND(AR$6&gt;=$D15,AR$6&lt;=$F15),$C15/$E15,0)</f>
        <v>0</v>
      </c>
      <c r="AS15" s="77" t="n">
        <f aca="false">IF(AND(AS$6&gt;=$D15,AS$6&lt;=$F15),$C15/$E15,0)</f>
        <v>0</v>
      </c>
      <c r="AT15" s="77" t="n">
        <f aca="false">IF(AND(AT$6&gt;=$D15,AT$6&lt;=$F15),$C15/$E15,0)</f>
        <v>0</v>
      </c>
      <c r="AU15" s="77" t="n">
        <f aca="false">IF(AND(AU$6&gt;=$D15,AU$6&lt;=$F15),$C15/$E15,0)</f>
        <v>0</v>
      </c>
      <c r="AV15" s="77" t="n">
        <f aca="false">IF(AND(AV$6&gt;=$D15,AV$6&lt;=$F15),$C15/$E15,0)</f>
        <v>0</v>
      </c>
      <c r="AW15" s="77" t="n">
        <f aca="false">IF(AND(AW$6&gt;=$D15,AW$6&lt;=$F15),$C15/$E15,0)</f>
        <v>0</v>
      </c>
    </row>
    <row r="16" customFormat="false" ht="25.5" hidden="false" customHeight="true" outlineLevel="0" collapsed="false">
      <c r="A16" s="28" t="n">
        <v>9</v>
      </c>
      <c r="B16" s="29" t="str">
        <f aca="false">"WORKSHOP LAS - "&amp;Rekap!B23</f>
        <v>WORKSHOP LAS - PEKERJAAN STRUKTURAL (WORKSHOP LAS)</v>
      </c>
      <c r="C16" s="75" t="n">
        <f aca="false">Rekap!C23/Rekap!$C$69</f>
        <v>0.0421752901341434</v>
      </c>
      <c r="D16" s="76" t="n">
        <v>11</v>
      </c>
      <c r="E16" s="76" t="n">
        <v>15</v>
      </c>
      <c r="F16" s="28" t="n">
        <f aca="false">D16+E16-1</f>
        <v>25</v>
      </c>
      <c r="G16" s="77" t="n">
        <f aca="false">IF(AND(G$6&gt;=$D16,G$6&lt;=$F16),$C16/$E16,0)</f>
        <v>0</v>
      </c>
      <c r="H16" s="77" t="n">
        <f aca="false">IF(AND(H$6&gt;=$D16,H$6&lt;=$F16),$C16/$E16,0)</f>
        <v>0</v>
      </c>
      <c r="I16" s="77" t="n">
        <f aca="false">IF(AND(I$6&gt;=$D16,I$6&lt;=$F16),$C16/$E16,0)</f>
        <v>0</v>
      </c>
      <c r="J16" s="77" t="n">
        <f aca="false">IF(AND(J$6&gt;=$D16,J$6&lt;=$F16),$C16/$E16,0)</f>
        <v>0</v>
      </c>
      <c r="K16" s="77" t="n">
        <f aca="false">IF(AND(K$6&gt;=$D16,K$6&lt;=$F16),$C16/$E16,0)</f>
        <v>0</v>
      </c>
      <c r="L16" s="77" t="n">
        <f aca="false">IF(AND(L$6&gt;=$D16,L$6&lt;=$F16),$C16/$E16,0)</f>
        <v>0</v>
      </c>
      <c r="M16" s="77" t="n">
        <f aca="false">IF(AND(M$6&gt;=$D16,M$6&lt;=$F16),$C16/$E16,0)</f>
        <v>0</v>
      </c>
      <c r="N16" s="77" t="n">
        <f aca="false">IF(AND(N$6&gt;=$D16,N$6&lt;=$F16),$C16/$E16,0)</f>
        <v>0</v>
      </c>
      <c r="O16" s="77" t="n">
        <f aca="false">IF(AND(O$6&gt;=$D16,O$6&lt;=$F16),$C16/$E16,0)</f>
        <v>0</v>
      </c>
      <c r="P16" s="77" t="n">
        <f aca="false">IF(AND(P$6&gt;=$D16,P$6&lt;=$F16),$C16/$E16,0)</f>
        <v>0</v>
      </c>
      <c r="Q16" s="77" t="n">
        <f aca="false">IF(AND(Q$6&gt;=$D16,Q$6&lt;=$F16),$C16/$E16,0)</f>
        <v>0.00281168600894289</v>
      </c>
      <c r="R16" s="77" t="n">
        <f aca="false">IF(AND(R$6&gt;=$D16,R$6&lt;=$F16),$C16/$E16,0)</f>
        <v>0.00281168600894289</v>
      </c>
      <c r="S16" s="77" t="n">
        <f aca="false">IF(AND(S$6&gt;=$D16,S$6&lt;=$F16),$C16/$E16,0)</f>
        <v>0.00281168600894289</v>
      </c>
      <c r="T16" s="77" t="n">
        <f aca="false">IF(AND(T$6&gt;=$D16,T$6&lt;=$F16),$C16/$E16,0)</f>
        <v>0.00281168600894289</v>
      </c>
      <c r="U16" s="77" t="n">
        <f aca="false">IF(AND(U$6&gt;=$D16,U$6&lt;=$F16),$C16/$E16,0)</f>
        <v>0.00281168600894289</v>
      </c>
      <c r="V16" s="77" t="n">
        <f aca="false">IF(AND(V$6&gt;=$D16,V$6&lt;=$F16),$C16/$E16,0)</f>
        <v>0.00281168600894289</v>
      </c>
      <c r="W16" s="77" t="n">
        <f aca="false">IF(AND(W$6&gt;=$D16,W$6&lt;=$F16),$C16/$E16,0)</f>
        <v>0.00281168600894289</v>
      </c>
      <c r="X16" s="77" t="n">
        <f aca="false">IF(AND(X$6&gt;=$D16,X$6&lt;=$F16),$C16/$E16,0)</f>
        <v>0.00281168600894289</v>
      </c>
      <c r="Y16" s="77" t="n">
        <f aca="false">IF(AND(Y$6&gt;=$D16,Y$6&lt;=$F16),$C16/$E16,0)</f>
        <v>0.00281168600894289</v>
      </c>
      <c r="Z16" s="77" t="n">
        <f aca="false">IF(AND(Z$6&gt;=$D16,Z$6&lt;=$F16),$C16/$E16,0)</f>
        <v>0.00281168600894289</v>
      </c>
      <c r="AA16" s="77" t="n">
        <f aca="false">IF(AND(AA$6&gt;=$D16,AA$6&lt;=$F16),$C16/$E16,0)</f>
        <v>0.00281168600894289</v>
      </c>
      <c r="AB16" s="77" t="n">
        <f aca="false">IF(AND(AB$6&gt;=$D16,AB$6&lt;=$F16),$C16/$E16,0)</f>
        <v>0.00281168600894289</v>
      </c>
      <c r="AC16" s="77" t="n">
        <f aca="false">IF(AND(AC$6&gt;=$D16,AC$6&lt;=$F16),$C16/$E16,0)</f>
        <v>0.00281168600894289</v>
      </c>
      <c r="AD16" s="77" t="n">
        <f aca="false">IF(AND(AD$6&gt;=$D16,AD$6&lt;=$F16),$C16/$E16,0)</f>
        <v>0.00281168600894289</v>
      </c>
      <c r="AE16" s="77" t="n">
        <f aca="false">IF(AND(AE$6&gt;=$D16,AE$6&lt;=$F16),$C16/$E16,0)</f>
        <v>0.00281168600894289</v>
      </c>
      <c r="AF16" s="77" t="n">
        <f aca="false">IF(AND(AF$6&gt;=$D16,AF$6&lt;=$F16),$C16/$E16,0)</f>
        <v>0</v>
      </c>
      <c r="AG16" s="77" t="n">
        <f aca="false">IF(AND(AG$6&gt;=$D16,AG$6&lt;=$F16),$C16/$E16,0)</f>
        <v>0</v>
      </c>
      <c r="AH16" s="77" t="n">
        <f aca="false">IF(AND(AH$6&gt;=$D16,AH$6&lt;=$F16),$C16/$E16,0)</f>
        <v>0</v>
      </c>
      <c r="AI16" s="77" t="n">
        <f aca="false">IF(AND(AI$6&gt;=$D16,AI$6&lt;=$F16),$C16/$E16,0)</f>
        <v>0</v>
      </c>
      <c r="AJ16" s="77" t="n">
        <f aca="false">IF(AND(AJ$6&gt;=$D16,AJ$6&lt;=$F16),$C16/$E16,0)</f>
        <v>0</v>
      </c>
      <c r="AK16" s="77" t="n">
        <f aca="false">IF(AND(AK$6&gt;=$D16,AK$6&lt;=$F16),$C16/$E16,0)</f>
        <v>0</v>
      </c>
      <c r="AL16" s="77" t="n">
        <f aca="false">IF(AND(AL$6&gt;=$D16,AL$6&lt;=$F16),$C16/$E16,0)</f>
        <v>0</v>
      </c>
      <c r="AM16" s="77" t="n">
        <f aca="false">IF(AND(AM$6&gt;=$D16,AM$6&lt;=$F16),$C16/$E16,0)</f>
        <v>0</v>
      </c>
      <c r="AN16" s="77" t="n">
        <f aca="false">IF(AND(AN$6&gt;=$D16,AN$6&lt;=$F16),$C16/$E16,0)</f>
        <v>0</v>
      </c>
      <c r="AO16" s="77" t="n">
        <f aca="false">IF(AND(AO$6&gt;=$D16,AO$6&lt;=$F16),$C16/$E16,0)</f>
        <v>0</v>
      </c>
      <c r="AP16" s="77" t="n">
        <f aca="false">IF(AND(AP$6&gt;=$D16,AP$6&lt;=$F16),$C16/$E16,0)</f>
        <v>0</v>
      </c>
      <c r="AQ16" s="77" t="n">
        <f aca="false">IF(AND(AQ$6&gt;=$D16,AQ$6&lt;=$F16),$C16/$E16,0)</f>
        <v>0</v>
      </c>
      <c r="AR16" s="77" t="n">
        <f aca="false">IF(AND(AR$6&gt;=$D16,AR$6&lt;=$F16),$C16/$E16,0)</f>
        <v>0</v>
      </c>
      <c r="AS16" s="77" t="n">
        <f aca="false">IF(AND(AS$6&gt;=$D16,AS$6&lt;=$F16),$C16/$E16,0)</f>
        <v>0</v>
      </c>
      <c r="AT16" s="77" t="n">
        <f aca="false">IF(AND(AT$6&gt;=$D16,AT$6&lt;=$F16),$C16/$E16,0)</f>
        <v>0</v>
      </c>
      <c r="AU16" s="77" t="n">
        <f aca="false">IF(AND(AU$6&gt;=$D16,AU$6&lt;=$F16),$C16/$E16,0)</f>
        <v>0</v>
      </c>
      <c r="AV16" s="77" t="n">
        <f aca="false">IF(AND(AV$6&gt;=$D16,AV$6&lt;=$F16),$C16/$E16,0)</f>
        <v>0</v>
      </c>
      <c r="AW16" s="77" t="n">
        <f aca="false">IF(AND(AW$6&gt;=$D16,AW$6&lt;=$F16),$C16/$E16,0)</f>
        <v>0</v>
      </c>
    </row>
    <row r="17" customFormat="false" ht="25.5" hidden="false" customHeight="true" outlineLevel="0" collapsed="false">
      <c r="A17" s="28" t="n">
        <v>10</v>
      </c>
      <c r="B17" s="29" t="str">
        <f aca="false">"WORKSHOP LAS - "&amp;Rekap!B24</f>
        <v>WORKSHOP LAS - PEKERJAAN ARSITEKTURAL (WORKSHOP LAS)</v>
      </c>
      <c r="C17" s="75" t="n">
        <f aca="false">Rekap!C24/Rekap!$C$69</f>
        <v>0.0473715158596221</v>
      </c>
      <c r="D17" s="76" t="n">
        <v>22</v>
      </c>
      <c r="E17" s="76" t="n">
        <v>12</v>
      </c>
      <c r="F17" s="28" t="n">
        <f aca="false">D17+E17-1</f>
        <v>33</v>
      </c>
      <c r="G17" s="77" t="n">
        <f aca="false">IF(AND(G$6&gt;=$D17,G$6&lt;=$F17),$C17/$E17,0)</f>
        <v>0</v>
      </c>
      <c r="H17" s="77" t="n">
        <f aca="false">IF(AND(H$6&gt;=$D17,H$6&lt;=$F17),$C17/$E17,0)</f>
        <v>0</v>
      </c>
      <c r="I17" s="77" t="n">
        <f aca="false">IF(AND(I$6&gt;=$D17,I$6&lt;=$F17),$C17/$E17,0)</f>
        <v>0</v>
      </c>
      <c r="J17" s="77" t="n">
        <f aca="false">IF(AND(J$6&gt;=$D17,J$6&lt;=$F17),$C17/$E17,0)</f>
        <v>0</v>
      </c>
      <c r="K17" s="77" t="n">
        <f aca="false">IF(AND(K$6&gt;=$D17,K$6&lt;=$F17),$C17/$E17,0)</f>
        <v>0</v>
      </c>
      <c r="L17" s="77" t="n">
        <f aca="false">IF(AND(L$6&gt;=$D17,L$6&lt;=$F17),$C17/$E17,0)</f>
        <v>0</v>
      </c>
      <c r="M17" s="77" t="n">
        <f aca="false">IF(AND(M$6&gt;=$D17,M$6&lt;=$F17),$C17/$E17,0)</f>
        <v>0</v>
      </c>
      <c r="N17" s="77" t="n">
        <f aca="false">IF(AND(N$6&gt;=$D17,N$6&lt;=$F17),$C17/$E17,0)</f>
        <v>0</v>
      </c>
      <c r="O17" s="77" t="n">
        <f aca="false">IF(AND(O$6&gt;=$D17,O$6&lt;=$F17),$C17/$E17,0)</f>
        <v>0</v>
      </c>
      <c r="P17" s="77" t="n">
        <f aca="false">IF(AND(P$6&gt;=$D17,P$6&lt;=$F17),$C17/$E17,0)</f>
        <v>0</v>
      </c>
      <c r="Q17" s="77" t="n">
        <f aca="false">IF(AND(Q$6&gt;=$D17,Q$6&lt;=$F17),$C17/$E17,0)</f>
        <v>0</v>
      </c>
      <c r="R17" s="77" t="n">
        <f aca="false">IF(AND(R$6&gt;=$D17,R$6&lt;=$F17),$C17/$E17,0)</f>
        <v>0</v>
      </c>
      <c r="S17" s="77" t="n">
        <f aca="false">IF(AND(S$6&gt;=$D17,S$6&lt;=$F17),$C17/$E17,0)</f>
        <v>0</v>
      </c>
      <c r="T17" s="77" t="n">
        <f aca="false">IF(AND(T$6&gt;=$D17,T$6&lt;=$F17),$C17/$E17,0)</f>
        <v>0</v>
      </c>
      <c r="U17" s="77" t="n">
        <f aca="false">IF(AND(U$6&gt;=$D17,U$6&lt;=$F17),$C17/$E17,0)</f>
        <v>0</v>
      </c>
      <c r="V17" s="77" t="n">
        <f aca="false">IF(AND(V$6&gt;=$D17,V$6&lt;=$F17),$C17/$E17,0)</f>
        <v>0</v>
      </c>
      <c r="W17" s="77" t="n">
        <f aca="false">IF(AND(W$6&gt;=$D17,W$6&lt;=$F17),$C17/$E17,0)</f>
        <v>0</v>
      </c>
      <c r="X17" s="77" t="n">
        <f aca="false">IF(AND(X$6&gt;=$D17,X$6&lt;=$F17),$C17/$E17,0)</f>
        <v>0</v>
      </c>
      <c r="Y17" s="77" t="n">
        <f aca="false">IF(AND(Y$6&gt;=$D17,Y$6&lt;=$F17),$C17/$E17,0)</f>
        <v>0</v>
      </c>
      <c r="Z17" s="77" t="n">
        <f aca="false">IF(AND(Z$6&gt;=$D17,Z$6&lt;=$F17),$C17/$E17,0)</f>
        <v>0</v>
      </c>
      <c r="AA17" s="77" t="n">
        <f aca="false">IF(AND(AA$6&gt;=$D17,AA$6&lt;=$F17),$C17/$E17,0)</f>
        <v>0</v>
      </c>
      <c r="AB17" s="77" t="n">
        <f aca="false">IF(AND(AB$6&gt;=$D17,AB$6&lt;=$F17),$C17/$E17,0)</f>
        <v>0.00394762632163517</v>
      </c>
      <c r="AC17" s="77" t="n">
        <f aca="false">IF(AND(AC$6&gt;=$D17,AC$6&lt;=$F17),$C17/$E17,0)</f>
        <v>0.00394762632163517</v>
      </c>
      <c r="AD17" s="77" t="n">
        <f aca="false">IF(AND(AD$6&gt;=$D17,AD$6&lt;=$F17),$C17/$E17,0)</f>
        <v>0.00394762632163517</v>
      </c>
      <c r="AE17" s="77" t="n">
        <f aca="false">IF(AND(AE$6&gt;=$D17,AE$6&lt;=$F17),$C17/$E17,0)</f>
        <v>0.00394762632163517</v>
      </c>
      <c r="AF17" s="77" t="n">
        <f aca="false">IF(AND(AF$6&gt;=$D17,AF$6&lt;=$F17),$C17/$E17,0)</f>
        <v>0.00394762632163517</v>
      </c>
      <c r="AG17" s="77" t="n">
        <f aca="false">IF(AND(AG$6&gt;=$D17,AG$6&lt;=$F17),$C17/$E17,0)</f>
        <v>0.00394762632163517</v>
      </c>
      <c r="AH17" s="77" t="n">
        <f aca="false">IF(AND(AH$6&gt;=$D17,AH$6&lt;=$F17),$C17/$E17,0)</f>
        <v>0.00394762632163517</v>
      </c>
      <c r="AI17" s="77" t="n">
        <f aca="false">IF(AND(AI$6&gt;=$D17,AI$6&lt;=$F17),$C17/$E17,0)</f>
        <v>0.00394762632163517</v>
      </c>
      <c r="AJ17" s="77" t="n">
        <f aca="false">IF(AND(AJ$6&gt;=$D17,AJ$6&lt;=$F17),$C17/$E17,0)</f>
        <v>0.00394762632163517</v>
      </c>
      <c r="AK17" s="77" t="n">
        <f aca="false">IF(AND(AK$6&gt;=$D17,AK$6&lt;=$F17),$C17/$E17,0)</f>
        <v>0.00394762632163517</v>
      </c>
      <c r="AL17" s="77" t="n">
        <f aca="false">IF(AND(AL$6&gt;=$D17,AL$6&lt;=$F17),$C17/$E17,0)</f>
        <v>0.00394762632163517</v>
      </c>
      <c r="AM17" s="77" t="n">
        <f aca="false">IF(AND(AM$6&gt;=$D17,AM$6&lt;=$F17),$C17/$E17,0)</f>
        <v>0.00394762632163517</v>
      </c>
      <c r="AN17" s="77" t="n">
        <f aca="false">IF(AND(AN$6&gt;=$D17,AN$6&lt;=$F17),$C17/$E17,0)</f>
        <v>0</v>
      </c>
      <c r="AO17" s="77" t="n">
        <f aca="false">IF(AND(AO$6&gt;=$D17,AO$6&lt;=$F17),$C17/$E17,0)</f>
        <v>0</v>
      </c>
      <c r="AP17" s="77" t="n">
        <f aca="false">IF(AND(AP$6&gt;=$D17,AP$6&lt;=$F17),$C17/$E17,0)</f>
        <v>0</v>
      </c>
      <c r="AQ17" s="77" t="n">
        <f aca="false">IF(AND(AQ$6&gt;=$D17,AQ$6&lt;=$F17),$C17/$E17,0)</f>
        <v>0</v>
      </c>
      <c r="AR17" s="77" t="n">
        <f aca="false">IF(AND(AR$6&gt;=$D17,AR$6&lt;=$F17),$C17/$E17,0)</f>
        <v>0</v>
      </c>
      <c r="AS17" s="77" t="n">
        <f aca="false">IF(AND(AS$6&gt;=$D17,AS$6&lt;=$F17),$C17/$E17,0)</f>
        <v>0</v>
      </c>
      <c r="AT17" s="77" t="n">
        <f aca="false">IF(AND(AT$6&gt;=$D17,AT$6&lt;=$F17),$C17/$E17,0)</f>
        <v>0</v>
      </c>
      <c r="AU17" s="77" t="n">
        <f aca="false">IF(AND(AU$6&gt;=$D17,AU$6&lt;=$F17),$C17/$E17,0)</f>
        <v>0</v>
      </c>
      <c r="AV17" s="77" t="n">
        <f aca="false">IF(AND(AV$6&gt;=$D17,AV$6&lt;=$F17),$C17/$E17,0)</f>
        <v>0</v>
      </c>
      <c r="AW17" s="77" t="n">
        <f aca="false">IF(AND(AW$6&gt;=$D17,AW$6&lt;=$F17),$C17/$E17,0)</f>
        <v>0</v>
      </c>
    </row>
    <row r="18" customFormat="false" ht="25.5" hidden="false" customHeight="true" outlineLevel="0" collapsed="false">
      <c r="A18" s="28" t="n">
        <v>11</v>
      </c>
      <c r="B18" s="29" t="str">
        <f aca="false">"WORKSHOP LAS - "&amp;Rekap!B25</f>
        <v>WORKSHOP LAS - PEKERJAAN MEKANIKAL (WORKSHOP LAS)</v>
      </c>
      <c r="C18" s="75" t="n">
        <f aca="false">Rekap!C25/Rekap!$C$69</f>
        <v>0.0013998884791607</v>
      </c>
      <c r="D18" s="76" t="n">
        <v>30</v>
      </c>
      <c r="E18" s="76" t="n">
        <v>6</v>
      </c>
      <c r="F18" s="28" t="n">
        <f aca="false">D18+E18-1</f>
        <v>35</v>
      </c>
      <c r="G18" s="77" t="n">
        <f aca="false">IF(AND(G$6&gt;=$D18,G$6&lt;=$F18),$C18/$E18,0)</f>
        <v>0</v>
      </c>
      <c r="H18" s="77" t="n">
        <f aca="false">IF(AND(H$6&gt;=$D18,H$6&lt;=$F18),$C18/$E18,0)</f>
        <v>0</v>
      </c>
      <c r="I18" s="77" t="n">
        <f aca="false">IF(AND(I$6&gt;=$D18,I$6&lt;=$F18),$C18/$E18,0)</f>
        <v>0</v>
      </c>
      <c r="J18" s="77" t="n">
        <f aca="false">IF(AND(J$6&gt;=$D18,J$6&lt;=$F18),$C18/$E18,0)</f>
        <v>0</v>
      </c>
      <c r="K18" s="77" t="n">
        <f aca="false">IF(AND(K$6&gt;=$D18,K$6&lt;=$F18),$C18/$E18,0)</f>
        <v>0</v>
      </c>
      <c r="L18" s="77" t="n">
        <f aca="false">IF(AND(L$6&gt;=$D18,L$6&lt;=$F18),$C18/$E18,0)</f>
        <v>0</v>
      </c>
      <c r="M18" s="77" t="n">
        <f aca="false">IF(AND(M$6&gt;=$D18,M$6&lt;=$F18),$C18/$E18,0)</f>
        <v>0</v>
      </c>
      <c r="N18" s="77" t="n">
        <f aca="false">IF(AND(N$6&gt;=$D18,N$6&lt;=$F18),$C18/$E18,0)</f>
        <v>0</v>
      </c>
      <c r="O18" s="77" t="n">
        <f aca="false">IF(AND(O$6&gt;=$D18,O$6&lt;=$F18),$C18/$E18,0)</f>
        <v>0</v>
      </c>
      <c r="P18" s="77" t="n">
        <f aca="false">IF(AND(P$6&gt;=$D18,P$6&lt;=$F18),$C18/$E18,0)</f>
        <v>0</v>
      </c>
      <c r="Q18" s="77" t="n">
        <f aca="false">IF(AND(Q$6&gt;=$D18,Q$6&lt;=$F18),$C18/$E18,0)</f>
        <v>0</v>
      </c>
      <c r="R18" s="77" t="n">
        <f aca="false">IF(AND(R$6&gt;=$D18,R$6&lt;=$F18),$C18/$E18,0)</f>
        <v>0</v>
      </c>
      <c r="S18" s="77" t="n">
        <f aca="false">IF(AND(S$6&gt;=$D18,S$6&lt;=$F18),$C18/$E18,0)</f>
        <v>0</v>
      </c>
      <c r="T18" s="77" t="n">
        <f aca="false">IF(AND(T$6&gt;=$D18,T$6&lt;=$F18),$C18/$E18,0)</f>
        <v>0</v>
      </c>
      <c r="U18" s="77" t="n">
        <f aca="false">IF(AND(U$6&gt;=$D18,U$6&lt;=$F18),$C18/$E18,0)</f>
        <v>0</v>
      </c>
      <c r="V18" s="77" t="n">
        <f aca="false">IF(AND(V$6&gt;=$D18,V$6&lt;=$F18),$C18/$E18,0)</f>
        <v>0</v>
      </c>
      <c r="W18" s="77" t="n">
        <f aca="false">IF(AND(W$6&gt;=$D18,W$6&lt;=$F18),$C18/$E18,0)</f>
        <v>0</v>
      </c>
      <c r="X18" s="77" t="n">
        <f aca="false">IF(AND(X$6&gt;=$D18,X$6&lt;=$F18),$C18/$E18,0)</f>
        <v>0</v>
      </c>
      <c r="Y18" s="77" t="n">
        <f aca="false">IF(AND(Y$6&gt;=$D18,Y$6&lt;=$F18),$C18/$E18,0)</f>
        <v>0</v>
      </c>
      <c r="Z18" s="77" t="n">
        <f aca="false">IF(AND(Z$6&gt;=$D18,Z$6&lt;=$F18),$C18/$E18,0)</f>
        <v>0</v>
      </c>
      <c r="AA18" s="77" t="n">
        <f aca="false">IF(AND(AA$6&gt;=$D18,AA$6&lt;=$F18),$C18/$E18,0)</f>
        <v>0</v>
      </c>
      <c r="AB18" s="77" t="n">
        <f aca="false">IF(AND(AB$6&gt;=$D18,AB$6&lt;=$F18),$C18/$E18,0)</f>
        <v>0</v>
      </c>
      <c r="AC18" s="77" t="n">
        <f aca="false">IF(AND(AC$6&gt;=$D18,AC$6&lt;=$F18),$C18/$E18,0)</f>
        <v>0</v>
      </c>
      <c r="AD18" s="77" t="n">
        <f aca="false">IF(AND(AD$6&gt;=$D18,AD$6&lt;=$F18),$C18/$E18,0)</f>
        <v>0</v>
      </c>
      <c r="AE18" s="77" t="n">
        <f aca="false">IF(AND(AE$6&gt;=$D18,AE$6&lt;=$F18),$C18/$E18,0)</f>
        <v>0</v>
      </c>
      <c r="AF18" s="77" t="n">
        <f aca="false">IF(AND(AF$6&gt;=$D18,AF$6&lt;=$F18),$C18/$E18,0)</f>
        <v>0</v>
      </c>
      <c r="AG18" s="77" t="n">
        <f aca="false">IF(AND(AG$6&gt;=$D18,AG$6&lt;=$F18),$C18/$E18,0)</f>
        <v>0</v>
      </c>
      <c r="AH18" s="77" t="n">
        <f aca="false">IF(AND(AH$6&gt;=$D18,AH$6&lt;=$F18),$C18/$E18,0)</f>
        <v>0</v>
      </c>
      <c r="AI18" s="77" t="n">
        <f aca="false">IF(AND(AI$6&gt;=$D18,AI$6&lt;=$F18),$C18/$E18,0)</f>
        <v>0</v>
      </c>
      <c r="AJ18" s="77" t="n">
        <f aca="false">IF(AND(AJ$6&gt;=$D18,AJ$6&lt;=$F18),$C18/$E18,0)</f>
        <v>0.000233314746526784</v>
      </c>
      <c r="AK18" s="77" t="n">
        <f aca="false">IF(AND(AK$6&gt;=$D18,AK$6&lt;=$F18),$C18/$E18,0)</f>
        <v>0.000233314746526784</v>
      </c>
      <c r="AL18" s="77" t="n">
        <f aca="false">IF(AND(AL$6&gt;=$D18,AL$6&lt;=$F18),$C18/$E18,0)</f>
        <v>0.000233314746526784</v>
      </c>
      <c r="AM18" s="77" t="n">
        <f aca="false">IF(AND(AM$6&gt;=$D18,AM$6&lt;=$F18),$C18/$E18,0)</f>
        <v>0.000233314746526784</v>
      </c>
      <c r="AN18" s="77" t="n">
        <f aca="false">IF(AND(AN$6&gt;=$D18,AN$6&lt;=$F18),$C18/$E18,0)</f>
        <v>0.000233314746526784</v>
      </c>
      <c r="AO18" s="77" t="n">
        <f aca="false">IF(AND(AO$6&gt;=$D18,AO$6&lt;=$F18),$C18/$E18,0)</f>
        <v>0.000233314746526784</v>
      </c>
      <c r="AP18" s="77" t="n">
        <f aca="false">IF(AND(AP$6&gt;=$D18,AP$6&lt;=$F18),$C18/$E18,0)</f>
        <v>0</v>
      </c>
      <c r="AQ18" s="77" t="n">
        <f aca="false">IF(AND(AQ$6&gt;=$D18,AQ$6&lt;=$F18),$C18/$E18,0)</f>
        <v>0</v>
      </c>
      <c r="AR18" s="77" t="n">
        <f aca="false">IF(AND(AR$6&gt;=$D18,AR$6&lt;=$F18),$C18/$E18,0)</f>
        <v>0</v>
      </c>
      <c r="AS18" s="77" t="n">
        <f aca="false">IF(AND(AS$6&gt;=$D18,AS$6&lt;=$F18),$C18/$E18,0)</f>
        <v>0</v>
      </c>
      <c r="AT18" s="77" t="n">
        <f aca="false">IF(AND(AT$6&gt;=$D18,AT$6&lt;=$F18),$C18/$E18,0)</f>
        <v>0</v>
      </c>
      <c r="AU18" s="77" t="n">
        <f aca="false">IF(AND(AU$6&gt;=$D18,AU$6&lt;=$F18),$C18/$E18,0)</f>
        <v>0</v>
      </c>
      <c r="AV18" s="77" t="n">
        <f aca="false">IF(AND(AV$6&gt;=$D18,AV$6&lt;=$F18),$C18/$E18,0)</f>
        <v>0</v>
      </c>
      <c r="AW18" s="77" t="n">
        <f aca="false">IF(AND(AW$6&gt;=$D18,AW$6&lt;=$F18),$C18/$E18,0)</f>
        <v>0</v>
      </c>
    </row>
    <row r="19" customFormat="false" ht="25.5" hidden="false" customHeight="true" outlineLevel="0" collapsed="false">
      <c r="A19" s="28" t="n">
        <v>12</v>
      </c>
      <c r="B19" s="29" t="str">
        <f aca="false">"WORKSHOP LAS - "&amp;Rekap!B26</f>
        <v>WORKSHOP LAS - PEKERJAAN PLUMBING (WORKSHOP LAS)</v>
      </c>
      <c r="C19" s="75" t="n">
        <f aca="false">Rekap!C26/Rekap!$C$69</f>
        <v>0.00335015904501492</v>
      </c>
      <c r="D19" s="76" t="n">
        <v>27</v>
      </c>
      <c r="E19" s="76" t="n">
        <v>9</v>
      </c>
      <c r="F19" s="28" t="n">
        <f aca="false">D19+E19-1</f>
        <v>35</v>
      </c>
      <c r="G19" s="77" t="n">
        <f aca="false">IF(AND(G$6&gt;=$D19,G$6&lt;=$F19),$C19/$E19,0)</f>
        <v>0</v>
      </c>
      <c r="H19" s="77" t="n">
        <f aca="false">IF(AND(H$6&gt;=$D19,H$6&lt;=$F19),$C19/$E19,0)</f>
        <v>0</v>
      </c>
      <c r="I19" s="77" t="n">
        <f aca="false">IF(AND(I$6&gt;=$D19,I$6&lt;=$F19),$C19/$E19,0)</f>
        <v>0</v>
      </c>
      <c r="J19" s="77" t="n">
        <f aca="false">IF(AND(J$6&gt;=$D19,J$6&lt;=$F19),$C19/$E19,0)</f>
        <v>0</v>
      </c>
      <c r="K19" s="77" t="n">
        <f aca="false">IF(AND(K$6&gt;=$D19,K$6&lt;=$F19),$C19/$E19,0)</f>
        <v>0</v>
      </c>
      <c r="L19" s="77" t="n">
        <f aca="false">IF(AND(L$6&gt;=$D19,L$6&lt;=$F19),$C19/$E19,0)</f>
        <v>0</v>
      </c>
      <c r="M19" s="77" t="n">
        <f aca="false">IF(AND(M$6&gt;=$D19,M$6&lt;=$F19),$C19/$E19,0)</f>
        <v>0</v>
      </c>
      <c r="N19" s="77" t="n">
        <f aca="false">IF(AND(N$6&gt;=$D19,N$6&lt;=$F19),$C19/$E19,0)</f>
        <v>0</v>
      </c>
      <c r="O19" s="77" t="n">
        <f aca="false">IF(AND(O$6&gt;=$D19,O$6&lt;=$F19),$C19/$E19,0)</f>
        <v>0</v>
      </c>
      <c r="P19" s="77" t="n">
        <f aca="false">IF(AND(P$6&gt;=$D19,P$6&lt;=$F19),$C19/$E19,0)</f>
        <v>0</v>
      </c>
      <c r="Q19" s="77" t="n">
        <f aca="false">IF(AND(Q$6&gt;=$D19,Q$6&lt;=$F19),$C19/$E19,0)</f>
        <v>0</v>
      </c>
      <c r="R19" s="77" t="n">
        <f aca="false">IF(AND(R$6&gt;=$D19,R$6&lt;=$F19),$C19/$E19,0)</f>
        <v>0</v>
      </c>
      <c r="S19" s="77" t="n">
        <f aca="false">IF(AND(S$6&gt;=$D19,S$6&lt;=$F19),$C19/$E19,0)</f>
        <v>0</v>
      </c>
      <c r="T19" s="77" t="n">
        <f aca="false">IF(AND(T$6&gt;=$D19,T$6&lt;=$F19),$C19/$E19,0)</f>
        <v>0</v>
      </c>
      <c r="U19" s="77" t="n">
        <f aca="false">IF(AND(U$6&gt;=$D19,U$6&lt;=$F19),$C19/$E19,0)</f>
        <v>0</v>
      </c>
      <c r="V19" s="77" t="n">
        <f aca="false">IF(AND(V$6&gt;=$D19,V$6&lt;=$F19),$C19/$E19,0)</f>
        <v>0</v>
      </c>
      <c r="W19" s="77" t="n">
        <f aca="false">IF(AND(W$6&gt;=$D19,W$6&lt;=$F19),$C19/$E19,0)</f>
        <v>0</v>
      </c>
      <c r="X19" s="77" t="n">
        <f aca="false">IF(AND(X$6&gt;=$D19,X$6&lt;=$F19),$C19/$E19,0)</f>
        <v>0</v>
      </c>
      <c r="Y19" s="77" t="n">
        <f aca="false">IF(AND(Y$6&gt;=$D19,Y$6&lt;=$F19),$C19/$E19,0)</f>
        <v>0</v>
      </c>
      <c r="Z19" s="77" t="n">
        <f aca="false">IF(AND(Z$6&gt;=$D19,Z$6&lt;=$F19),$C19/$E19,0)</f>
        <v>0</v>
      </c>
      <c r="AA19" s="77" t="n">
        <f aca="false">IF(AND(AA$6&gt;=$D19,AA$6&lt;=$F19),$C19/$E19,0)</f>
        <v>0</v>
      </c>
      <c r="AB19" s="77" t="n">
        <f aca="false">IF(AND(AB$6&gt;=$D19,AB$6&lt;=$F19),$C19/$E19,0)</f>
        <v>0</v>
      </c>
      <c r="AC19" s="77" t="n">
        <f aca="false">IF(AND(AC$6&gt;=$D19,AC$6&lt;=$F19),$C19/$E19,0)</f>
        <v>0</v>
      </c>
      <c r="AD19" s="77" t="n">
        <f aca="false">IF(AND(AD$6&gt;=$D19,AD$6&lt;=$F19),$C19/$E19,0)</f>
        <v>0</v>
      </c>
      <c r="AE19" s="77" t="n">
        <f aca="false">IF(AND(AE$6&gt;=$D19,AE$6&lt;=$F19),$C19/$E19,0)</f>
        <v>0</v>
      </c>
      <c r="AF19" s="77" t="n">
        <f aca="false">IF(AND(AF$6&gt;=$D19,AF$6&lt;=$F19),$C19/$E19,0)</f>
        <v>0</v>
      </c>
      <c r="AG19" s="77" t="n">
        <f aca="false">IF(AND(AG$6&gt;=$D19,AG$6&lt;=$F19),$C19/$E19,0)</f>
        <v>0.000372239893890547</v>
      </c>
      <c r="AH19" s="77" t="n">
        <f aca="false">IF(AND(AH$6&gt;=$D19,AH$6&lt;=$F19),$C19/$E19,0)</f>
        <v>0.000372239893890547</v>
      </c>
      <c r="AI19" s="77" t="n">
        <f aca="false">IF(AND(AI$6&gt;=$D19,AI$6&lt;=$F19),$C19/$E19,0)</f>
        <v>0.000372239893890547</v>
      </c>
      <c r="AJ19" s="77" t="n">
        <f aca="false">IF(AND(AJ$6&gt;=$D19,AJ$6&lt;=$F19),$C19/$E19,0)</f>
        <v>0.000372239893890547</v>
      </c>
      <c r="AK19" s="77" t="n">
        <f aca="false">IF(AND(AK$6&gt;=$D19,AK$6&lt;=$F19),$C19/$E19,0)</f>
        <v>0.000372239893890547</v>
      </c>
      <c r="AL19" s="77" t="n">
        <f aca="false">IF(AND(AL$6&gt;=$D19,AL$6&lt;=$F19),$C19/$E19,0)</f>
        <v>0.000372239893890547</v>
      </c>
      <c r="AM19" s="77" t="n">
        <f aca="false">IF(AND(AM$6&gt;=$D19,AM$6&lt;=$F19),$C19/$E19,0)</f>
        <v>0.000372239893890547</v>
      </c>
      <c r="AN19" s="77" t="n">
        <f aca="false">IF(AND(AN$6&gt;=$D19,AN$6&lt;=$F19),$C19/$E19,0)</f>
        <v>0.000372239893890547</v>
      </c>
      <c r="AO19" s="77" t="n">
        <f aca="false">IF(AND(AO$6&gt;=$D19,AO$6&lt;=$F19),$C19/$E19,0)</f>
        <v>0.000372239893890547</v>
      </c>
      <c r="AP19" s="77" t="n">
        <f aca="false">IF(AND(AP$6&gt;=$D19,AP$6&lt;=$F19),$C19/$E19,0)</f>
        <v>0</v>
      </c>
      <c r="AQ19" s="77" t="n">
        <f aca="false">IF(AND(AQ$6&gt;=$D19,AQ$6&lt;=$F19),$C19/$E19,0)</f>
        <v>0</v>
      </c>
      <c r="AR19" s="77" t="n">
        <f aca="false">IF(AND(AR$6&gt;=$D19,AR$6&lt;=$F19),$C19/$E19,0)</f>
        <v>0</v>
      </c>
      <c r="AS19" s="77" t="n">
        <f aca="false">IF(AND(AS$6&gt;=$D19,AS$6&lt;=$F19),$C19/$E19,0)</f>
        <v>0</v>
      </c>
      <c r="AT19" s="77" t="n">
        <f aca="false">IF(AND(AT$6&gt;=$D19,AT$6&lt;=$F19),$C19/$E19,0)</f>
        <v>0</v>
      </c>
      <c r="AU19" s="77" t="n">
        <f aca="false">IF(AND(AU$6&gt;=$D19,AU$6&lt;=$F19),$C19/$E19,0)</f>
        <v>0</v>
      </c>
      <c r="AV19" s="77" t="n">
        <f aca="false">IF(AND(AV$6&gt;=$D19,AV$6&lt;=$F19),$C19/$E19,0)</f>
        <v>0</v>
      </c>
      <c r="AW19" s="77" t="n">
        <f aca="false">IF(AND(AW$6&gt;=$D19,AW$6&lt;=$F19),$C19/$E19,0)</f>
        <v>0</v>
      </c>
    </row>
    <row r="20" customFormat="false" ht="25.5" hidden="false" customHeight="true" outlineLevel="0" collapsed="false">
      <c r="A20" s="28" t="n">
        <v>13</v>
      </c>
      <c r="B20" s="29" t="str">
        <f aca="false">"WORKSHOP LAS - "&amp;Rekap!B27</f>
        <v>WORKSHOP LAS - PEKERJAAN ELEKTRIKAL (WORKSHOP LAS)</v>
      </c>
      <c r="C20" s="75" t="n">
        <f aca="false">Rekap!C27/Rekap!$C$69</f>
        <v>0.00350977560780123</v>
      </c>
      <c r="D20" s="76" t="n">
        <v>29</v>
      </c>
      <c r="E20" s="76" t="n">
        <v>10</v>
      </c>
      <c r="F20" s="28" t="n">
        <f aca="false">D20+E20-1</f>
        <v>38</v>
      </c>
      <c r="G20" s="77" t="n">
        <f aca="false">IF(AND(G$6&gt;=$D20,G$6&lt;=$F20),$C20/$E20,0)</f>
        <v>0</v>
      </c>
      <c r="H20" s="77" t="n">
        <f aca="false">IF(AND(H$6&gt;=$D20,H$6&lt;=$F20),$C20/$E20,0)</f>
        <v>0</v>
      </c>
      <c r="I20" s="77" t="n">
        <f aca="false">IF(AND(I$6&gt;=$D20,I$6&lt;=$F20),$C20/$E20,0)</f>
        <v>0</v>
      </c>
      <c r="J20" s="77" t="n">
        <f aca="false">IF(AND(J$6&gt;=$D20,J$6&lt;=$F20),$C20/$E20,0)</f>
        <v>0</v>
      </c>
      <c r="K20" s="77" t="n">
        <f aca="false">IF(AND(K$6&gt;=$D20,K$6&lt;=$F20),$C20/$E20,0)</f>
        <v>0</v>
      </c>
      <c r="L20" s="77" t="n">
        <f aca="false">IF(AND(L$6&gt;=$D20,L$6&lt;=$F20),$C20/$E20,0)</f>
        <v>0</v>
      </c>
      <c r="M20" s="77" t="n">
        <f aca="false">IF(AND(M$6&gt;=$D20,M$6&lt;=$F20),$C20/$E20,0)</f>
        <v>0</v>
      </c>
      <c r="N20" s="77" t="n">
        <f aca="false">IF(AND(N$6&gt;=$D20,N$6&lt;=$F20),$C20/$E20,0)</f>
        <v>0</v>
      </c>
      <c r="O20" s="77" t="n">
        <f aca="false">IF(AND(O$6&gt;=$D20,O$6&lt;=$F20),$C20/$E20,0)</f>
        <v>0</v>
      </c>
      <c r="P20" s="77" t="n">
        <f aca="false">IF(AND(P$6&gt;=$D20,P$6&lt;=$F20),$C20/$E20,0)</f>
        <v>0</v>
      </c>
      <c r="Q20" s="77" t="n">
        <f aca="false">IF(AND(Q$6&gt;=$D20,Q$6&lt;=$F20),$C20/$E20,0)</f>
        <v>0</v>
      </c>
      <c r="R20" s="77" t="n">
        <f aca="false">IF(AND(R$6&gt;=$D20,R$6&lt;=$F20),$C20/$E20,0)</f>
        <v>0</v>
      </c>
      <c r="S20" s="77" t="n">
        <f aca="false">IF(AND(S$6&gt;=$D20,S$6&lt;=$F20),$C20/$E20,0)</f>
        <v>0</v>
      </c>
      <c r="T20" s="77" t="n">
        <f aca="false">IF(AND(T$6&gt;=$D20,T$6&lt;=$F20),$C20/$E20,0)</f>
        <v>0</v>
      </c>
      <c r="U20" s="77" t="n">
        <f aca="false">IF(AND(U$6&gt;=$D20,U$6&lt;=$F20),$C20/$E20,0)</f>
        <v>0</v>
      </c>
      <c r="V20" s="77" t="n">
        <f aca="false">IF(AND(V$6&gt;=$D20,V$6&lt;=$F20),$C20/$E20,0)</f>
        <v>0</v>
      </c>
      <c r="W20" s="77" t="n">
        <f aca="false">IF(AND(W$6&gt;=$D20,W$6&lt;=$F20),$C20/$E20,0)</f>
        <v>0</v>
      </c>
      <c r="X20" s="77" t="n">
        <f aca="false">IF(AND(X$6&gt;=$D20,X$6&lt;=$F20),$C20/$E20,0)</f>
        <v>0</v>
      </c>
      <c r="Y20" s="77" t="n">
        <f aca="false">IF(AND(Y$6&gt;=$D20,Y$6&lt;=$F20),$C20/$E20,0)</f>
        <v>0</v>
      </c>
      <c r="Z20" s="77" t="n">
        <f aca="false">IF(AND(Z$6&gt;=$D20,Z$6&lt;=$F20),$C20/$E20,0)</f>
        <v>0</v>
      </c>
      <c r="AA20" s="77" t="n">
        <f aca="false">IF(AND(AA$6&gt;=$D20,AA$6&lt;=$F20),$C20/$E20,0)</f>
        <v>0</v>
      </c>
      <c r="AB20" s="77" t="n">
        <f aca="false">IF(AND(AB$6&gt;=$D20,AB$6&lt;=$F20),$C20/$E20,0)</f>
        <v>0</v>
      </c>
      <c r="AC20" s="77" t="n">
        <f aca="false">IF(AND(AC$6&gt;=$D20,AC$6&lt;=$F20),$C20/$E20,0)</f>
        <v>0</v>
      </c>
      <c r="AD20" s="77" t="n">
        <f aca="false">IF(AND(AD$6&gt;=$D20,AD$6&lt;=$F20),$C20/$E20,0)</f>
        <v>0</v>
      </c>
      <c r="AE20" s="77" t="n">
        <f aca="false">IF(AND(AE$6&gt;=$D20,AE$6&lt;=$F20),$C20/$E20,0)</f>
        <v>0</v>
      </c>
      <c r="AF20" s="77" t="n">
        <f aca="false">IF(AND(AF$6&gt;=$D20,AF$6&lt;=$F20),$C20/$E20,0)</f>
        <v>0</v>
      </c>
      <c r="AG20" s="77" t="n">
        <f aca="false">IF(AND(AG$6&gt;=$D20,AG$6&lt;=$F20),$C20/$E20,0)</f>
        <v>0</v>
      </c>
      <c r="AH20" s="77" t="n">
        <f aca="false">IF(AND(AH$6&gt;=$D20,AH$6&lt;=$F20),$C20/$E20,0)</f>
        <v>0</v>
      </c>
      <c r="AI20" s="77" t="n">
        <f aca="false">IF(AND(AI$6&gt;=$D20,AI$6&lt;=$F20),$C20/$E20,0)</f>
        <v>0.000350977560780123</v>
      </c>
      <c r="AJ20" s="77" t="n">
        <f aca="false">IF(AND(AJ$6&gt;=$D20,AJ$6&lt;=$F20),$C20/$E20,0)</f>
        <v>0.000350977560780123</v>
      </c>
      <c r="AK20" s="77" t="n">
        <f aca="false">IF(AND(AK$6&gt;=$D20,AK$6&lt;=$F20),$C20/$E20,0)</f>
        <v>0.000350977560780123</v>
      </c>
      <c r="AL20" s="77" t="n">
        <f aca="false">IF(AND(AL$6&gt;=$D20,AL$6&lt;=$F20),$C20/$E20,0)</f>
        <v>0.000350977560780123</v>
      </c>
      <c r="AM20" s="77" t="n">
        <f aca="false">IF(AND(AM$6&gt;=$D20,AM$6&lt;=$F20),$C20/$E20,0)</f>
        <v>0.000350977560780123</v>
      </c>
      <c r="AN20" s="77" t="n">
        <f aca="false">IF(AND(AN$6&gt;=$D20,AN$6&lt;=$F20),$C20/$E20,0)</f>
        <v>0.000350977560780123</v>
      </c>
      <c r="AO20" s="77" t="n">
        <f aca="false">IF(AND(AO$6&gt;=$D20,AO$6&lt;=$F20),$C20/$E20,0)</f>
        <v>0.000350977560780123</v>
      </c>
      <c r="AP20" s="77" t="n">
        <f aca="false">IF(AND(AP$6&gt;=$D20,AP$6&lt;=$F20),$C20/$E20,0)</f>
        <v>0.000350977560780123</v>
      </c>
      <c r="AQ20" s="77" t="n">
        <f aca="false">IF(AND(AQ$6&gt;=$D20,AQ$6&lt;=$F20),$C20/$E20,0)</f>
        <v>0.000350977560780123</v>
      </c>
      <c r="AR20" s="77" t="n">
        <f aca="false">IF(AND(AR$6&gt;=$D20,AR$6&lt;=$F20),$C20/$E20,0)</f>
        <v>0.000350977560780123</v>
      </c>
      <c r="AS20" s="77" t="n">
        <f aca="false">IF(AND(AS$6&gt;=$D20,AS$6&lt;=$F20),$C20/$E20,0)</f>
        <v>0</v>
      </c>
      <c r="AT20" s="77" t="n">
        <f aca="false">IF(AND(AT$6&gt;=$D20,AT$6&lt;=$F20),$C20/$E20,0)</f>
        <v>0</v>
      </c>
      <c r="AU20" s="77" t="n">
        <f aca="false">IF(AND(AU$6&gt;=$D20,AU$6&lt;=$F20),$C20/$E20,0)</f>
        <v>0</v>
      </c>
      <c r="AV20" s="77" t="n">
        <f aca="false">IF(AND(AV$6&gt;=$D20,AV$6&lt;=$F20),$C20/$E20,0)</f>
        <v>0</v>
      </c>
      <c r="AW20" s="77" t="n">
        <f aca="false">IF(AND(AW$6&gt;=$D20,AW$6&lt;=$F20),$C20/$E20,0)</f>
        <v>0</v>
      </c>
    </row>
    <row r="21" customFormat="false" ht="25.5" hidden="false" customHeight="true" outlineLevel="0" collapsed="false">
      <c r="A21" s="28" t="n">
        <v>14</v>
      </c>
      <c r="B21" s="29" t="str">
        <f aca="false">"WORKSHOP MEKANIK - "&amp;Rekap!B30</f>
        <v>WORKSHOP MEKANIK - PEKERJAAN TANAH (WORKSHOP MEKANIK)</v>
      </c>
      <c r="C21" s="75" t="n">
        <f aca="false">Rekap!C30/Rekap!$C$69</f>
        <v>0.00302807365830994</v>
      </c>
      <c r="D21" s="76" t="n">
        <v>9</v>
      </c>
      <c r="E21" s="76" t="n">
        <v>4</v>
      </c>
      <c r="F21" s="28" t="n">
        <f aca="false">D21+E21-1</f>
        <v>12</v>
      </c>
      <c r="G21" s="77" t="n">
        <f aca="false">IF(AND(G$6&gt;=$D21,G$6&lt;=$F21),$C21/$E21,0)</f>
        <v>0</v>
      </c>
      <c r="H21" s="77" t="n">
        <f aca="false">IF(AND(H$6&gt;=$D21,H$6&lt;=$F21),$C21/$E21,0)</f>
        <v>0</v>
      </c>
      <c r="I21" s="77" t="n">
        <f aca="false">IF(AND(I$6&gt;=$D21,I$6&lt;=$F21),$C21/$E21,0)</f>
        <v>0</v>
      </c>
      <c r="J21" s="77" t="n">
        <f aca="false">IF(AND(J$6&gt;=$D21,J$6&lt;=$F21),$C21/$E21,0)</f>
        <v>0</v>
      </c>
      <c r="K21" s="77" t="n">
        <f aca="false">IF(AND(K$6&gt;=$D21,K$6&lt;=$F21),$C21/$E21,0)</f>
        <v>0</v>
      </c>
      <c r="L21" s="77" t="n">
        <f aca="false">IF(AND(L$6&gt;=$D21,L$6&lt;=$F21),$C21/$E21,0)</f>
        <v>0</v>
      </c>
      <c r="M21" s="77" t="n">
        <f aca="false">IF(AND(M$6&gt;=$D21,M$6&lt;=$F21),$C21/$E21,0)</f>
        <v>0</v>
      </c>
      <c r="N21" s="77" t="n">
        <f aca="false">IF(AND(N$6&gt;=$D21,N$6&lt;=$F21),$C21/$E21,0)</f>
        <v>0</v>
      </c>
      <c r="O21" s="77" t="n">
        <f aca="false">IF(AND(O$6&gt;=$D21,O$6&lt;=$F21),$C21/$E21,0)</f>
        <v>0.000757018414577485</v>
      </c>
      <c r="P21" s="77" t="n">
        <f aca="false">IF(AND(P$6&gt;=$D21,P$6&lt;=$F21),$C21/$E21,0)</f>
        <v>0.000757018414577485</v>
      </c>
      <c r="Q21" s="77" t="n">
        <f aca="false">IF(AND(Q$6&gt;=$D21,Q$6&lt;=$F21),$C21/$E21,0)</f>
        <v>0.000757018414577485</v>
      </c>
      <c r="R21" s="77" t="n">
        <f aca="false">IF(AND(R$6&gt;=$D21,R$6&lt;=$F21),$C21/$E21,0)</f>
        <v>0.000757018414577485</v>
      </c>
      <c r="S21" s="77" t="n">
        <f aca="false">IF(AND(S$6&gt;=$D21,S$6&lt;=$F21),$C21/$E21,0)</f>
        <v>0</v>
      </c>
      <c r="T21" s="77" t="n">
        <f aca="false">IF(AND(T$6&gt;=$D21,T$6&lt;=$F21),$C21/$E21,0)</f>
        <v>0</v>
      </c>
      <c r="U21" s="77" t="n">
        <f aca="false">IF(AND(U$6&gt;=$D21,U$6&lt;=$F21),$C21/$E21,0)</f>
        <v>0</v>
      </c>
      <c r="V21" s="77" t="n">
        <f aca="false">IF(AND(V$6&gt;=$D21,V$6&lt;=$F21),$C21/$E21,0)</f>
        <v>0</v>
      </c>
      <c r="W21" s="77" t="n">
        <f aca="false">IF(AND(W$6&gt;=$D21,W$6&lt;=$F21),$C21/$E21,0)</f>
        <v>0</v>
      </c>
      <c r="X21" s="77" t="n">
        <f aca="false">IF(AND(X$6&gt;=$D21,X$6&lt;=$F21),$C21/$E21,0)</f>
        <v>0</v>
      </c>
      <c r="Y21" s="77" t="n">
        <f aca="false">IF(AND(Y$6&gt;=$D21,Y$6&lt;=$F21),$C21/$E21,0)</f>
        <v>0</v>
      </c>
      <c r="Z21" s="77" t="n">
        <f aca="false">IF(AND(Z$6&gt;=$D21,Z$6&lt;=$F21),$C21/$E21,0)</f>
        <v>0</v>
      </c>
      <c r="AA21" s="77" t="n">
        <f aca="false">IF(AND(AA$6&gt;=$D21,AA$6&lt;=$F21),$C21/$E21,0)</f>
        <v>0</v>
      </c>
      <c r="AB21" s="77" t="n">
        <f aca="false">IF(AND(AB$6&gt;=$D21,AB$6&lt;=$F21),$C21/$E21,0)</f>
        <v>0</v>
      </c>
      <c r="AC21" s="77" t="n">
        <f aca="false">IF(AND(AC$6&gt;=$D21,AC$6&lt;=$F21),$C21/$E21,0)</f>
        <v>0</v>
      </c>
      <c r="AD21" s="77" t="n">
        <f aca="false">IF(AND(AD$6&gt;=$D21,AD$6&lt;=$F21),$C21/$E21,0)</f>
        <v>0</v>
      </c>
      <c r="AE21" s="77" t="n">
        <f aca="false">IF(AND(AE$6&gt;=$D21,AE$6&lt;=$F21),$C21/$E21,0)</f>
        <v>0</v>
      </c>
      <c r="AF21" s="77" t="n">
        <f aca="false">IF(AND(AF$6&gt;=$D21,AF$6&lt;=$F21),$C21/$E21,0)</f>
        <v>0</v>
      </c>
      <c r="AG21" s="77" t="n">
        <f aca="false">IF(AND(AG$6&gt;=$D21,AG$6&lt;=$F21),$C21/$E21,0)</f>
        <v>0</v>
      </c>
      <c r="AH21" s="77" t="n">
        <f aca="false">IF(AND(AH$6&gt;=$D21,AH$6&lt;=$F21),$C21/$E21,0)</f>
        <v>0</v>
      </c>
      <c r="AI21" s="77" t="n">
        <f aca="false">IF(AND(AI$6&gt;=$D21,AI$6&lt;=$F21),$C21/$E21,0)</f>
        <v>0</v>
      </c>
      <c r="AJ21" s="77" t="n">
        <f aca="false">IF(AND(AJ$6&gt;=$D21,AJ$6&lt;=$F21),$C21/$E21,0)</f>
        <v>0</v>
      </c>
      <c r="AK21" s="77" t="n">
        <f aca="false">IF(AND(AK$6&gt;=$D21,AK$6&lt;=$F21),$C21/$E21,0)</f>
        <v>0</v>
      </c>
      <c r="AL21" s="77" t="n">
        <f aca="false">IF(AND(AL$6&gt;=$D21,AL$6&lt;=$F21),$C21/$E21,0)</f>
        <v>0</v>
      </c>
      <c r="AM21" s="77" t="n">
        <f aca="false">IF(AND(AM$6&gt;=$D21,AM$6&lt;=$F21),$C21/$E21,0)</f>
        <v>0</v>
      </c>
      <c r="AN21" s="77" t="n">
        <f aca="false">IF(AND(AN$6&gt;=$D21,AN$6&lt;=$F21),$C21/$E21,0)</f>
        <v>0</v>
      </c>
      <c r="AO21" s="77" t="n">
        <f aca="false">IF(AND(AO$6&gt;=$D21,AO$6&lt;=$F21),$C21/$E21,0)</f>
        <v>0</v>
      </c>
      <c r="AP21" s="77" t="n">
        <f aca="false">IF(AND(AP$6&gt;=$D21,AP$6&lt;=$F21),$C21/$E21,0)</f>
        <v>0</v>
      </c>
      <c r="AQ21" s="77" t="n">
        <f aca="false">IF(AND(AQ$6&gt;=$D21,AQ$6&lt;=$F21),$C21/$E21,0)</f>
        <v>0</v>
      </c>
      <c r="AR21" s="77" t="n">
        <f aca="false">IF(AND(AR$6&gt;=$D21,AR$6&lt;=$F21),$C21/$E21,0)</f>
        <v>0</v>
      </c>
      <c r="AS21" s="77" t="n">
        <f aca="false">IF(AND(AS$6&gt;=$D21,AS$6&lt;=$F21),$C21/$E21,0)</f>
        <v>0</v>
      </c>
      <c r="AT21" s="77" t="n">
        <f aca="false">IF(AND(AT$6&gt;=$D21,AT$6&lt;=$F21),$C21/$E21,0)</f>
        <v>0</v>
      </c>
      <c r="AU21" s="77" t="n">
        <f aca="false">IF(AND(AU$6&gt;=$D21,AU$6&lt;=$F21),$C21/$E21,0)</f>
        <v>0</v>
      </c>
      <c r="AV21" s="77" t="n">
        <f aca="false">IF(AND(AV$6&gt;=$D21,AV$6&lt;=$F21),$C21/$E21,0)</f>
        <v>0</v>
      </c>
      <c r="AW21" s="77" t="n">
        <f aca="false">IF(AND(AW$6&gt;=$D21,AW$6&lt;=$F21),$C21/$E21,0)</f>
        <v>0</v>
      </c>
    </row>
    <row r="22" customFormat="false" ht="25.5" hidden="false" customHeight="true" outlineLevel="0" collapsed="false">
      <c r="A22" s="28" t="n">
        <v>15</v>
      </c>
      <c r="B22" s="29" t="str">
        <f aca="false">"WORKSHOP MEKANIK - "&amp;Rekap!B31</f>
        <v>WORKSHOP MEKANIK - PEKERJAAN STRUKTURAL (WORKSHOP MEKANIK)</v>
      </c>
      <c r="C22" s="75" t="n">
        <f aca="false">Rekap!C31/Rekap!$C$69</f>
        <v>0.0581213727366147</v>
      </c>
      <c r="D22" s="76" t="n">
        <v>12</v>
      </c>
      <c r="E22" s="76" t="n">
        <v>15</v>
      </c>
      <c r="F22" s="28" t="n">
        <f aca="false">D22+E22-1</f>
        <v>26</v>
      </c>
      <c r="G22" s="77" t="n">
        <f aca="false">IF(AND(G$6&gt;=$D22,G$6&lt;=$F22),$C22/$E22,0)</f>
        <v>0</v>
      </c>
      <c r="H22" s="77" t="n">
        <f aca="false">IF(AND(H$6&gt;=$D22,H$6&lt;=$F22),$C22/$E22,0)</f>
        <v>0</v>
      </c>
      <c r="I22" s="77" t="n">
        <f aca="false">IF(AND(I$6&gt;=$D22,I$6&lt;=$F22),$C22/$E22,0)</f>
        <v>0</v>
      </c>
      <c r="J22" s="77" t="n">
        <f aca="false">IF(AND(J$6&gt;=$D22,J$6&lt;=$F22),$C22/$E22,0)</f>
        <v>0</v>
      </c>
      <c r="K22" s="77" t="n">
        <f aca="false">IF(AND(K$6&gt;=$D22,K$6&lt;=$F22),$C22/$E22,0)</f>
        <v>0</v>
      </c>
      <c r="L22" s="77" t="n">
        <f aca="false">IF(AND(L$6&gt;=$D22,L$6&lt;=$F22),$C22/$E22,0)</f>
        <v>0</v>
      </c>
      <c r="M22" s="77" t="n">
        <f aca="false">IF(AND(M$6&gt;=$D22,M$6&lt;=$F22),$C22/$E22,0)</f>
        <v>0</v>
      </c>
      <c r="N22" s="77" t="n">
        <f aca="false">IF(AND(N$6&gt;=$D22,N$6&lt;=$F22),$C22/$E22,0)</f>
        <v>0</v>
      </c>
      <c r="O22" s="77" t="n">
        <f aca="false">IF(AND(O$6&gt;=$D22,O$6&lt;=$F22),$C22/$E22,0)</f>
        <v>0</v>
      </c>
      <c r="P22" s="77" t="n">
        <f aca="false">IF(AND(P$6&gt;=$D22,P$6&lt;=$F22),$C22/$E22,0)</f>
        <v>0</v>
      </c>
      <c r="Q22" s="77" t="n">
        <f aca="false">IF(AND(Q$6&gt;=$D22,Q$6&lt;=$F22),$C22/$E22,0)</f>
        <v>0</v>
      </c>
      <c r="R22" s="77" t="n">
        <f aca="false">IF(AND(R$6&gt;=$D22,R$6&lt;=$F22),$C22/$E22,0)</f>
        <v>0.00387475818244098</v>
      </c>
      <c r="S22" s="77" t="n">
        <f aca="false">IF(AND(S$6&gt;=$D22,S$6&lt;=$F22),$C22/$E22,0)</f>
        <v>0.00387475818244098</v>
      </c>
      <c r="T22" s="77" t="n">
        <f aca="false">IF(AND(T$6&gt;=$D22,T$6&lt;=$F22),$C22/$E22,0)</f>
        <v>0.00387475818244098</v>
      </c>
      <c r="U22" s="77" t="n">
        <f aca="false">IF(AND(U$6&gt;=$D22,U$6&lt;=$F22),$C22/$E22,0)</f>
        <v>0.00387475818244098</v>
      </c>
      <c r="V22" s="77" t="n">
        <f aca="false">IF(AND(V$6&gt;=$D22,V$6&lt;=$F22),$C22/$E22,0)</f>
        <v>0.00387475818244098</v>
      </c>
      <c r="W22" s="77" t="n">
        <f aca="false">IF(AND(W$6&gt;=$D22,W$6&lt;=$F22),$C22/$E22,0)</f>
        <v>0.00387475818244098</v>
      </c>
      <c r="X22" s="77" t="n">
        <f aca="false">IF(AND(X$6&gt;=$D22,X$6&lt;=$F22),$C22/$E22,0)</f>
        <v>0.00387475818244098</v>
      </c>
      <c r="Y22" s="77" t="n">
        <f aca="false">IF(AND(Y$6&gt;=$D22,Y$6&lt;=$F22),$C22/$E22,0)</f>
        <v>0.00387475818244098</v>
      </c>
      <c r="Z22" s="77" t="n">
        <f aca="false">IF(AND(Z$6&gt;=$D22,Z$6&lt;=$F22),$C22/$E22,0)</f>
        <v>0.00387475818244098</v>
      </c>
      <c r="AA22" s="77" t="n">
        <f aca="false">IF(AND(AA$6&gt;=$D22,AA$6&lt;=$F22),$C22/$E22,0)</f>
        <v>0.00387475818244098</v>
      </c>
      <c r="AB22" s="77" t="n">
        <f aca="false">IF(AND(AB$6&gt;=$D22,AB$6&lt;=$F22),$C22/$E22,0)</f>
        <v>0.00387475818244098</v>
      </c>
      <c r="AC22" s="77" t="n">
        <f aca="false">IF(AND(AC$6&gt;=$D22,AC$6&lt;=$F22),$C22/$E22,0)</f>
        <v>0.00387475818244098</v>
      </c>
      <c r="AD22" s="77" t="n">
        <f aca="false">IF(AND(AD$6&gt;=$D22,AD$6&lt;=$F22),$C22/$E22,0)</f>
        <v>0.00387475818244098</v>
      </c>
      <c r="AE22" s="77" t="n">
        <f aca="false">IF(AND(AE$6&gt;=$D22,AE$6&lt;=$F22),$C22/$E22,0)</f>
        <v>0.00387475818244098</v>
      </c>
      <c r="AF22" s="77" t="n">
        <f aca="false">IF(AND(AF$6&gt;=$D22,AF$6&lt;=$F22),$C22/$E22,0)</f>
        <v>0.00387475818244098</v>
      </c>
      <c r="AG22" s="77" t="n">
        <f aca="false">IF(AND(AG$6&gt;=$D22,AG$6&lt;=$F22),$C22/$E22,0)</f>
        <v>0</v>
      </c>
      <c r="AH22" s="77" t="n">
        <f aca="false">IF(AND(AH$6&gt;=$D22,AH$6&lt;=$F22),$C22/$E22,0)</f>
        <v>0</v>
      </c>
      <c r="AI22" s="77" t="n">
        <f aca="false">IF(AND(AI$6&gt;=$D22,AI$6&lt;=$F22),$C22/$E22,0)</f>
        <v>0</v>
      </c>
      <c r="AJ22" s="77" t="n">
        <f aca="false">IF(AND(AJ$6&gt;=$D22,AJ$6&lt;=$F22),$C22/$E22,0)</f>
        <v>0</v>
      </c>
      <c r="AK22" s="77" t="n">
        <f aca="false">IF(AND(AK$6&gt;=$D22,AK$6&lt;=$F22),$C22/$E22,0)</f>
        <v>0</v>
      </c>
      <c r="AL22" s="77" t="n">
        <f aca="false">IF(AND(AL$6&gt;=$D22,AL$6&lt;=$F22),$C22/$E22,0)</f>
        <v>0</v>
      </c>
      <c r="AM22" s="77" t="n">
        <f aca="false">IF(AND(AM$6&gt;=$D22,AM$6&lt;=$F22),$C22/$E22,0)</f>
        <v>0</v>
      </c>
      <c r="AN22" s="77" t="n">
        <f aca="false">IF(AND(AN$6&gt;=$D22,AN$6&lt;=$F22),$C22/$E22,0)</f>
        <v>0</v>
      </c>
      <c r="AO22" s="77" t="n">
        <f aca="false">IF(AND(AO$6&gt;=$D22,AO$6&lt;=$F22),$C22/$E22,0)</f>
        <v>0</v>
      </c>
      <c r="AP22" s="77" t="n">
        <f aca="false">IF(AND(AP$6&gt;=$D22,AP$6&lt;=$F22),$C22/$E22,0)</f>
        <v>0</v>
      </c>
      <c r="AQ22" s="77" t="n">
        <f aca="false">IF(AND(AQ$6&gt;=$D22,AQ$6&lt;=$F22),$C22/$E22,0)</f>
        <v>0</v>
      </c>
      <c r="AR22" s="77" t="n">
        <f aca="false">IF(AND(AR$6&gt;=$D22,AR$6&lt;=$F22),$C22/$E22,0)</f>
        <v>0</v>
      </c>
      <c r="AS22" s="77" t="n">
        <f aca="false">IF(AND(AS$6&gt;=$D22,AS$6&lt;=$F22),$C22/$E22,0)</f>
        <v>0</v>
      </c>
      <c r="AT22" s="77" t="n">
        <f aca="false">IF(AND(AT$6&gt;=$D22,AT$6&lt;=$F22),$C22/$E22,0)</f>
        <v>0</v>
      </c>
      <c r="AU22" s="77" t="n">
        <f aca="false">IF(AND(AU$6&gt;=$D22,AU$6&lt;=$F22),$C22/$E22,0)</f>
        <v>0</v>
      </c>
      <c r="AV22" s="77" t="n">
        <f aca="false">IF(AND(AV$6&gt;=$D22,AV$6&lt;=$F22),$C22/$E22,0)</f>
        <v>0</v>
      </c>
      <c r="AW22" s="77" t="n">
        <f aca="false">IF(AND(AW$6&gt;=$D22,AW$6&lt;=$F22),$C22/$E22,0)</f>
        <v>0</v>
      </c>
    </row>
    <row r="23" customFormat="false" ht="25.5" hidden="false" customHeight="true" outlineLevel="0" collapsed="false">
      <c r="A23" s="28" t="n">
        <v>16</v>
      </c>
      <c r="B23" s="29" t="str">
        <f aca="false">"WORKSHOP MEKANIK - "&amp;Rekap!B32</f>
        <v>WORKSHOP MEKANIK - PEKERJAAN ARSITEKTURAL (WORKSHOP MEKANIK)</v>
      </c>
      <c r="C23" s="75" t="n">
        <f aca="false">Rekap!C32/Rekap!$C$69</f>
        <v>0.0471875446883369</v>
      </c>
      <c r="D23" s="76" t="n">
        <v>23</v>
      </c>
      <c r="E23" s="76" t="n">
        <v>12</v>
      </c>
      <c r="F23" s="28" t="n">
        <f aca="false">D23+E23-1</f>
        <v>34</v>
      </c>
      <c r="G23" s="77" t="n">
        <f aca="false">IF(AND(G$6&gt;=$D23,G$6&lt;=$F23),$C23/$E23,0)</f>
        <v>0</v>
      </c>
      <c r="H23" s="77" t="n">
        <f aca="false">IF(AND(H$6&gt;=$D23,H$6&lt;=$F23),$C23/$E23,0)</f>
        <v>0</v>
      </c>
      <c r="I23" s="77" t="n">
        <f aca="false">IF(AND(I$6&gt;=$D23,I$6&lt;=$F23),$C23/$E23,0)</f>
        <v>0</v>
      </c>
      <c r="J23" s="77" t="n">
        <f aca="false">IF(AND(J$6&gt;=$D23,J$6&lt;=$F23),$C23/$E23,0)</f>
        <v>0</v>
      </c>
      <c r="K23" s="77" t="n">
        <f aca="false">IF(AND(K$6&gt;=$D23,K$6&lt;=$F23),$C23/$E23,0)</f>
        <v>0</v>
      </c>
      <c r="L23" s="77" t="n">
        <f aca="false">IF(AND(L$6&gt;=$D23,L$6&lt;=$F23),$C23/$E23,0)</f>
        <v>0</v>
      </c>
      <c r="M23" s="77" t="n">
        <f aca="false">IF(AND(M$6&gt;=$D23,M$6&lt;=$F23),$C23/$E23,0)</f>
        <v>0</v>
      </c>
      <c r="N23" s="77" t="n">
        <f aca="false">IF(AND(N$6&gt;=$D23,N$6&lt;=$F23),$C23/$E23,0)</f>
        <v>0</v>
      </c>
      <c r="O23" s="77" t="n">
        <f aca="false">IF(AND(O$6&gt;=$D23,O$6&lt;=$F23),$C23/$E23,0)</f>
        <v>0</v>
      </c>
      <c r="P23" s="77" t="n">
        <f aca="false">IF(AND(P$6&gt;=$D23,P$6&lt;=$F23),$C23/$E23,0)</f>
        <v>0</v>
      </c>
      <c r="Q23" s="77" t="n">
        <f aca="false">IF(AND(Q$6&gt;=$D23,Q$6&lt;=$F23),$C23/$E23,0)</f>
        <v>0</v>
      </c>
      <c r="R23" s="77" t="n">
        <f aca="false">IF(AND(R$6&gt;=$D23,R$6&lt;=$F23),$C23/$E23,0)</f>
        <v>0</v>
      </c>
      <c r="S23" s="77" t="n">
        <f aca="false">IF(AND(S$6&gt;=$D23,S$6&lt;=$F23),$C23/$E23,0)</f>
        <v>0</v>
      </c>
      <c r="T23" s="77" t="n">
        <f aca="false">IF(AND(T$6&gt;=$D23,T$6&lt;=$F23),$C23/$E23,0)</f>
        <v>0</v>
      </c>
      <c r="U23" s="77" t="n">
        <f aca="false">IF(AND(U$6&gt;=$D23,U$6&lt;=$F23),$C23/$E23,0)</f>
        <v>0</v>
      </c>
      <c r="V23" s="77" t="n">
        <f aca="false">IF(AND(V$6&gt;=$D23,V$6&lt;=$F23),$C23/$E23,0)</f>
        <v>0</v>
      </c>
      <c r="W23" s="77" t="n">
        <f aca="false">IF(AND(W$6&gt;=$D23,W$6&lt;=$F23),$C23/$E23,0)</f>
        <v>0</v>
      </c>
      <c r="X23" s="77" t="n">
        <f aca="false">IF(AND(X$6&gt;=$D23,X$6&lt;=$F23),$C23/$E23,0)</f>
        <v>0</v>
      </c>
      <c r="Y23" s="77" t="n">
        <f aca="false">IF(AND(Y$6&gt;=$D23,Y$6&lt;=$F23),$C23/$E23,0)</f>
        <v>0</v>
      </c>
      <c r="Z23" s="77" t="n">
        <f aca="false">IF(AND(Z$6&gt;=$D23,Z$6&lt;=$F23),$C23/$E23,0)</f>
        <v>0</v>
      </c>
      <c r="AA23" s="77" t="n">
        <f aca="false">IF(AND(AA$6&gt;=$D23,AA$6&lt;=$F23),$C23/$E23,0)</f>
        <v>0</v>
      </c>
      <c r="AB23" s="77" t="n">
        <f aca="false">IF(AND(AB$6&gt;=$D23,AB$6&lt;=$F23),$C23/$E23,0)</f>
        <v>0</v>
      </c>
      <c r="AC23" s="77" t="n">
        <f aca="false">IF(AND(AC$6&gt;=$D23,AC$6&lt;=$F23),$C23/$E23,0)</f>
        <v>0.00393229539069474</v>
      </c>
      <c r="AD23" s="77" t="n">
        <f aca="false">IF(AND(AD$6&gt;=$D23,AD$6&lt;=$F23),$C23/$E23,0)</f>
        <v>0.00393229539069474</v>
      </c>
      <c r="AE23" s="77" t="n">
        <f aca="false">IF(AND(AE$6&gt;=$D23,AE$6&lt;=$F23),$C23/$E23,0)</f>
        <v>0.00393229539069474</v>
      </c>
      <c r="AF23" s="77" t="n">
        <f aca="false">IF(AND(AF$6&gt;=$D23,AF$6&lt;=$F23),$C23/$E23,0)</f>
        <v>0.00393229539069474</v>
      </c>
      <c r="AG23" s="77" t="n">
        <f aca="false">IF(AND(AG$6&gt;=$D23,AG$6&lt;=$F23),$C23/$E23,0)</f>
        <v>0.00393229539069474</v>
      </c>
      <c r="AH23" s="77" t="n">
        <f aca="false">IF(AND(AH$6&gt;=$D23,AH$6&lt;=$F23),$C23/$E23,0)</f>
        <v>0.00393229539069474</v>
      </c>
      <c r="AI23" s="77" t="n">
        <f aca="false">IF(AND(AI$6&gt;=$D23,AI$6&lt;=$F23),$C23/$E23,0)</f>
        <v>0.00393229539069474</v>
      </c>
      <c r="AJ23" s="77" t="n">
        <f aca="false">IF(AND(AJ$6&gt;=$D23,AJ$6&lt;=$F23),$C23/$E23,0)</f>
        <v>0.00393229539069474</v>
      </c>
      <c r="AK23" s="77" t="n">
        <f aca="false">IF(AND(AK$6&gt;=$D23,AK$6&lt;=$F23),$C23/$E23,0)</f>
        <v>0.00393229539069474</v>
      </c>
      <c r="AL23" s="77" t="n">
        <f aca="false">IF(AND(AL$6&gt;=$D23,AL$6&lt;=$F23),$C23/$E23,0)</f>
        <v>0.00393229539069474</v>
      </c>
      <c r="AM23" s="77" t="n">
        <f aca="false">IF(AND(AM$6&gt;=$D23,AM$6&lt;=$F23),$C23/$E23,0)</f>
        <v>0.00393229539069474</v>
      </c>
      <c r="AN23" s="77" t="n">
        <f aca="false">IF(AND(AN$6&gt;=$D23,AN$6&lt;=$F23),$C23/$E23,0)</f>
        <v>0.00393229539069474</v>
      </c>
      <c r="AO23" s="77" t="n">
        <f aca="false">IF(AND(AO$6&gt;=$D23,AO$6&lt;=$F23),$C23/$E23,0)</f>
        <v>0</v>
      </c>
      <c r="AP23" s="77" t="n">
        <f aca="false">IF(AND(AP$6&gt;=$D23,AP$6&lt;=$F23),$C23/$E23,0)</f>
        <v>0</v>
      </c>
      <c r="AQ23" s="77" t="n">
        <f aca="false">IF(AND(AQ$6&gt;=$D23,AQ$6&lt;=$F23),$C23/$E23,0)</f>
        <v>0</v>
      </c>
      <c r="AR23" s="77" t="n">
        <f aca="false">IF(AND(AR$6&gt;=$D23,AR$6&lt;=$F23),$C23/$E23,0)</f>
        <v>0</v>
      </c>
      <c r="AS23" s="77" t="n">
        <f aca="false">IF(AND(AS$6&gt;=$D23,AS$6&lt;=$F23),$C23/$E23,0)</f>
        <v>0</v>
      </c>
      <c r="AT23" s="77" t="n">
        <f aca="false">IF(AND(AT$6&gt;=$D23,AT$6&lt;=$F23),$C23/$E23,0)</f>
        <v>0</v>
      </c>
      <c r="AU23" s="77" t="n">
        <f aca="false">IF(AND(AU$6&gt;=$D23,AU$6&lt;=$F23),$C23/$E23,0)</f>
        <v>0</v>
      </c>
      <c r="AV23" s="77" t="n">
        <f aca="false">IF(AND(AV$6&gt;=$D23,AV$6&lt;=$F23),$C23/$E23,0)</f>
        <v>0</v>
      </c>
      <c r="AW23" s="77" t="n">
        <f aca="false">IF(AND(AW$6&gt;=$D23,AW$6&lt;=$F23),$C23/$E23,0)</f>
        <v>0</v>
      </c>
    </row>
    <row r="24" customFormat="false" ht="25.5" hidden="false" customHeight="true" outlineLevel="0" collapsed="false">
      <c r="A24" s="28" t="n">
        <v>17</v>
      </c>
      <c r="B24" s="29" t="str">
        <f aca="false">"WORKSHOP MEKANIK - "&amp;Rekap!B33</f>
        <v>WORKSHOP MEKANIK - PEKERJAAN MEKANIKAL (WORKSHOP MEKANIK)</v>
      </c>
      <c r="C24" s="75" t="n">
        <f aca="false">Rekap!C33/Rekap!$C$69</f>
        <v>0.0013998884791607</v>
      </c>
      <c r="D24" s="76" t="n">
        <v>31</v>
      </c>
      <c r="E24" s="76" t="n">
        <v>6</v>
      </c>
      <c r="F24" s="28" t="n">
        <f aca="false">D24+E24-1</f>
        <v>36</v>
      </c>
      <c r="G24" s="77" t="n">
        <f aca="false">IF(AND(G$6&gt;=$D24,G$6&lt;=$F24),$C24/$E24,0)</f>
        <v>0</v>
      </c>
      <c r="H24" s="77" t="n">
        <f aca="false">IF(AND(H$6&gt;=$D24,H$6&lt;=$F24),$C24/$E24,0)</f>
        <v>0</v>
      </c>
      <c r="I24" s="77" t="n">
        <f aca="false">IF(AND(I$6&gt;=$D24,I$6&lt;=$F24),$C24/$E24,0)</f>
        <v>0</v>
      </c>
      <c r="J24" s="77" t="n">
        <f aca="false">IF(AND(J$6&gt;=$D24,J$6&lt;=$F24),$C24/$E24,0)</f>
        <v>0</v>
      </c>
      <c r="K24" s="77" t="n">
        <f aca="false">IF(AND(K$6&gt;=$D24,K$6&lt;=$F24),$C24/$E24,0)</f>
        <v>0</v>
      </c>
      <c r="L24" s="77" t="n">
        <f aca="false">IF(AND(L$6&gt;=$D24,L$6&lt;=$F24),$C24/$E24,0)</f>
        <v>0</v>
      </c>
      <c r="M24" s="77" t="n">
        <f aca="false">IF(AND(M$6&gt;=$D24,M$6&lt;=$F24),$C24/$E24,0)</f>
        <v>0</v>
      </c>
      <c r="N24" s="77" t="n">
        <f aca="false">IF(AND(N$6&gt;=$D24,N$6&lt;=$F24),$C24/$E24,0)</f>
        <v>0</v>
      </c>
      <c r="O24" s="77" t="n">
        <f aca="false">IF(AND(O$6&gt;=$D24,O$6&lt;=$F24),$C24/$E24,0)</f>
        <v>0</v>
      </c>
      <c r="P24" s="77" t="n">
        <f aca="false">IF(AND(P$6&gt;=$D24,P$6&lt;=$F24),$C24/$E24,0)</f>
        <v>0</v>
      </c>
      <c r="Q24" s="77" t="n">
        <f aca="false">IF(AND(Q$6&gt;=$D24,Q$6&lt;=$F24),$C24/$E24,0)</f>
        <v>0</v>
      </c>
      <c r="R24" s="77" t="n">
        <f aca="false">IF(AND(R$6&gt;=$D24,R$6&lt;=$F24),$C24/$E24,0)</f>
        <v>0</v>
      </c>
      <c r="S24" s="77" t="n">
        <f aca="false">IF(AND(S$6&gt;=$D24,S$6&lt;=$F24),$C24/$E24,0)</f>
        <v>0</v>
      </c>
      <c r="T24" s="77" t="n">
        <f aca="false">IF(AND(T$6&gt;=$D24,T$6&lt;=$F24),$C24/$E24,0)</f>
        <v>0</v>
      </c>
      <c r="U24" s="77" t="n">
        <f aca="false">IF(AND(U$6&gt;=$D24,U$6&lt;=$F24),$C24/$E24,0)</f>
        <v>0</v>
      </c>
      <c r="V24" s="77" t="n">
        <f aca="false">IF(AND(V$6&gt;=$D24,V$6&lt;=$F24),$C24/$E24,0)</f>
        <v>0</v>
      </c>
      <c r="W24" s="77" t="n">
        <f aca="false">IF(AND(W$6&gt;=$D24,W$6&lt;=$F24),$C24/$E24,0)</f>
        <v>0</v>
      </c>
      <c r="X24" s="77" t="n">
        <f aca="false">IF(AND(X$6&gt;=$D24,X$6&lt;=$F24),$C24/$E24,0)</f>
        <v>0</v>
      </c>
      <c r="Y24" s="77" t="n">
        <f aca="false">IF(AND(Y$6&gt;=$D24,Y$6&lt;=$F24),$C24/$E24,0)</f>
        <v>0</v>
      </c>
      <c r="Z24" s="77" t="n">
        <f aca="false">IF(AND(Z$6&gt;=$D24,Z$6&lt;=$F24),$C24/$E24,0)</f>
        <v>0</v>
      </c>
      <c r="AA24" s="77" t="n">
        <f aca="false">IF(AND(AA$6&gt;=$D24,AA$6&lt;=$F24),$C24/$E24,0)</f>
        <v>0</v>
      </c>
      <c r="AB24" s="77" t="n">
        <f aca="false">IF(AND(AB$6&gt;=$D24,AB$6&lt;=$F24),$C24/$E24,0)</f>
        <v>0</v>
      </c>
      <c r="AC24" s="77" t="n">
        <f aca="false">IF(AND(AC$6&gt;=$D24,AC$6&lt;=$F24),$C24/$E24,0)</f>
        <v>0</v>
      </c>
      <c r="AD24" s="77" t="n">
        <f aca="false">IF(AND(AD$6&gt;=$D24,AD$6&lt;=$F24),$C24/$E24,0)</f>
        <v>0</v>
      </c>
      <c r="AE24" s="77" t="n">
        <f aca="false">IF(AND(AE$6&gt;=$D24,AE$6&lt;=$F24),$C24/$E24,0)</f>
        <v>0</v>
      </c>
      <c r="AF24" s="77" t="n">
        <f aca="false">IF(AND(AF$6&gt;=$D24,AF$6&lt;=$F24),$C24/$E24,0)</f>
        <v>0</v>
      </c>
      <c r="AG24" s="77" t="n">
        <f aca="false">IF(AND(AG$6&gt;=$D24,AG$6&lt;=$F24),$C24/$E24,0)</f>
        <v>0</v>
      </c>
      <c r="AH24" s="77" t="n">
        <f aca="false">IF(AND(AH$6&gt;=$D24,AH$6&lt;=$F24),$C24/$E24,0)</f>
        <v>0</v>
      </c>
      <c r="AI24" s="77" t="n">
        <f aca="false">IF(AND(AI$6&gt;=$D24,AI$6&lt;=$F24),$C24/$E24,0)</f>
        <v>0</v>
      </c>
      <c r="AJ24" s="77" t="n">
        <f aca="false">IF(AND(AJ$6&gt;=$D24,AJ$6&lt;=$F24),$C24/$E24,0)</f>
        <v>0</v>
      </c>
      <c r="AK24" s="77" t="n">
        <f aca="false">IF(AND(AK$6&gt;=$D24,AK$6&lt;=$F24),$C24/$E24,0)</f>
        <v>0.000233314746526784</v>
      </c>
      <c r="AL24" s="77" t="n">
        <f aca="false">IF(AND(AL$6&gt;=$D24,AL$6&lt;=$F24),$C24/$E24,0)</f>
        <v>0.000233314746526784</v>
      </c>
      <c r="AM24" s="77" t="n">
        <f aca="false">IF(AND(AM$6&gt;=$D24,AM$6&lt;=$F24),$C24/$E24,0)</f>
        <v>0.000233314746526784</v>
      </c>
      <c r="AN24" s="77" t="n">
        <f aca="false">IF(AND(AN$6&gt;=$D24,AN$6&lt;=$F24),$C24/$E24,0)</f>
        <v>0.000233314746526784</v>
      </c>
      <c r="AO24" s="77" t="n">
        <f aca="false">IF(AND(AO$6&gt;=$D24,AO$6&lt;=$F24),$C24/$E24,0)</f>
        <v>0.000233314746526784</v>
      </c>
      <c r="AP24" s="77" t="n">
        <f aca="false">IF(AND(AP$6&gt;=$D24,AP$6&lt;=$F24),$C24/$E24,0)</f>
        <v>0.000233314746526784</v>
      </c>
      <c r="AQ24" s="77" t="n">
        <f aca="false">IF(AND(AQ$6&gt;=$D24,AQ$6&lt;=$F24),$C24/$E24,0)</f>
        <v>0</v>
      </c>
      <c r="AR24" s="77" t="n">
        <f aca="false">IF(AND(AR$6&gt;=$D24,AR$6&lt;=$F24),$C24/$E24,0)</f>
        <v>0</v>
      </c>
      <c r="AS24" s="77" t="n">
        <f aca="false">IF(AND(AS$6&gt;=$D24,AS$6&lt;=$F24),$C24/$E24,0)</f>
        <v>0</v>
      </c>
      <c r="AT24" s="77" t="n">
        <f aca="false">IF(AND(AT$6&gt;=$D24,AT$6&lt;=$F24),$C24/$E24,0)</f>
        <v>0</v>
      </c>
      <c r="AU24" s="77" t="n">
        <f aca="false">IF(AND(AU$6&gt;=$D24,AU$6&lt;=$F24),$C24/$E24,0)</f>
        <v>0</v>
      </c>
      <c r="AV24" s="77" t="n">
        <f aca="false">IF(AND(AV$6&gt;=$D24,AV$6&lt;=$F24),$C24/$E24,0)</f>
        <v>0</v>
      </c>
      <c r="AW24" s="77" t="n">
        <f aca="false">IF(AND(AW$6&gt;=$D24,AW$6&lt;=$F24),$C24/$E24,0)</f>
        <v>0</v>
      </c>
    </row>
    <row r="25" customFormat="false" ht="25.5" hidden="false" customHeight="true" outlineLevel="0" collapsed="false">
      <c r="A25" s="28" t="n">
        <v>18</v>
      </c>
      <c r="B25" s="29" t="str">
        <f aca="false">"WORKSHOP MEKANIK - "&amp;Rekap!B34</f>
        <v>WORKSHOP MEKANIK - PEKERJAAN PLUMBING (WORKSHOP MEKANIK)</v>
      </c>
      <c r="C25" s="75" t="n">
        <f aca="false">Rekap!C34/Rekap!$C$69</f>
        <v>0.00322216659241033</v>
      </c>
      <c r="D25" s="76" t="n">
        <v>28</v>
      </c>
      <c r="E25" s="76" t="n">
        <v>9</v>
      </c>
      <c r="F25" s="28" t="n">
        <f aca="false">D25+E25-1</f>
        <v>36</v>
      </c>
      <c r="G25" s="77" t="n">
        <f aca="false">IF(AND(G$6&gt;=$D25,G$6&lt;=$F25),$C25/$E25,0)</f>
        <v>0</v>
      </c>
      <c r="H25" s="77" t="n">
        <f aca="false">IF(AND(H$6&gt;=$D25,H$6&lt;=$F25),$C25/$E25,0)</f>
        <v>0</v>
      </c>
      <c r="I25" s="77" t="n">
        <f aca="false">IF(AND(I$6&gt;=$D25,I$6&lt;=$F25),$C25/$E25,0)</f>
        <v>0</v>
      </c>
      <c r="J25" s="77" t="n">
        <f aca="false">IF(AND(J$6&gt;=$D25,J$6&lt;=$F25),$C25/$E25,0)</f>
        <v>0</v>
      </c>
      <c r="K25" s="77" t="n">
        <f aca="false">IF(AND(K$6&gt;=$D25,K$6&lt;=$F25),$C25/$E25,0)</f>
        <v>0</v>
      </c>
      <c r="L25" s="77" t="n">
        <f aca="false">IF(AND(L$6&gt;=$D25,L$6&lt;=$F25),$C25/$E25,0)</f>
        <v>0</v>
      </c>
      <c r="M25" s="77" t="n">
        <f aca="false">IF(AND(M$6&gt;=$D25,M$6&lt;=$F25),$C25/$E25,0)</f>
        <v>0</v>
      </c>
      <c r="N25" s="77" t="n">
        <f aca="false">IF(AND(N$6&gt;=$D25,N$6&lt;=$F25),$C25/$E25,0)</f>
        <v>0</v>
      </c>
      <c r="O25" s="77" t="n">
        <f aca="false">IF(AND(O$6&gt;=$D25,O$6&lt;=$F25),$C25/$E25,0)</f>
        <v>0</v>
      </c>
      <c r="P25" s="77" t="n">
        <f aca="false">IF(AND(P$6&gt;=$D25,P$6&lt;=$F25),$C25/$E25,0)</f>
        <v>0</v>
      </c>
      <c r="Q25" s="77" t="n">
        <f aca="false">IF(AND(Q$6&gt;=$D25,Q$6&lt;=$F25),$C25/$E25,0)</f>
        <v>0</v>
      </c>
      <c r="R25" s="77" t="n">
        <f aca="false">IF(AND(R$6&gt;=$D25,R$6&lt;=$F25),$C25/$E25,0)</f>
        <v>0</v>
      </c>
      <c r="S25" s="77" t="n">
        <f aca="false">IF(AND(S$6&gt;=$D25,S$6&lt;=$F25),$C25/$E25,0)</f>
        <v>0</v>
      </c>
      <c r="T25" s="77" t="n">
        <f aca="false">IF(AND(T$6&gt;=$D25,T$6&lt;=$F25),$C25/$E25,0)</f>
        <v>0</v>
      </c>
      <c r="U25" s="77" t="n">
        <f aca="false">IF(AND(U$6&gt;=$D25,U$6&lt;=$F25),$C25/$E25,0)</f>
        <v>0</v>
      </c>
      <c r="V25" s="77" t="n">
        <f aca="false">IF(AND(V$6&gt;=$D25,V$6&lt;=$F25),$C25/$E25,0)</f>
        <v>0</v>
      </c>
      <c r="W25" s="77" t="n">
        <f aca="false">IF(AND(W$6&gt;=$D25,W$6&lt;=$F25),$C25/$E25,0)</f>
        <v>0</v>
      </c>
      <c r="X25" s="77" t="n">
        <f aca="false">IF(AND(X$6&gt;=$D25,X$6&lt;=$F25),$C25/$E25,0)</f>
        <v>0</v>
      </c>
      <c r="Y25" s="77" t="n">
        <f aca="false">IF(AND(Y$6&gt;=$D25,Y$6&lt;=$F25),$C25/$E25,0)</f>
        <v>0</v>
      </c>
      <c r="Z25" s="77" t="n">
        <f aca="false">IF(AND(Z$6&gt;=$D25,Z$6&lt;=$F25),$C25/$E25,0)</f>
        <v>0</v>
      </c>
      <c r="AA25" s="77" t="n">
        <f aca="false">IF(AND(AA$6&gt;=$D25,AA$6&lt;=$F25),$C25/$E25,0)</f>
        <v>0</v>
      </c>
      <c r="AB25" s="77" t="n">
        <f aca="false">IF(AND(AB$6&gt;=$D25,AB$6&lt;=$F25),$C25/$E25,0)</f>
        <v>0</v>
      </c>
      <c r="AC25" s="77" t="n">
        <f aca="false">IF(AND(AC$6&gt;=$D25,AC$6&lt;=$F25),$C25/$E25,0)</f>
        <v>0</v>
      </c>
      <c r="AD25" s="77" t="n">
        <f aca="false">IF(AND(AD$6&gt;=$D25,AD$6&lt;=$F25),$C25/$E25,0)</f>
        <v>0</v>
      </c>
      <c r="AE25" s="77" t="n">
        <f aca="false">IF(AND(AE$6&gt;=$D25,AE$6&lt;=$F25),$C25/$E25,0)</f>
        <v>0</v>
      </c>
      <c r="AF25" s="77" t="n">
        <f aca="false">IF(AND(AF$6&gt;=$D25,AF$6&lt;=$F25),$C25/$E25,0)</f>
        <v>0</v>
      </c>
      <c r="AG25" s="77" t="n">
        <f aca="false">IF(AND(AG$6&gt;=$D25,AG$6&lt;=$F25),$C25/$E25,0)</f>
        <v>0</v>
      </c>
      <c r="AH25" s="77" t="n">
        <f aca="false">IF(AND(AH$6&gt;=$D25,AH$6&lt;=$F25),$C25/$E25,0)</f>
        <v>0.000358018510267815</v>
      </c>
      <c r="AI25" s="77" t="n">
        <f aca="false">IF(AND(AI$6&gt;=$D25,AI$6&lt;=$F25),$C25/$E25,0)</f>
        <v>0.000358018510267815</v>
      </c>
      <c r="AJ25" s="77" t="n">
        <f aca="false">IF(AND(AJ$6&gt;=$D25,AJ$6&lt;=$F25),$C25/$E25,0)</f>
        <v>0.000358018510267815</v>
      </c>
      <c r="AK25" s="77" t="n">
        <f aca="false">IF(AND(AK$6&gt;=$D25,AK$6&lt;=$F25),$C25/$E25,0)</f>
        <v>0.000358018510267815</v>
      </c>
      <c r="AL25" s="77" t="n">
        <f aca="false">IF(AND(AL$6&gt;=$D25,AL$6&lt;=$F25),$C25/$E25,0)</f>
        <v>0.000358018510267815</v>
      </c>
      <c r="AM25" s="77" t="n">
        <f aca="false">IF(AND(AM$6&gt;=$D25,AM$6&lt;=$F25),$C25/$E25,0)</f>
        <v>0.000358018510267815</v>
      </c>
      <c r="AN25" s="77" t="n">
        <f aca="false">IF(AND(AN$6&gt;=$D25,AN$6&lt;=$F25),$C25/$E25,0)</f>
        <v>0.000358018510267815</v>
      </c>
      <c r="AO25" s="77" t="n">
        <f aca="false">IF(AND(AO$6&gt;=$D25,AO$6&lt;=$F25),$C25/$E25,0)</f>
        <v>0.000358018510267815</v>
      </c>
      <c r="AP25" s="77" t="n">
        <f aca="false">IF(AND(AP$6&gt;=$D25,AP$6&lt;=$F25),$C25/$E25,0)</f>
        <v>0.000358018510267815</v>
      </c>
      <c r="AQ25" s="77" t="n">
        <f aca="false">IF(AND(AQ$6&gt;=$D25,AQ$6&lt;=$F25),$C25/$E25,0)</f>
        <v>0</v>
      </c>
      <c r="AR25" s="77" t="n">
        <f aca="false">IF(AND(AR$6&gt;=$D25,AR$6&lt;=$F25),$C25/$E25,0)</f>
        <v>0</v>
      </c>
      <c r="AS25" s="77" t="n">
        <f aca="false">IF(AND(AS$6&gt;=$D25,AS$6&lt;=$F25),$C25/$E25,0)</f>
        <v>0</v>
      </c>
      <c r="AT25" s="77" t="n">
        <f aca="false">IF(AND(AT$6&gt;=$D25,AT$6&lt;=$F25),$C25/$E25,0)</f>
        <v>0</v>
      </c>
      <c r="AU25" s="77" t="n">
        <f aca="false">IF(AND(AU$6&gt;=$D25,AU$6&lt;=$F25),$C25/$E25,0)</f>
        <v>0</v>
      </c>
      <c r="AV25" s="77" t="n">
        <f aca="false">IF(AND(AV$6&gt;=$D25,AV$6&lt;=$F25),$C25/$E25,0)</f>
        <v>0</v>
      </c>
      <c r="AW25" s="77" t="n">
        <f aca="false">IF(AND(AW$6&gt;=$D25,AW$6&lt;=$F25),$C25/$E25,0)</f>
        <v>0</v>
      </c>
    </row>
    <row r="26" customFormat="false" ht="25.5" hidden="false" customHeight="true" outlineLevel="0" collapsed="false">
      <c r="A26" s="28" t="n">
        <v>19</v>
      </c>
      <c r="B26" s="29" t="str">
        <f aca="false">"WORKSHOP MEKANIK - "&amp;Rekap!B35</f>
        <v>WORKSHOP MEKANIK - PEKERJAAN ELEKTRIKAL (WORKSHOP MEKANIK)</v>
      </c>
      <c r="C26" s="75" t="n">
        <f aca="false">Rekap!C35/Rekap!$C$69</f>
        <v>0.0035878805045026</v>
      </c>
      <c r="D26" s="76" t="n">
        <v>30</v>
      </c>
      <c r="E26" s="76" t="n">
        <v>10</v>
      </c>
      <c r="F26" s="28" t="n">
        <f aca="false">D26+E26-1</f>
        <v>39</v>
      </c>
      <c r="G26" s="77" t="n">
        <f aca="false">IF(AND(G$6&gt;=$D26,G$6&lt;=$F26),$C26/$E26,0)</f>
        <v>0</v>
      </c>
      <c r="H26" s="77" t="n">
        <f aca="false">IF(AND(H$6&gt;=$D26,H$6&lt;=$F26),$C26/$E26,0)</f>
        <v>0</v>
      </c>
      <c r="I26" s="77" t="n">
        <f aca="false">IF(AND(I$6&gt;=$D26,I$6&lt;=$F26),$C26/$E26,0)</f>
        <v>0</v>
      </c>
      <c r="J26" s="77" t="n">
        <f aca="false">IF(AND(J$6&gt;=$D26,J$6&lt;=$F26),$C26/$E26,0)</f>
        <v>0</v>
      </c>
      <c r="K26" s="77" t="n">
        <f aca="false">IF(AND(K$6&gt;=$D26,K$6&lt;=$F26),$C26/$E26,0)</f>
        <v>0</v>
      </c>
      <c r="L26" s="77" t="n">
        <f aca="false">IF(AND(L$6&gt;=$D26,L$6&lt;=$F26),$C26/$E26,0)</f>
        <v>0</v>
      </c>
      <c r="M26" s="77" t="n">
        <f aca="false">IF(AND(M$6&gt;=$D26,M$6&lt;=$F26),$C26/$E26,0)</f>
        <v>0</v>
      </c>
      <c r="N26" s="77" t="n">
        <f aca="false">IF(AND(N$6&gt;=$D26,N$6&lt;=$F26),$C26/$E26,0)</f>
        <v>0</v>
      </c>
      <c r="O26" s="77" t="n">
        <f aca="false">IF(AND(O$6&gt;=$D26,O$6&lt;=$F26),$C26/$E26,0)</f>
        <v>0</v>
      </c>
      <c r="P26" s="77" t="n">
        <f aca="false">IF(AND(P$6&gt;=$D26,P$6&lt;=$F26),$C26/$E26,0)</f>
        <v>0</v>
      </c>
      <c r="Q26" s="77" t="n">
        <f aca="false">IF(AND(Q$6&gt;=$D26,Q$6&lt;=$F26),$C26/$E26,0)</f>
        <v>0</v>
      </c>
      <c r="R26" s="77" t="n">
        <f aca="false">IF(AND(R$6&gt;=$D26,R$6&lt;=$F26),$C26/$E26,0)</f>
        <v>0</v>
      </c>
      <c r="S26" s="77" t="n">
        <f aca="false">IF(AND(S$6&gt;=$D26,S$6&lt;=$F26),$C26/$E26,0)</f>
        <v>0</v>
      </c>
      <c r="T26" s="77" t="n">
        <f aca="false">IF(AND(T$6&gt;=$D26,T$6&lt;=$F26),$C26/$E26,0)</f>
        <v>0</v>
      </c>
      <c r="U26" s="77" t="n">
        <f aca="false">IF(AND(U$6&gt;=$D26,U$6&lt;=$F26),$C26/$E26,0)</f>
        <v>0</v>
      </c>
      <c r="V26" s="77" t="n">
        <f aca="false">IF(AND(V$6&gt;=$D26,V$6&lt;=$F26),$C26/$E26,0)</f>
        <v>0</v>
      </c>
      <c r="W26" s="77" t="n">
        <f aca="false">IF(AND(W$6&gt;=$D26,W$6&lt;=$F26),$C26/$E26,0)</f>
        <v>0</v>
      </c>
      <c r="X26" s="77" t="n">
        <f aca="false">IF(AND(X$6&gt;=$D26,X$6&lt;=$F26),$C26/$E26,0)</f>
        <v>0</v>
      </c>
      <c r="Y26" s="77" t="n">
        <f aca="false">IF(AND(Y$6&gt;=$D26,Y$6&lt;=$F26),$C26/$E26,0)</f>
        <v>0</v>
      </c>
      <c r="Z26" s="77" t="n">
        <f aca="false">IF(AND(Z$6&gt;=$D26,Z$6&lt;=$F26),$C26/$E26,0)</f>
        <v>0</v>
      </c>
      <c r="AA26" s="77" t="n">
        <f aca="false">IF(AND(AA$6&gt;=$D26,AA$6&lt;=$F26),$C26/$E26,0)</f>
        <v>0</v>
      </c>
      <c r="AB26" s="77" t="n">
        <f aca="false">IF(AND(AB$6&gt;=$D26,AB$6&lt;=$F26),$C26/$E26,0)</f>
        <v>0</v>
      </c>
      <c r="AC26" s="77" t="n">
        <f aca="false">IF(AND(AC$6&gt;=$D26,AC$6&lt;=$F26),$C26/$E26,0)</f>
        <v>0</v>
      </c>
      <c r="AD26" s="77" t="n">
        <f aca="false">IF(AND(AD$6&gt;=$D26,AD$6&lt;=$F26),$C26/$E26,0)</f>
        <v>0</v>
      </c>
      <c r="AE26" s="77" t="n">
        <f aca="false">IF(AND(AE$6&gt;=$D26,AE$6&lt;=$F26),$C26/$E26,0)</f>
        <v>0</v>
      </c>
      <c r="AF26" s="77" t="n">
        <f aca="false">IF(AND(AF$6&gt;=$D26,AF$6&lt;=$F26),$C26/$E26,0)</f>
        <v>0</v>
      </c>
      <c r="AG26" s="77" t="n">
        <f aca="false">IF(AND(AG$6&gt;=$D26,AG$6&lt;=$F26),$C26/$E26,0)</f>
        <v>0</v>
      </c>
      <c r="AH26" s="77" t="n">
        <f aca="false">IF(AND(AH$6&gt;=$D26,AH$6&lt;=$F26),$C26/$E26,0)</f>
        <v>0</v>
      </c>
      <c r="AI26" s="77" t="n">
        <f aca="false">IF(AND(AI$6&gt;=$D26,AI$6&lt;=$F26),$C26/$E26,0)</f>
        <v>0</v>
      </c>
      <c r="AJ26" s="77" t="n">
        <f aca="false">IF(AND(AJ$6&gt;=$D26,AJ$6&lt;=$F26),$C26/$E26,0)</f>
        <v>0.00035878805045026</v>
      </c>
      <c r="AK26" s="77" t="n">
        <f aca="false">IF(AND(AK$6&gt;=$D26,AK$6&lt;=$F26),$C26/$E26,0)</f>
        <v>0.00035878805045026</v>
      </c>
      <c r="AL26" s="77" t="n">
        <f aca="false">IF(AND(AL$6&gt;=$D26,AL$6&lt;=$F26),$C26/$E26,0)</f>
        <v>0.00035878805045026</v>
      </c>
      <c r="AM26" s="77" t="n">
        <f aca="false">IF(AND(AM$6&gt;=$D26,AM$6&lt;=$F26),$C26/$E26,0)</f>
        <v>0.00035878805045026</v>
      </c>
      <c r="AN26" s="77" t="n">
        <f aca="false">IF(AND(AN$6&gt;=$D26,AN$6&lt;=$F26),$C26/$E26,0)</f>
        <v>0.00035878805045026</v>
      </c>
      <c r="AO26" s="77" t="n">
        <f aca="false">IF(AND(AO$6&gt;=$D26,AO$6&lt;=$F26),$C26/$E26,0)</f>
        <v>0.00035878805045026</v>
      </c>
      <c r="AP26" s="77" t="n">
        <f aca="false">IF(AND(AP$6&gt;=$D26,AP$6&lt;=$F26),$C26/$E26,0)</f>
        <v>0.00035878805045026</v>
      </c>
      <c r="AQ26" s="77" t="n">
        <f aca="false">IF(AND(AQ$6&gt;=$D26,AQ$6&lt;=$F26),$C26/$E26,0)</f>
        <v>0.00035878805045026</v>
      </c>
      <c r="AR26" s="77" t="n">
        <f aca="false">IF(AND(AR$6&gt;=$D26,AR$6&lt;=$F26),$C26/$E26,0)</f>
        <v>0.00035878805045026</v>
      </c>
      <c r="AS26" s="77" t="n">
        <f aca="false">IF(AND(AS$6&gt;=$D26,AS$6&lt;=$F26),$C26/$E26,0)</f>
        <v>0.00035878805045026</v>
      </c>
      <c r="AT26" s="77" t="n">
        <f aca="false">IF(AND(AT$6&gt;=$D26,AT$6&lt;=$F26),$C26/$E26,0)</f>
        <v>0</v>
      </c>
      <c r="AU26" s="77" t="n">
        <f aca="false">IF(AND(AU$6&gt;=$D26,AU$6&lt;=$F26),$C26/$E26,0)</f>
        <v>0</v>
      </c>
      <c r="AV26" s="77" t="n">
        <f aca="false">IF(AND(AV$6&gt;=$D26,AV$6&lt;=$F26),$C26/$E26,0)</f>
        <v>0</v>
      </c>
      <c r="AW26" s="77" t="n">
        <f aca="false">IF(AND(AW$6&gt;=$D26,AW$6&lt;=$F26),$C26/$E26,0)</f>
        <v>0</v>
      </c>
    </row>
    <row r="27" customFormat="false" ht="25.5" hidden="false" customHeight="true" outlineLevel="0" collapsed="false">
      <c r="A27" s="28" t="n">
        <v>20</v>
      </c>
      <c r="B27" s="29" t="str">
        <f aca="false">"WORKSHOP TIK - "&amp;Rekap!B38</f>
        <v>WORKSHOP TIK - PEKERJAAN TANAH (WORKSHOP RINGAN TEKNIK INFORMATIKA DAN KOMPUTER (TIK))</v>
      </c>
      <c r="C27" s="75" t="n">
        <f aca="false">Rekap!C38/Rekap!$C$69</f>
        <v>0.00309146951924546</v>
      </c>
      <c r="D27" s="76" t="n">
        <v>10</v>
      </c>
      <c r="E27" s="76" t="n">
        <v>4</v>
      </c>
      <c r="F27" s="28" t="n">
        <f aca="false">D27+E27-1</f>
        <v>13</v>
      </c>
      <c r="G27" s="77" t="n">
        <f aca="false">IF(AND(G$6&gt;=$D27,G$6&lt;=$F27),$C27/$E27,0)</f>
        <v>0</v>
      </c>
      <c r="H27" s="77" t="n">
        <f aca="false">IF(AND(H$6&gt;=$D27,H$6&lt;=$F27),$C27/$E27,0)</f>
        <v>0</v>
      </c>
      <c r="I27" s="77" t="n">
        <f aca="false">IF(AND(I$6&gt;=$D27,I$6&lt;=$F27),$C27/$E27,0)</f>
        <v>0</v>
      </c>
      <c r="J27" s="77" t="n">
        <f aca="false">IF(AND(J$6&gt;=$D27,J$6&lt;=$F27),$C27/$E27,0)</f>
        <v>0</v>
      </c>
      <c r="K27" s="77" t="n">
        <f aca="false">IF(AND(K$6&gt;=$D27,K$6&lt;=$F27),$C27/$E27,0)</f>
        <v>0</v>
      </c>
      <c r="L27" s="77" t="n">
        <f aca="false">IF(AND(L$6&gt;=$D27,L$6&lt;=$F27),$C27/$E27,0)</f>
        <v>0</v>
      </c>
      <c r="M27" s="77" t="n">
        <f aca="false">IF(AND(M$6&gt;=$D27,M$6&lt;=$F27),$C27/$E27,0)</f>
        <v>0</v>
      </c>
      <c r="N27" s="77" t="n">
        <f aca="false">IF(AND(N$6&gt;=$D27,N$6&lt;=$F27),$C27/$E27,0)</f>
        <v>0</v>
      </c>
      <c r="O27" s="77" t="n">
        <f aca="false">IF(AND(O$6&gt;=$D27,O$6&lt;=$F27),$C27/$E27,0)</f>
        <v>0</v>
      </c>
      <c r="P27" s="77" t="n">
        <f aca="false">IF(AND(P$6&gt;=$D27,P$6&lt;=$F27),$C27/$E27,0)</f>
        <v>0.000772867379811364</v>
      </c>
      <c r="Q27" s="77" t="n">
        <f aca="false">IF(AND(Q$6&gt;=$D27,Q$6&lt;=$F27),$C27/$E27,0)</f>
        <v>0.000772867379811364</v>
      </c>
      <c r="R27" s="77" t="n">
        <f aca="false">IF(AND(R$6&gt;=$D27,R$6&lt;=$F27),$C27/$E27,0)</f>
        <v>0.000772867379811364</v>
      </c>
      <c r="S27" s="77" t="n">
        <f aca="false">IF(AND(S$6&gt;=$D27,S$6&lt;=$F27),$C27/$E27,0)</f>
        <v>0.000772867379811364</v>
      </c>
      <c r="T27" s="77" t="n">
        <f aca="false">IF(AND(T$6&gt;=$D27,T$6&lt;=$F27),$C27/$E27,0)</f>
        <v>0</v>
      </c>
      <c r="U27" s="77" t="n">
        <f aca="false">IF(AND(U$6&gt;=$D27,U$6&lt;=$F27),$C27/$E27,0)</f>
        <v>0</v>
      </c>
      <c r="V27" s="77" t="n">
        <f aca="false">IF(AND(V$6&gt;=$D27,V$6&lt;=$F27),$C27/$E27,0)</f>
        <v>0</v>
      </c>
      <c r="W27" s="77" t="n">
        <f aca="false">IF(AND(W$6&gt;=$D27,W$6&lt;=$F27),$C27/$E27,0)</f>
        <v>0</v>
      </c>
      <c r="X27" s="77" t="n">
        <f aca="false">IF(AND(X$6&gt;=$D27,X$6&lt;=$F27),$C27/$E27,0)</f>
        <v>0</v>
      </c>
      <c r="Y27" s="77" t="n">
        <f aca="false">IF(AND(Y$6&gt;=$D27,Y$6&lt;=$F27),$C27/$E27,0)</f>
        <v>0</v>
      </c>
      <c r="Z27" s="77" t="n">
        <f aca="false">IF(AND(Z$6&gt;=$D27,Z$6&lt;=$F27),$C27/$E27,0)</f>
        <v>0</v>
      </c>
      <c r="AA27" s="77" t="n">
        <f aca="false">IF(AND(AA$6&gt;=$D27,AA$6&lt;=$F27),$C27/$E27,0)</f>
        <v>0</v>
      </c>
      <c r="AB27" s="77" t="n">
        <f aca="false">IF(AND(AB$6&gt;=$D27,AB$6&lt;=$F27),$C27/$E27,0)</f>
        <v>0</v>
      </c>
      <c r="AC27" s="77" t="n">
        <f aca="false">IF(AND(AC$6&gt;=$D27,AC$6&lt;=$F27),$C27/$E27,0)</f>
        <v>0</v>
      </c>
      <c r="AD27" s="77" t="n">
        <f aca="false">IF(AND(AD$6&gt;=$D27,AD$6&lt;=$F27),$C27/$E27,0)</f>
        <v>0</v>
      </c>
      <c r="AE27" s="77" t="n">
        <f aca="false">IF(AND(AE$6&gt;=$D27,AE$6&lt;=$F27),$C27/$E27,0)</f>
        <v>0</v>
      </c>
      <c r="AF27" s="77" t="n">
        <f aca="false">IF(AND(AF$6&gt;=$D27,AF$6&lt;=$F27),$C27/$E27,0)</f>
        <v>0</v>
      </c>
      <c r="AG27" s="77" t="n">
        <f aca="false">IF(AND(AG$6&gt;=$D27,AG$6&lt;=$F27),$C27/$E27,0)</f>
        <v>0</v>
      </c>
      <c r="AH27" s="77" t="n">
        <f aca="false">IF(AND(AH$6&gt;=$D27,AH$6&lt;=$F27),$C27/$E27,0)</f>
        <v>0</v>
      </c>
      <c r="AI27" s="77" t="n">
        <f aca="false">IF(AND(AI$6&gt;=$D27,AI$6&lt;=$F27),$C27/$E27,0)</f>
        <v>0</v>
      </c>
      <c r="AJ27" s="77" t="n">
        <f aca="false">IF(AND(AJ$6&gt;=$D27,AJ$6&lt;=$F27),$C27/$E27,0)</f>
        <v>0</v>
      </c>
      <c r="AK27" s="77" t="n">
        <f aca="false">IF(AND(AK$6&gt;=$D27,AK$6&lt;=$F27),$C27/$E27,0)</f>
        <v>0</v>
      </c>
      <c r="AL27" s="77" t="n">
        <f aca="false">IF(AND(AL$6&gt;=$D27,AL$6&lt;=$F27),$C27/$E27,0)</f>
        <v>0</v>
      </c>
      <c r="AM27" s="77" t="n">
        <f aca="false">IF(AND(AM$6&gt;=$D27,AM$6&lt;=$F27),$C27/$E27,0)</f>
        <v>0</v>
      </c>
      <c r="AN27" s="77" t="n">
        <f aca="false">IF(AND(AN$6&gt;=$D27,AN$6&lt;=$F27),$C27/$E27,0)</f>
        <v>0</v>
      </c>
      <c r="AO27" s="77" t="n">
        <f aca="false">IF(AND(AO$6&gt;=$D27,AO$6&lt;=$F27),$C27/$E27,0)</f>
        <v>0</v>
      </c>
      <c r="AP27" s="77" t="n">
        <f aca="false">IF(AND(AP$6&gt;=$D27,AP$6&lt;=$F27),$C27/$E27,0)</f>
        <v>0</v>
      </c>
      <c r="AQ27" s="77" t="n">
        <f aca="false">IF(AND(AQ$6&gt;=$D27,AQ$6&lt;=$F27),$C27/$E27,0)</f>
        <v>0</v>
      </c>
      <c r="AR27" s="77" t="n">
        <f aca="false">IF(AND(AR$6&gt;=$D27,AR$6&lt;=$F27),$C27/$E27,0)</f>
        <v>0</v>
      </c>
      <c r="AS27" s="77" t="n">
        <f aca="false">IF(AND(AS$6&gt;=$D27,AS$6&lt;=$F27),$C27/$E27,0)</f>
        <v>0</v>
      </c>
      <c r="AT27" s="77" t="n">
        <f aca="false">IF(AND(AT$6&gt;=$D27,AT$6&lt;=$F27),$C27/$E27,0)</f>
        <v>0</v>
      </c>
      <c r="AU27" s="77" t="n">
        <f aca="false">IF(AND(AU$6&gt;=$D27,AU$6&lt;=$F27),$C27/$E27,0)</f>
        <v>0</v>
      </c>
      <c r="AV27" s="77" t="n">
        <f aca="false">IF(AND(AV$6&gt;=$D27,AV$6&lt;=$F27),$C27/$E27,0)</f>
        <v>0</v>
      </c>
      <c r="AW27" s="77" t="n">
        <f aca="false">IF(AND(AW$6&gt;=$D27,AW$6&lt;=$F27),$C27/$E27,0)</f>
        <v>0</v>
      </c>
    </row>
    <row r="28" customFormat="false" ht="25.5" hidden="false" customHeight="true" outlineLevel="0" collapsed="false">
      <c r="A28" s="28" t="n">
        <v>21</v>
      </c>
      <c r="B28" s="29" t="str">
        <f aca="false">"WORKSHOP TIK - "&amp;Rekap!B39</f>
        <v>WORKSHOP TIK - PEKERJAAN STRUKTURAL (WORKSHOP RINGAN TEKNIK INFORMATIKA DAN KOMPUTER (TIK))</v>
      </c>
      <c r="C28" s="75" t="n">
        <f aca="false">Rekap!C39/Rekap!$C$69</f>
        <v>0.0311592318053341</v>
      </c>
      <c r="D28" s="76" t="n">
        <v>13</v>
      </c>
      <c r="E28" s="76" t="n">
        <v>14</v>
      </c>
      <c r="F28" s="28" t="n">
        <f aca="false">D28+E28-1</f>
        <v>26</v>
      </c>
      <c r="G28" s="77" t="n">
        <f aca="false">IF(AND(G$6&gt;=$D28,G$6&lt;=$F28),$C28/$E28,0)</f>
        <v>0</v>
      </c>
      <c r="H28" s="77" t="n">
        <f aca="false">IF(AND(H$6&gt;=$D28,H$6&lt;=$F28),$C28/$E28,0)</f>
        <v>0</v>
      </c>
      <c r="I28" s="77" t="n">
        <f aca="false">IF(AND(I$6&gt;=$D28,I$6&lt;=$F28),$C28/$E28,0)</f>
        <v>0</v>
      </c>
      <c r="J28" s="77" t="n">
        <f aca="false">IF(AND(J$6&gt;=$D28,J$6&lt;=$F28),$C28/$E28,0)</f>
        <v>0</v>
      </c>
      <c r="K28" s="77" t="n">
        <f aca="false">IF(AND(K$6&gt;=$D28,K$6&lt;=$F28),$C28/$E28,0)</f>
        <v>0</v>
      </c>
      <c r="L28" s="77" t="n">
        <f aca="false">IF(AND(L$6&gt;=$D28,L$6&lt;=$F28),$C28/$E28,0)</f>
        <v>0</v>
      </c>
      <c r="M28" s="77" t="n">
        <f aca="false">IF(AND(M$6&gt;=$D28,M$6&lt;=$F28),$C28/$E28,0)</f>
        <v>0</v>
      </c>
      <c r="N28" s="77" t="n">
        <f aca="false">IF(AND(N$6&gt;=$D28,N$6&lt;=$F28),$C28/$E28,0)</f>
        <v>0</v>
      </c>
      <c r="O28" s="77" t="n">
        <f aca="false">IF(AND(O$6&gt;=$D28,O$6&lt;=$F28),$C28/$E28,0)</f>
        <v>0</v>
      </c>
      <c r="P28" s="77" t="n">
        <f aca="false">IF(AND(P$6&gt;=$D28,P$6&lt;=$F28),$C28/$E28,0)</f>
        <v>0</v>
      </c>
      <c r="Q28" s="77" t="n">
        <f aca="false">IF(AND(Q$6&gt;=$D28,Q$6&lt;=$F28),$C28/$E28,0)</f>
        <v>0</v>
      </c>
      <c r="R28" s="77" t="n">
        <f aca="false">IF(AND(R$6&gt;=$D28,R$6&lt;=$F28),$C28/$E28,0)</f>
        <v>0</v>
      </c>
      <c r="S28" s="77" t="n">
        <f aca="false">IF(AND(S$6&gt;=$D28,S$6&lt;=$F28),$C28/$E28,0)</f>
        <v>0.00222565941466672</v>
      </c>
      <c r="T28" s="77" t="n">
        <f aca="false">IF(AND(T$6&gt;=$D28,T$6&lt;=$F28),$C28/$E28,0)</f>
        <v>0.00222565941466672</v>
      </c>
      <c r="U28" s="77" t="n">
        <f aca="false">IF(AND(U$6&gt;=$D28,U$6&lt;=$F28),$C28/$E28,0)</f>
        <v>0.00222565941466672</v>
      </c>
      <c r="V28" s="77" t="n">
        <f aca="false">IF(AND(V$6&gt;=$D28,V$6&lt;=$F28),$C28/$E28,0)</f>
        <v>0.00222565941466672</v>
      </c>
      <c r="W28" s="77" t="n">
        <f aca="false">IF(AND(W$6&gt;=$D28,W$6&lt;=$F28),$C28/$E28,0)</f>
        <v>0.00222565941466672</v>
      </c>
      <c r="X28" s="77" t="n">
        <f aca="false">IF(AND(X$6&gt;=$D28,X$6&lt;=$F28),$C28/$E28,0)</f>
        <v>0.00222565941466672</v>
      </c>
      <c r="Y28" s="77" t="n">
        <f aca="false">IF(AND(Y$6&gt;=$D28,Y$6&lt;=$F28),$C28/$E28,0)</f>
        <v>0.00222565941466672</v>
      </c>
      <c r="Z28" s="77" t="n">
        <f aca="false">IF(AND(Z$6&gt;=$D28,Z$6&lt;=$F28),$C28/$E28,0)</f>
        <v>0.00222565941466672</v>
      </c>
      <c r="AA28" s="77" t="n">
        <f aca="false">IF(AND(AA$6&gt;=$D28,AA$6&lt;=$F28),$C28/$E28,0)</f>
        <v>0.00222565941466672</v>
      </c>
      <c r="AB28" s="77" t="n">
        <f aca="false">IF(AND(AB$6&gt;=$D28,AB$6&lt;=$F28),$C28/$E28,0)</f>
        <v>0.00222565941466672</v>
      </c>
      <c r="AC28" s="77" t="n">
        <f aca="false">IF(AND(AC$6&gt;=$D28,AC$6&lt;=$F28),$C28/$E28,0)</f>
        <v>0.00222565941466672</v>
      </c>
      <c r="AD28" s="77" t="n">
        <f aca="false">IF(AND(AD$6&gt;=$D28,AD$6&lt;=$F28),$C28/$E28,0)</f>
        <v>0.00222565941466672</v>
      </c>
      <c r="AE28" s="77" t="n">
        <f aca="false">IF(AND(AE$6&gt;=$D28,AE$6&lt;=$F28),$C28/$E28,0)</f>
        <v>0.00222565941466672</v>
      </c>
      <c r="AF28" s="77" t="n">
        <f aca="false">IF(AND(AF$6&gt;=$D28,AF$6&lt;=$F28),$C28/$E28,0)</f>
        <v>0.00222565941466672</v>
      </c>
      <c r="AG28" s="77" t="n">
        <f aca="false">IF(AND(AG$6&gt;=$D28,AG$6&lt;=$F28),$C28/$E28,0)</f>
        <v>0</v>
      </c>
      <c r="AH28" s="77" t="n">
        <f aca="false">IF(AND(AH$6&gt;=$D28,AH$6&lt;=$F28),$C28/$E28,0)</f>
        <v>0</v>
      </c>
      <c r="AI28" s="77" t="n">
        <f aca="false">IF(AND(AI$6&gt;=$D28,AI$6&lt;=$F28),$C28/$E28,0)</f>
        <v>0</v>
      </c>
      <c r="AJ28" s="77" t="n">
        <f aca="false">IF(AND(AJ$6&gt;=$D28,AJ$6&lt;=$F28),$C28/$E28,0)</f>
        <v>0</v>
      </c>
      <c r="AK28" s="77" t="n">
        <f aca="false">IF(AND(AK$6&gt;=$D28,AK$6&lt;=$F28),$C28/$E28,0)</f>
        <v>0</v>
      </c>
      <c r="AL28" s="77" t="n">
        <f aca="false">IF(AND(AL$6&gt;=$D28,AL$6&lt;=$F28),$C28/$E28,0)</f>
        <v>0</v>
      </c>
      <c r="AM28" s="77" t="n">
        <f aca="false">IF(AND(AM$6&gt;=$D28,AM$6&lt;=$F28),$C28/$E28,0)</f>
        <v>0</v>
      </c>
      <c r="AN28" s="77" t="n">
        <f aca="false">IF(AND(AN$6&gt;=$D28,AN$6&lt;=$F28),$C28/$E28,0)</f>
        <v>0</v>
      </c>
      <c r="AO28" s="77" t="n">
        <f aca="false">IF(AND(AO$6&gt;=$D28,AO$6&lt;=$F28),$C28/$E28,0)</f>
        <v>0</v>
      </c>
      <c r="AP28" s="77" t="n">
        <f aca="false">IF(AND(AP$6&gt;=$D28,AP$6&lt;=$F28),$C28/$E28,0)</f>
        <v>0</v>
      </c>
      <c r="AQ28" s="77" t="n">
        <f aca="false">IF(AND(AQ$6&gt;=$D28,AQ$6&lt;=$F28),$C28/$E28,0)</f>
        <v>0</v>
      </c>
      <c r="AR28" s="77" t="n">
        <f aca="false">IF(AND(AR$6&gt;=$D28,AR$6&lt;=$F28),$C28/$E28,0)</f>
        <v>0</v>
      </c>
      <c r="AS28" s="77" t="n">
        <f aca="false">IF(AND(AS$6&gt;=$D28,AS$6&lt;=$F28),$C28/$E28,0)</f>
        <v>0</v>
      </c>
      <c r="AT28" s="77" t="n">
        <f aca="false">IF(AND(AT$6&gt;=$D28,AT$6&lt;=$F28),$C28/$E28,0)</f>
        <v>0</v>
      </c>
      <c r="AU28" s="77" t="n">
        <f aca="false">IF(AND(AU$6&gt;=$D28,AU$6&lt;=$F28),$C28/$E28,0)</f>
        <v>0</v>
      </c>
      <c r="AV28" s="77" t="n">
        <f aca="false">IF(AND(AV$6&gt;=$D28,AV$6&lt;=$F28),$C28/$E28,0)</f>
        <v>0</v>
      </c>
      <c r="AW28" s="77" t="n">
        <f aca="false">IF(AND(AW$6&gt;=$D28,AW$6&lt;=$F28),$C28/$E28,0)</f>
        <v>0</v>
      </c>
    </row>
    <row r="29" customFormat="false" ht="25.5" hidden="false" customHeight="true" outlineLevel="0" collapsed="false">
      <c r="A29" s="28" t="n">
        <v>22</v>
      </c>
      <c r="B29" s="29" t="str">
        <f aca="false">"WORKSHOP TIK - "&amp;Rekap!B40</f>
        <v>WORKSHOP TIK - PEKERJAAN ARSITEKTURAL (WORKSHOP RINGAN TEKNIK INFORMATIKA DAN KOMPUTER (TIK))</v>
      </c>
      <c r="C29" s="75" t="n">
        <f aca="false">Rekap!C40/Rekap!$C$69</f>
        <v>0.039778688350246</v>
      </c>
      <c r="D29" s="76" t="n">
        <v>24</v>
      </c>
      <c r="E29" s="76" t="n">
        <v>12</v>
      </c>
      <c r="F29" s="28" t="n">
        <f aca="false">D29+E29-1</f>
        <v>35</v>
      </c>
      <c r="G29" s="77" t="n">
        <f aca="false">IF(AND(G$6&gt;=$D29,G$6&lt;=$F29),$C29/$E29,0)</f>
        <v>0</v>
      </c>
      <c r="H29" s="77" t="n">
        <f aca="false">IF(AND(H$6&gt;=$D29,H$6&lt;=$F29),$C29/$E29,0)</f>
        <v>0</v>
      </c>
      <c r="I29" s="77" t="n">
        <f aca="false">IF(AND(I$6&gt;=$D29,I$6&lt;=$F29),$C29/$E29,0)</f>
        <v>0</v>
      </c>
      <c r="J29" s="77" t="n">
        <f aca="false">IF(AND(J$6&gt;=$D29,J$6&lt;=$F29),$C29/$E29,0)</f>
        <v>0</v>
      </c>
      <c r="K29" s="77" t="n">
        <f aca="false">IF(AND(K$6&gt;=$D29,K$6&lt;=$F29),$C29/$E29,0)</f>
        <v>0</v>
      </c>
      <c r="L29" s="77" t="n">
        <f aca="false">IF(AND(L$6&gt;=$D29,L$6&lt;=$F29),$C29/$E29,0)</f>
        <v>0</v>
      </c>
      <c r="M29" s="77" t="n">
        <f aca="false">IF(AND(M$6&gt;=$D29,M$6&lt;=$F29),$C29/$E29,0)</f>
        <v>0</v>
      </c>
      <c r="N29" s="77" t="n">
        <f aca="false">IF(AND(N$6&gt;=$D29,N$6&lt;=$F29),$C29/$E29,0)</f>
        <v>0</v>
      </c>
      <c r="O29" s="77" t="n">
        <f aca="false">IF(AND(O$6&gt;=$D29,O$6&lt;=$F29),$C29/$E29,0)</f>
        <v>0</v>
      </c>
      <c r="P29" s="77" t="n">
        <f aca="false">IF(AND(P$6&gt;=$D29,P$6&lt;=$F29),$C29/$E29,0)</f>
        <v>0</v>
      </c>
      <c r="Q29" s="77" t="n">
        <f aca="false">IF(AND(Q$6&gt;=$D29,Q$6&lt;=$F29),$C29/$E29,0)</f>
        <v>0</v>
      </c>
      <c r="R29" s="77" t="n">
        <f aca="false">IF(AND(R$6&gt;=$D29,R$6&lt;=$F29),$C29/$E29,0)</f>
        <v>0</v>
      </c>
      <c r="S29" s="77" t="n">
        <f aca="false">IF(AND(S$6&gt;=$D29,S$6&lt;=$F29),$C29/$E29,0)</f>
        <v>0</v>
      </c>
      <c r="T29" s="77" t="n">
        <f aca="false">IF(AND(T$6&gt;=$D29,T$6&lt;=$F29),$C29/$E29,0)</f>
        <v>0</v>
      </c>
      <c r="U29" s="77" t="n">
        <f aca="false">IF(AND(U$6&gt;=$D29,U$6&lt;=$F29),$C29/$E29,0)</f>
        <v>0</v>
      </c>
      <c r="V29" s="77" t="n">
        <f aca="false">IF(AND(V$6&gt;=$D29,V$6&lt;=$F29),$C29/$E29,0)</f>
        <v>0</v>
      </c>
      <c r="W29" s="77" t="n">
        <f aca="false">IF(AND(W$6&gt;=$D29,W$6&lt;=$F29),$C29/$E29,0)</f>
        <v>0</v>
      </c>
      <c r="X29" s="77" t="n">
        <f aca="false">IF(AND(X$6&gt;=$D29,X$6&lt;=$F29),$C29/$E29,0)</f>
        <v>0</v>
      </c>
      <c r="Y29" s="77" t="n">
        <f aca="false">IF(AND(Y$6&gt;=$D29,Y$6&lt;=$F29),$C29/$E29,0)</f>
        <v>0</v>
      </c>
      <c r="Z29" s="77" t="n">
        <f aca="false">IF(AND(Z$6&gt;=$D29,Z$6&lt;=$F29),$C29/$E29,0)</f>
        <v>0</v>
      </c>
      <c r="AA29" s="77" t="n">
        <f aca="false">IF(AND(AA$6&gt;=$D29,AA$6&lt;=$F29),$C29/$E29,0)</f>
        <v>0</v>
      </c>
      <c r="AB29" s="77" t="n">
        <f aca="false">IF(AND(AB$6&gt;=$D29,AB$6&lt;=$F29),$C29/$E29,0)</f>
        <v>0</v>
      </c>
      <c r="AC29" s="77" t="n">
        <f aca="false">IF(AND(AC$6&gt;=$D29,AC$6&lt;=$F29),$C29/$E29,0)</f>
        <v>0</v>
      </c>
      <c r="AD29" s="77" t="n">
        <f aca="false">IF(AND(AD$6&gt;=$D29,AD$6&lt;=$F29),$C29/$E29,0)</f>
        <v>0.00331489069585384</v>
      </c>
      <c r="AE29" s="77" t="n">
        <f aca="false">IF(AND(AE$6&gt;=$D29,AE$6&lt;=$F29),$C29/$E29,0)</f>
        <v>0.00331489069585384</v>
      </c>
      <c r="AF29" s="77" t="n">
        <f aca="false">IF(AND(AF$6&gt;=$D29,AF$6&lt;=$F29),$C29/$E29,0)</f>
        <v>0.00331489069585384</v>
      </c>
      <c r="AG29" s="77" t="n">
        <f aca="false">IF(AND(AG$6&gt;=$D29,AG$6&lt;=$F29),$C29/$E29,0)</f>
        <v>0.00331489069585384</v>
      </c>
      <c r="AH29" s="77" t="n">
        <f aca="false">IF(AND(AH$6&gt;=$D29,AH$6&lt;=$F29),$C29/$E29,0)</f>
        <v>0.00331489069585384</v>
      </c>
      <c r="AI29" s="77" t="n">
        <f aca="false">IF(AND(AI$6&gt;=$D29,AI$6&lt;=$F29),$C29/$E29,0)</f>
        <v>0.00331489069585384</v>
      </c>
      <c r="AJ29" s="77" t="n">
        <f aca="false">IF(AND(AJ$6&gt;=$D29,AJ$6&lt;=$F29),$C29/$E29,0)</f>
        <v>0.00331489069585384</v>
      </c>
      <c r="AK29" s="77" t="n">
        <f aca="false">IF(AND(AK$6&gt;=$D29,AK$6&lt;=$F29),$C29/$E29,0)</f>
        <v>0.00331489069585384</v>
      </c>
      <c r="AL29" s="77" t="n">
        <f aca="false">IF(AND(AL$6&gt;=$D29,AL$6&lt;=$F29),$C29/$E29,0)</f>
        <v>0.00331489069585384</v>
      </c>
      <c r="AM29" s="77" t="n">
        <f aca="false">IF(AND(AM$6&gt;=$D29,AM$6&lt;=$F29),$C29/$E29,0)</f>
        <v>0.00331489069585384</v>
      </c>
      <c r="AN29" s="77" t="n">
        <f aca="false">IF(AND(AN$6&gt;=$D29,AN$6&lt;=$F29),$C29/$E29,0)</f>
        <v>0.00331489069585384</v>
      </c>
      <c r="AO29" s="77" t="n">
        <f aca="false">IF(AND(AO$6&gt;=$D29,AO$6&lt;=$F29),$C29/$E29,0)</f>
        <v>0.00331489069585384</v>
      </c>
      <c r="AP29" s="77" t="n">
        <f aca="false">IF(AND(AP$6&gt;=$D29,AP$6&lt;=$F29),$C29/$E29,0)</f>
        <v>0</v>
      </c>
      <c r="AQ29" s="77" t="n">
        <f aca="false">IF(AND(AQ$6&gt;=$D29,AQ$6&lt;=$F29),$C29/$E29,0)</f>
        <v>0</v>
      </c>
      <c r="AR29" s="77" t="n">
        <f aca="false">IF(AND(AR$6&gt;=$D29,AR$6&lt;=$F29),$C29/$E29,0)</f>
        <v>0</v>
      </c>
      <c r="AS29" s="77" t="n">
        <f aca="false">IF(AND(AS$6&gt;=$D29,AS$6&lt;=$F29),$C29/$E29,0)</f>
        <v>0</v>
      </c>
      <c r="AT29" s="77" t="n">
        <f aca="false">IF(AND(AT$6&gt;=$D29,AT$6&lt;=$F29),$C29/$E29,0)</f>
        <v>0</v>
      </c>
      <c r="AU29" s="77" t="n">
        <f aca="false">IF(AND(AU$6&gt;=$D29,AU$6&lt;=$F29),$C29/$E29,0)</f>
        <v>0</v>
      </c>
      <c r="AV29" s="77" t="n">
        <f aca="false">IF(AND(AV$6&gt;=$D29,AV$6&lt;=$F29),$C29/$E29,0)</f>
        <v>0</v>
      </c>
      <c r="AW29" s="77" t="n">
        <f aca="false">IF(AND(AW$6&gt;=$D29,AW$6&lt;=$F29),$C29/$E29,0)</f>
        <v>0</v>
      </c>
    </row>
    <row r="30" customFormat="false" ht="25.5" hidden="false" customHeight="true" outlineLevel="0" collapsed="false">
      <c r="A30" s="28" t="n">
        <v>23</v>
      </c>
      <c r="B30" s="29" t="str">
        <f aca="false">"WORKSHOP TIK - "&amp;Rekap!B41</f>
        <v>WORKSHOP TIK - PEKERJAAN MEKANIKAL PLUMBING (WORKSHOP TEKNIK INFORMATIKA DAN KOMPUTER (TIK))</v>
      </c>
      <c r="C30" s="75" t="n">
        <f aca="false">Rekap!C41/Rekap!$C$69</f>
        <v>0.00639738300383712</v>
      </c>
      <c r="D30" s="76" t="n">
        <v>28</v>
      </c>
      <c r="E30" s="76" t="n">
        <v>10</v>
      </c>
      <c r="F30" s="28" t="n">
        <f aca="false">D30+E30-1</f>
        <v>37</v>
      </c>
      <c r="G30" s="77" t="n">
        <f aca="false">IF(AND(G$6&gt;=$D30,G$6&lt;=$F30),$C30/$E30,0)</f>
        <v>0</v>
      </c>
      <c r="H30" s="77" t="n">
        <f aca="false">IF(AND(H$6&gt;=$D30,H$6&lt;=$F30),$C30/$E30,0)</f>
        <v>0</v>
      </c>
      <c r="I30" s="77" t="n">
        <f aca="false">IF(AND(I$6&gt;=$D30,I$6&lt;=$F30),$C30/$E30,0)</f>
        <v>0</v>
      </c>
      <c r="J30" s="77" t="n">
        <f aca="false">IF(AND(J$6&gt;=$D30,J$6&lt;=$F30),$C30/$E30,0)</f>
        <v>0</v>
      </c>
      <c r="K30" s="77" t="n">
        <f aca="false">IF(AND(K$6&gt;=$D30,K$6&lt;=$F30),$C30/$E30,0)</f>
        <v>0</v>
      </c>
      <c r="L30" s="77" t="n">
        <f aca="false">IF(AND(L$6&gt;=$D30,L$6&lt;=$F30),$C30/$E30,0)</f>
        <v>0</v>
      </c>
      <c r="M30" s="77" t="n">
        <f aca="false">IF(AND(M$6&gt;=$D30,M$6&lt;=$F30),$C30/$E30,0)</f>
        <v>0</v>
      </c>
      <c r="N30" s="77" t="n">
        <f aca="false">IF(AND(N$6&gt;=$D30,N$6&lt;=$F30),$C30/$E30,0)</f>
        <v>0</v>
      </c>
      <c r="O30" s="77" t="n">
        <f aca="false">IF(AND(O$6&gt;=$D30,O$6&lt;=$F30),$C30/$E30,0)</f>
        <v>0</v>
      </c>
      <c r="P30" s="77" t="n">
        <f aca="false">IF(AND(P$6&gt;=$D30,P$6&lt;=$F30),$C30/$E30,0)</f>
        <v>0</v>
      </c>
      <c r="Q30" s="77" t="n">
        <f aca="false">IF(AND(Q$6&gt;=$D30,Q$6&lt;=$F30),$C30/$E30,0)</f>
        <v>0</v>
      </c>
      <c r="R30" s="77" t="n">
        <f aca="false">IF(AND(R$6&gt;=$D30,R$6&lt;=$F30),$C30/$E30,0)</f>
        <v>0</v>
      </c>
      <c r="S30" s="77" t="n">
        <f aca="false">IF(AND(S$6&gt;=$D30,S$6&lt;=$F30),$C30/$E30,0)</f>
        <v>0</v>
      </c>
      <c r="T30" s="77" t="n">
        <f aca="false">IF(AND(T$6&gt;=$D30,T$6&lt;=$F30),$C30/$E30,0)</f>
        <v>0</v>
      </c>
      <c r="U30" s="77" t="n">
        <f aca="false">IF(AND(U$6&gt;=$D30,U$6&lt;=$F30),$C30/$E30,0)</f>
        <v>0</v>
      </c>
      <c r="V30" s="77" t="n">
        <f aca="false">IF(AND(V$6&gt;=$D30,V$6&lt;=$F30),$C30/$E30,0)</f>
        <v>0</v>
      </c>
      <c r="W30" s="77" t="n">
        <f aca="false">IF(AND(W$6&gt;=$D30,W$6&lt;=$F30),$C30/$E30,0)</f>
        <v>0</v>
      </c>
      <c r="X30" s="77" t="n">
        <f aca="false">IF(AND(X$6&gt;=$D30,X$6&lt;=$F30),$C30/$E30,0)</f>
        <v>0</v>
      </c>
      <c r="Y30" s="77" t="n">
        <f aca="false">IF(AND(Y$6&gt;=$D30,Y$6&lt;=$F30),$C30/$E30,0)</f>
        <v>0</v>
      </c>
      <c r="Z30" s="77" t="n">
        <f aca="false">IF(AND(Z$6&gt;=$D30,Z$6&lt;=$F30),$C30/$E30,0)</f>
        <v>0</v>
      </c>
      <c r="AA30" s="77" t="n">
        <f aca="false">IF(AND(AA$6&gt;=$D30,AA$6&lt;=$F30),$C30/$E30,0)</f>
        <v>0</v>
      </c>
      <c r="AB30" s="77" t="n">
        <f aca="false">IF(AND(AB$6&gt;=$D30,AB$6&lt;=$F30),$C30/$E30,0)</f>
        <v>0</v>
      </c>
      <c r="AC30" s="77" t="n">
        <f aca="false">IF(AND(AC$6&gt;=$D30,AC$6&lt;=$F30),$C30/$E30,0)</f>
        <v>0</v>
      </c>
      <c r="AD30" s="77" t="n">
        <f aca="false">IF(AND(AD$6&gt;=$D30,AD$6&lt;=$F30),$C30/$E30,0)</f>
        <v>0</v>
      </c>
      <c r="AE30" s="77" t="n">
        <f aca="false">IF(AND(AE$6&gt;=$D30,AE$6&lt;=$F30),$C30/$E30,0)</f>
        <v>0</v>
      </c>
      <c r="AF30" s="77" t="n">
        <f aca="false">IF(AND(AF$6&gt;=$D30,AF$6&lt;=$F30),$C30/$E30,0)</f>
        <v>0</v>
      </c>
      <c r="AG30" s="77" t="n">
        <f aca="false">IF(AND(AG$6&gt;=$D30,AG$6&lt;=$F30),$C30/$E30,0)</f>
        <v>0</v>
      </c>
      <c r="AH30" s="77" t="n">
        <f aca="false">IF(AND(AH$6&gt;=$D30,AH$6&lt;=$F30),$C30/$E30,0)</f>
        <v>0.000639738300383712</v>
      </c>
      <c r="AI30" s="77" t="n">
        <f aca="false">IF(AND(AI$6&gt;=$D30,AI$6&lt;=$F30),$C30/$E30,0)</f>
        <v>0.000639738300383712</v>
      </c>
      <c r="AJ30" s="77" t="n">
        <f aca="false">IF(AND(AJ$6&gt;=$D30,AJ$6&lt;=$F30),$C30/$E30,0)</f>
        <v>0.000639738300383712</v>
      </c>
      <c r="AK30" s="77" t="n">
        <f aca="false">IF(AND(AK$6&gt;=$D30,AK$6&lt;=$F30),$C30/$E30,0)</f>
        <v>0.000639738300383712</v>
      </c>
      <c r="AL30" s="77" t="n">
        <f aca="false">IF(AND(AL$6&gt;=$D30,AL$6&lt;=$F30),$C30/$E30,0)</f>
        <v>0.000639738300383712</v>
      </c>
      <c r="AM30" s="77" t="n">
        <f aca="false">IF(AND(AM$6&gt;=$D30,AM$6&lt;=$F30),$C30/$E30,0)</f>
        <v>0.000639738300383712</v>
      </c>
      <c r="AN30" s="77" t="n">
        <f aca="false">IF(AND(AN$6&gt;=$D30,AN$6&lt;=$F30),$C30/$E30,0)</f>
        <v>0.000639738300383712</v>
      </c>
      <c r="AO30" s="77" t="n">
        <f aca="false">IF(AND(AO$6&gt;=$D30,AO$6&lt;=$F30),$C30/$E30,0)</f>
        <v>0.000639738300383712</v>
      </c>
      <c r="AP30" s="77" t="n">
        <f aca="false">IF(AND(AP$6&gt;=$D30,AP$6&lt;=$F30),$C30/$E30,0)</f>
        <v>0.000639738300383712</v>
      </c>
      <c r="AQ30" s="77" t="n">
        <f aca="false">IF(AND(AQ$6&gt;=$D30,AQ$6&lt;=$F30),$C30/$E30,0)</f>
        <v>0.000639738300383712</v>
      </c>
      <c r="AR30" s="77" t="n">
        <f aca="false">IF(AND(AR$6&gt;=$D30,AR$6&lt;=$F30),$C30/$E30,0)</f>
        <v>0</v>
      </c>
      <c r="AS30" s="77" t="n">
        <f aca="false">IF(AND(AS$6&gt;=$D30,AS$6&lt;=$F30),$C30/$E30,0)</f>
        <v>0</v>
      </c>
      <c r="AT30" s="77" t="n">
        <f aca="false">IF(AND(AT$6&gt;=$D30,AT$6&lt;=$F30),$C30/$E30,0)</f>
        <v>0</v>
      </c>
      <c r="AU30" s="77" t="n">
        <f aca="false">IF(AND(AU$6&gt;=$D30,AU$6&lt;=$F30),$C30/$E30,0)</f>
        <v>0</v>
      </c>
      <c r="AV30" s="77" t="n">
        <f aca="false">IF(AND(AV$6&gt;=$D30,AV$6&lt;=$F30),$C30/$E30,0)</f>
        <v>0</v>
      </c>
      <c r="AW30" s="77" t="n">
        <f aca="false">IF(AND(AW$6&gt;=$D30,AW$6&lt;=$F30),$C30/$E30,0)</f>
        <v>0</v>
      </c>
    </row>
    <row r="31" customFormat="false" ht="25.5" hidden="false" customHeight="true" outlineLevel="0" collapsed="false">
      <c r="A31" s="28" t="n">
        <v>24</v>
      </c>
      <c r="B31" s="29" t="str">
        <f aca="false">"WORKSHOP TIK - "&amp;Rekap!B42</f>
        <v>WORKSHOP TIK - PEKERJAAN ELEKTRIKAL (WORKSHOP TEKNIK INFORMATIKA DAN KOMPUTER (TIK))</v>
      </c>
      <c r="C31" s="75" t="n">
        <f aca="false">Rekap!C42/Rekap!$C$69</f>
        <v>0.00411051269311775</v>
      </c>
      <c r="D31" s="76" t="n">
        <v>30</v>
      </c>
      <c r="E31" s="76" t="n">
        <v>10</v>
      </c>
      <c r="F31" s="28" t="n">
        <f aca="false">D31+E31-1</f>
        <v>39</v>
      </c>
      <c r="G31" s="77" t="n">
        <f aca="false">IF(AND(G$6&gt;=$D31,G$6&lt;=$F31),$C31/$E31,0)</f>
        <v>0</v>
      </c>
      <c r="H31" s="77" t="n">
        <f aca="false">IF(AND(H$6&gt;=$D31,H$6&lt;=$F31),$C31/$E31,0)</f>
        <v>0</v>
      </c>
      <c r="I31" s="77" t="n">
        <f aca="false">IF(AND(I$6&gt;=$D31,I$6&lt;=$F31),$C31/$E31,0)</f>
        <v>0</v>
      </c>
      <c r="J31" s="77" t="n">
        <f aca="false">IF(AND(J$6&gt;=$D31,J$6&lt;=$F31),$C31/$E31,0)</f>
        <v>0</v>
      </c>
      <c r="K31" s="77" t="n">
        <f aca="false">IF(AND(K$6&gt;=$D31,K$6&lt;=$F31),$C31/$E31,0)</f>
        <v>0</v>
      </c>
      <c r="L31" s="77" t="n">
        <f aca="false">IF(AND(L$6&gt;=$D31,L$6&lt;=$F31),$C31/$E31,0)</f>
        <v>0</v>
      </c>
      <c r="M31" s="77" t="n">
        <f aca="false">IF(AND(M$6&gt;=$D31,M$6&lt;=$F31),$C31/$E31,0)</f>
        <v>0</v>
      </c>
      <c r="N31" s="77" t="n">
        <f aca="false">IF(AND(N$6&gt;=$D31,N$6&lt;=$F31),$C31/$E31,0)</f>
        <v>0</v>
      </c>
      <c r="O31" s="77" t="n">
        <f aca="false">IF(AND(O$6&gt;=$D31,O$6&lt;=$F31),$C31/$E31,0)</f>
        <v>0</v>
      </c>
      <c r="P31" s="77" t="n">
        <f aca="false">IF(AND(P$6&gt;=$D31,P$6&lt;=$F31),$C31/$E31,0)</f>
        <v>0</v>
      </c>
      <c r="Q31" s="77" t="n">
        <f aca="false">IF(AND(Q$6&gt;=$D31,Q$6&lt;=$F31),$C31/$E31,0)</f>
        <v>0</v>
      </c>
      <c r="R31" s="77" t="n">
        <f aca="false">IF(AND(R$6&gt;=$D31,R$6&lt;=$F31),$C31/$E31,0)</f>
        <v>0</v>
      </c>
      <c r="S31" s="77" t="n">
        <f aca="false">IF(AND(S$6&gt;=$D31,S$6&lt;=$F31),$C31/$E31,0)</f>
        <v>0</v>
      </c>
      <c r="T31" s="77" t="n">
        <f aca="false">IF(AND(T$6&gt;=$D31,T$6&lt;=$F31),$C31/$E31,0)</f>
        <v>0</v>
      </c>
      <c r="U31" s="77" t="n">
        <f aca="false">IF(AND(U$6&gt;=$D31,U$6&lt;=$F31),$C31/$E31,0)</f>
        <v>0</v>
      </c>
      <c r="V31" s="77" t="n">
        <f aca="false">IF(AND(V$6&gt;=$D31,V$6&lt;=$F31),$C31/$E31,0)</f>
        <v>0</v>
      </c>
      <c r="W31" s="77" t="n">
        <f aca="false">IF(AND(W$6&gt;=$D31,W$6&lt;=$F31),$C31/$E31,0)</f>
        <v>0</v>
      </c>
      <c r="X31" s="77" t="n">
        <f aca="false">IF(AND(X$6&gt;=$D31,X$6&lt;=$F31),$C31/$E31,0)</f>
        <v>0</v>
      </c>
      <c r="Y31" s="77" t="n">
        <f aca="false">IF(AND(Y$6&gt;=$D31,Y$6&lt;=$F31),$C31/$E31,0)</f>
        <v>0</v>
      </c>
      <c r="Z31" s="77" t="n">
        <f aca="false">IF(AND(Z$6&gt;=$D31,Z$6&lt;=$F31),$C31/$E31,0)</f>
        <v>0</v>
      </c>
      <c r="AA31" s="77" t="n">
        <f aca="false">IF(AND(AA$6&gt;=$D31,AA$6&lt;=$F31),$C31/$E31,0)</f>
        <v>0</v>
      </c>
      <c r="AB31" s="77" t="n">
        <f aca="false">IF(AND(AB$6&gt;=$D31,AB$6&lt;=$F31),$C31/$E31,0)</f>
        <v>0</v>
      </c>
      <c r="AC31" s="77" t="n">
        <f aca="false">IF(AND(AC$6&gt;=$D31,AC$6&lt;=$F31),$C31/$E31,0)</f>
        <v>0</v>
      </c>
      <c r="AD31" s="77" t="n">
        <f aca="false">IF(AND(AD$6&gt;=$D31,AD$6&lt;=$F31),$C31/$E31,0)</f>
        <v>0</v>
      </c>
      <c r="AE31" s="77" t="n">
        <f aca="false">IF(AND(AE$6&gt;=$D31,AE$6&lt;=$F31),$C31/$E31,0)</f>
        <v>0</v>
      </c>
      <c r="AF31" s="77" t="n">
        <f aca="false">IF(AND(AF$6&gt;=$D31,AF$6&lt;=$F31),$C31/$E31,0)</f>
        <v>0</v>
      </c>
      <c r="AG31" s="77" t="n">
        <f aca="false">IF(AND(AG$6&gt;=$D31,AG$6&lt;=$F31),$C31/$E31,0)</f>
        <v>0</v>
      </c>
      <c r="AH31" s="77" t="n">
        <f aca="false">IF(AND(AH$6&gt;=$D31,AH$6&lt;=$F31),$C31/$E31,0)</f>
        <v>0</v>
      </c>
      <c r="AI31" s="77" t="n">
        <f aca="false">IF(AND(AI$6&gt;=$D31,AI$6&lt;=$F31),$C31/$E31,0)</f>
        <v>0</v>
      </c>
      <c r="AJ31" s="77" t="n">
        <f aca="false">IF(AND(AJ$6&gt;=$D31,AJ$6&lt;=$F31),$C31/$E31,0)</f>
        <v>0.000411051269311775</v>
      </c>
      <c r="AK31" s="77" t="n">
        <f aca="false">IF(AND(AK$6&gt;=$D31,AK$6&lt;=$F31),$C31/$E31,0)</f>
        <v>0.000411051269311775</v>
      </c>
      <c r="AL31" s="77" t="n">
        <f aca="false">IF(AND(AL$6&gt;=$D31,AL$6&lt;=$F31),$C31/$E31,0)</f>
        <v>0.000411051269311775</v>
      </c>
      <c r="AM31" s="77" t="n">
        <f aca="false">IF(AND(AM$6&gt;=$D31,AM$6&lt;=$F31),$C31/$E31,0)</f>
        <v>0.000411051269311775</v>
      </c>
      <c r="AN31" s="77" t="n">
        <f aca="false">IF(AND(AN$6&gt;=$D31,AN$6&lt;=$F31),$C31/$E31,0)</f>
        <v>0.000411051269311775</v>
      </c>
      <c r="AO31" s="77" t="n">
        <f aca="false">IF(AND(AO$6&gt;=$D31,AO$6&lt;=$F31),$C31/$E31,0)</f>
        <v>0.000411051269311775</v>
      </c>
      <c r="AP31" s="77" t="n">
        <f aca="false">IF(AND(AP$6&gt;=$D31,AP$6&lt;=$F31),$C31/$E31,0)</f>
        <v>0.000411051269311775</v>
      </c>
      <c r="AQ31" s="77" t="n">
        <f aca="false">IF(AND(AQ$6&gt;=$D31,AQ$6&lt;=$F31),$C31/$E31,0)</f>
        <v>0.000411051269311775</v>
      </c>
      <c r="AR31" s="77" t="n">
        <f aca="false">IF(AND(AR$6&gt;=$D31,AR$6&lt;=$F31),$C31/$E31,0)</f>
        <v>0.000411051269311775</v>
      </c>
      <c r="AS31" s="77" t="n">
        <f aca="false">IF(AND(AS$6&gt;=$D31,AS$6&lt;=$F31),$C31/$E31,0)</f>
        <v>0.000411051269311775</v>
      </c>
      <c r="AT31" s="77" t="n">
        <f aca="false">IF(AND(AT$6&gt;=$D31,AT$6&lt;=$F31),$C31/$E31,0)</f>
        <v>0</v>
      </c>
      <c r="AU31" s="77" t="n">
        <f aca="false">IF(AND(AU$6&gt;=$D31,AU$6&lt;=$F31),$C31/$E31,0)</f>
        <v>0</v>
      </c>
      <c r="AV31" s="77" t="n">
        <f aca="false">IF(AND(AV$6&gt;=$D31,AV$6&lt;=$F31),$C31/$E31,0)</f>
        <v>0</v>
      </c>
      <c r="AW31" s="77" t="n">
        <f aca="false">IF(AND(AW$6&gt;=$D31,AW$6&lt;=$F31),$C31/$E31,0)</f>
        <v>0</v>
      </c>
    </row>
    <row r="32" customFormat="false" ht="25.5" hidden="false" customHeight="true" outlineLevel="0" collapsed="false">
      <c r="A32" s="28" t="n">
        <v>25</v>
      </c>
      <c r="B32" s="29" t="str">
        <f aca="false">"GARDU PLN &amp; POWER HOUSE - "&amp;Rekap!B45</f>
        <v>GARDU PLN &amp; POWER HOUSE - PEKERJAAN TANAH (PLN)</v>
      </c>
      <c r="C32" s="75" t="n">
        <f aca="false">Rekap!C45/Rekap!$C$69</f>
        <v>0.00374793950994066</v>
      </c>
      <c r="D32" s="76" t="n">
        <v>10</v>
      </c>
      <c r="E32" s="76" t="n">
        <v>3</v>
      </c>
      <c r="F32" s="28" t="n">
        <f aca="false">D32+E32-1</f>
        <v>12</v>
      </c>
      <c r="G32" s="77" t="n">
        <f aca="false">IF(AND(G$6&gt;=$D32,G$6&lt;=$F32),$C32/$E32,0)</f>
        <v>0</v>
      </c>
      <c r="H32" s="77" t="n">
        <f aca="false">IF(AND(H$6&gt;=$D32,H$6&lt;=$F32),$C32/$E32,0)</f>
        <v>0</v>
      </c>
      <c r="I32" s="77" t="n">
        <f aca="false">IF(AND(I$6&gt;=$D32,I$6&lt;=$F32),$C32/$E32,0)</f>
        <v>0</v>
      </c>
      <c r="J32" s="77" t="n">
        <f aca="false">IF(AND(J$6&gt;=$D32,J$6&lt;=$F32),$C32/$E32,0)</f>
        <v>0</v>
      </c>
      <c r="K32" s="77" t="n">
        <f aca="false">IF(AND(K$6&gt;=$D32,K$6&lt;=$F32),$C32/$E32,0)</f>
        <v>0</v>
      </c>
      <c r="L32" s="77" t="n">
        <f aca="false">IF(AND(L$6&gt;=$D32,L$6&lt;=$F32),$C32/$E32,0)</f>
        <v>0</v>
      </c>
      <c r="M32" s="77" t="n">
        <f aca="false">IF(AND(M$6&gt;=$D32,M$6&lt;=$F32),$C32/$E32,0)</f>
        <v>0</v>
      </c>
      <c r="N32" s="77" t="n">
        <f aca="false">IF(AND(N$6&gt;=$D32,N$6&lt;=$F32),$C32/$E32,0)</f>
        <v>0</v>
      </c>
      <c r="O32" s="77" t="n">
        <f aca="false">IF(AND(O$6&gt;=$D32,O$6&lt;=$F32),$C32/$E32,0)</f>
        <v>0</v>
      </c>
      <c r="P32" s="77" t="n">
        <f aca="false">IF(AND(P$6&gt;=$D32,P$6&lt;=$F32),$C32/$E32,0)</f>
        <v>0.00124931316998022</v>
      </c>
      <c r="Q32" s="77" t="n">
        <f aca="false">IF(AND(Q$6&gt;=$D32,Q$6&lt;=$F32),$C32/$E32,0)</f>
        <v>0.00124931316998022</v>
      </c>
      <c r="R32" s="77" t="n">
        <f aca="false">IF(AND(R$6&gt;=$D32,R$6&lt;=$F32),$C32/$E32,0)</f>
        <v>0.00124931316998022</v>
      </c>
      <c r="S32" s="77" t="n">
        <f aca="false">IF(AND(S$6&gt;=$D32,S$6&lt;=$F32),$C32/$E32,0)</f>
        <v>0</v>
      </c>
      <c r="T32" s="77" t="n">
        <f aca="false">IF(AND(T$6&gt;=$D32,T$6&lt;=$F32),$C32/$E32,0)</f>
        <v>0</v>
      </c>
      <c r="U32" s="77" t="n">
        <f aca="false">IF(AND(U$6&gt;=$D32,U$6&lt;=$F32),$C32/$E32,0)</f>
        <v>0</v>
      </c>
      <c r="V32" s="77" t="n">
        <f aca="false">IF(AND(V$6&gt;=$D32,V$6&lt;=$F32),$C32/$E32,0)</f>
        <v>0</v>
      </c>
      <c r="W32" s="77" t="n">
        <f aca="false">IF(AND(W$6&gt;=$D32,W$6&lt;=$F32),$C32/$E32,0)</f>
        <v>0</v>
      </c>
      <c r="X32" s="77" t="n">
        <f aca="false">IF(AND(X$6&gt;=$D32,X$6&lt;=$F32),$C32/$E32,0)</f>
        <v>0</v>
      </c>
      <c r="Y32" s="77" t="n">
        <f aca="false">IF(AND(Y$6&gt;=$D32,Y$6&lt;=$F32),$C32/$E32,0)</f>
        <v>0</v>
      </c>
      <c r="Z32" s="77" t="n">
        <f aca="false">IF(AND(Z$6&gt;=$D32,Z$6&lt;=$F32),$C32/$E32,0)</f>
        <v>0</v>
      </c>
      <c r="AA32" s="77" t="n">
        <f aca="false">IF(AND(AA$6&gt;=$D32,AA$6&lt;=$F32),$C32/$E32,0)</f>
        <v>0</v>
      </c>
      <c r="AB32" s="77" t="n">
        <f aca="false">IF(AND(AB$6&gt;=$D32,AB$6&lt;=$F32),$C32/$E32,0)</f>
        <v>0</v>
      </c>
      <c r="AC32" s="77" t="n">
        <f aca="false">IF(AND(AC$6&gt;=$D32,AC$6&lt;=$F32),$C32/$E32,0)</f>
        <v>0</v>
      </c>
      <c r="AD32" s="77" t="n">
        <f aca="false">IF(AND(AD$6&gt;=$D32,AD$6&lt;=$F32),$C32/$E32,0)</f>
        <v>0</v>
      </c>
      <c r="AE32" s="77" t="n">
        <f aca="false">IF(AND(AE$6&gt;=$D32,AE$6&lt;=$F32),$C32/$E32,0)</f>
        <v>0</v>
      </c>
      <c r="AF32" s="77" t="n">
        <f aca="false">IF(AND(AF$6&gt;=$D32,AF$6&lt;=$F32),$C32/$E32,0)</f>
        <v>0</v>
      </c>
      <c r="AG32" s="77" t="n">
        <f aca="false">IF(AND(AG$6&gt;=$D32,AG$6&lt;=$F32),$C32/$E32,0)</f>
        <v>0</v>
      </c>
      <c r="AH32" s="77" t="n">
        <f aca="false">IF(AND(AH$6&gt;=$D32,AH$6&lt;=$F32),$C32/$E32,0)</f>
        <v>0</v>
      </c>
      <c r="AI32" s="77" t="n">
        <f aca="false">IF(AND(AI$6&gt;=$D32,AI$6&lt;=$F32),$C32/$E32,0)</f>
        <v>0</v>
      </c>
      <c r="AJ32" s="77" t="n">
        <f aca="false">IF(AND(AJ$6&gt;=$D32,AJ$6&lt;=$F32),$C32/$E32,0)</f>
        <v>0</v>
      </c>
      <c r="AK32" s="77" t="n">
        <f aca="false">IF(AND(AK$6&gt;=$D32,AK$6&lt;=$F32),$C32/$E32,0)</f>
        <v>0</v>
      </c>
      <c r="AL32" s="77" t="n">
        <f aca="false">IF(AND(AL$6&gt;=$D32,AL$6&lt;=$F32),$C32/$E32,0)</f>
        <v>0</v>
      </c>
      <c r="AM32" s="77" t="n">
        <f aca="false">IF(AND(AM$6&gt;=$D32,AM$6&lt;=$F32),$C32/$E32,0)</f>
        <v>0</v>
      </c>
      <c r="AN32" s="77" t="n">
        <f aca="false">IF(AND(AN$6&gt;=$D32,AN$6&lt;=$F32),$C32/$E32,0)</f>
        <v>0</v>
      </c>
      <c r="AO32" s="77" t="n">
        <f aca="false">IF(AND(AO$6&gt;=$D32,AO$6&lt;=$F32),$C32/$E32,0)</f>
        <v>0</v>
      </c>
      <c r="AP32" s="77" t="n">
        <f aca="false">IF(AND(AP$6&gt;=$D32,AP$6&lt;=$F32),$C32/$E32,0)</f>
        <v>0</v>
      </c>
      <c r="AQ32" s="77" t="n">
        <f aca="false">IF(AND(AQ$6&gt;=$D32,AQ$6&lt;=$F32),$C32/$E32,0)</f>
        <v>0</v>
      </c>
      <c r="AR32" s="77" t="n">
        <f aca="false">IF(AND(AR$6&gt;=$D32,AR$6&lt;=$F32),$C32/$E32,0)</f>
        <v>0</v>
      </c>
      <c r="AS32" s="77" t="n">
        <f aca="false">IF(AND(AS$6&gt;=$D32,AS$6&lt;=$F32),$C32/$E32,0)</f>
        <v>0</v>
      </c>
      <c r="AT32" s="77" t="n">
        <f aca="false">IF(AND(AT$6&gt;=$D32,AT$6&lt;=$F32),$C32/$E32,0)</f>
        <v>0</v>
      </c>
      <c r="AU32" s="77" t="n">
        <f aca="false">IF(AND(AU$6&gt;=$D32,AU$6&lt;=$F32),$C32/$E32,0)</f>
        <v>0</v>
      </c>
      <c r="AV32" s="77" t="n">
        <f aca="false">IF(AND(AV$6&gt;=$D32,AV$6&lt;=$F32),$C32/$E32,0)</f>
        <v>0</v>
      </c>
      <c r="AW32" s="77" t="n">
        <f aca="false">IF(AND(AW$6&gt;=$D32,AW$6&lt;=$F32),$C32/$E32,0)</f>
        <v>0</v>
      </c>
    </row>
    <row r="33" customFormat="false" ht="25.5" hidden="false" customHeight="true" outlineLevel="0" collapsed="false">
      <c r="A33" s="28" t="n">
        <v>26</v>
      </c>
      <c r="B33" s="29" t="str">
        <f aca="false">"GARDU PLN &amp; POWER HOUSE - "&amp;Rekap!B46</f>
        <v>GARDU PLN &amp; POWER HOUSE - PEKERJAAN STRUKTURAL (PLN)</v>
      </c>
      <c r="C33" s="75" t="n">
        <f aca="false">Rekap!C46/Rekap!$C$69</f>
        <v>0.0365383274393428</v>
      </c>
      <c r="D33" s="76" t="n">
        <v>13</v>
      </c>
      <c r="E33" s="76" t="n">
        <v>9</v>
      </c>
      <c r="F33" s="28" t="n">
        <f aca="false">D33+E33-1</f>
        <v>21</v>
      </c>
      <c r="G33" s="77" t="n">
        <f aca="false">IF(AND(G$6&gt;=$D33,G$6&lt;=$F33),$C33/$E33,0)</f>
        <v>0</v>
      </c>
      <c r="H33" s="77" t="n">
        <f aca="false">IF(AND(H$6&gt;=$D33,H$6&lt;=$F33),$C33/$E33,0)</f>
        <v>0</v>
      </c>
      <c r="I33" s="77" t="n">
        <f aca="false">IF(AND(I$6&gt;=$D33,I$6&lt;=$F33),$C33/$E33,0)</f>
        <v>0</v>
      </c>
      <c r="J33" s="77" t="n">
        <f aca="false">IF(AND(J$6&gt;=$D33,J$6&lt;=$F33),$C33/$E33,0)</f>
        <v>0</v>
      </c>
      <c r="K33" s="77" t="n">
        <f aca="false">IF(AND(K$6&gt;=$D33,K$6&lt;=$F33),$C33/$E33,0)</f>
        <v>0</v>
      </c>
      <c r="L33" s="77" t="n">
        <f aca="false">IF(AND(L$6&gt;=$D33,L$6&lt;=$F33),$C33/$E33,0)</f>
        <v>0</v>
      </c>
      <c r="M33" s="77" t="n">
        <f aca="false">IF(AND(M$6&gt;=$D33,M$6&lt;=$F33),$C33/$E33,0)</f>
        <v>0</v>
      </c>
      <c r="N33" s="77" t="n">
        <f aca="false">IF(AND(N$6&gt;=$D33,N$6&lt;=$F33),$C33/$E33,0)</f>
        <v>0</v>
      </c>
      <c r="O33" s="77" t="n">
        <f aca="false">IF(AND(O$6&gt;=$D33,O$6&lt;=$F33),$C33/$E33,0)</f>
        <v>0</v>
      </c>
      <c r="P33" s="77" t="n">
        <f aca="false">IF(AND(P$6&gt;=$D33,P$6&lt;=$F33),$C33/$E33,0)</f>
        <v>0</v>
      </c>
      <c r="Q33" s="77" t="n">
        <f aca="false">IF(AND(Q$6&gt;=$D33,Q$6&lt;=$F33),$C33/$E33,0)</f>
        <v>0</v>
      </c>
      <c r="R33" s="77" t="n">
        <f aca="false">IF(AND(R$6&gt;=$D33,R$6&lt;=$F33),$C33/$E33,0)</f>
        <v>0</v>
      </c>
      <c r="S33" s="77" t="n">
        <f aca="false">IF(AND(S$6&gt;=$D33,S$6&lt;=$F33),$C33/$E33,0)</f>
        <v>0.00405981415992697</v>
      </c>
      <c r="T33" s="77" t="n">
        <f aca="false">IF(AND(T$6&gt;=$D33,T$6&lt;=$F33),$C33/$E33,0)</f>
        <v>0.00405981415992697</v>
      </c>
      <c r="U33" s="77" t="n">
        <f aca="false">IF(AND(U$6&gt;=$D33,U$6&lt;=$F33),$C33/$E33,0)</f>
        <v>0.00405981415992697</v>
      </c>
      <c r="V33" s="77" t="n">
        <f aca="false">IF(AND(V$6&gt;=$D33,V$6&lt;=$F33),$C33/$E33,0)</f>
        <v>0.00405981415992697</v>
      </c>
      <c r="W33" s="77" t="n">
        <f aca="false">IF(AND(W$6&gt;=$D33,W$6&lt;=$F33),$C33/$E33,0)</f>
        <v>0.00405981415992697</v>
      </c>
      <c r="X33" s="77" t="n">
        <f aca="false">IF(AND(X$6&gt;=$D33,X$6&lt;=$F33),$C33/$E33,0)</f>
        <v>0.00405981415992697</v>
      </c>
      <c r="Y33" s="77" t="n">
        <f aca="false">IF(AND(Y$6&gt;=$D33,Y$6&lt;=$F33),$C33/$E33,0)</f>
        <v>0.00405981415992697</v>
      </c>
      <c r="Z33" s="77" t="n">
        <f aca="false">IF(AND(Z$6&gt;=$D33,Z$6&lt;=$F33),$C33/$E33,0)</f>
        <v>0.00405981415992697</v>
      </c>
      <c r="AA33" s="77" t="n">
        <f aca="false">IF(AND(AA$6&gt;=$D33,AA$6&lt;=$F33),$C33/$E33,0)</f>
        <v>0.00405981415992697</v>
      </c>
      <c r="AB33" s="77" t="n">
        <f aca="false">IF(AND(AB$6&gt;=$D33,AB$6&lt;=$F33),$C33/$E33,0)</f>
        <v>0</v>
      </c>
      <c r="AC33" s="77" t="n">
        <f aca="false">IF(AND(AC$6&gt;=$D33,AC$6&lt;=$F33),$C33/$E33,0)</f>
        <v>0</v>
      </c>
      <c r="AD33" s="77" t="n">
        <f aca="false">IF(AND(AD$6&gt;=$D33,AD$6&lt;=$F33),$C33/$E33,0)</f>
        <v>0</v>
      </c>
      <c r="AE33" s="77" t="n">
        <f aca="false">IF(AND(AE$6&gt;=$D33,AE$6&lt;=$F33),$C33/$E33,0)</f>
        <v>0</v>
      </c>
      <c r="AF33" s="77" t="n">
        <f aca="false">IF(AND(AF$6&gt;=$D33,AF$6&lt;=$F33),$C33/$E33,0)</f>
        <v>0</v>
      </c>
      <c r="AG33" s="77" t="n">
        <f aca="false">IF(AND(AG$6&gt;=$D33,AG$6&lt;=$F33),$C33/$E33,0)</f>
        <v>0</v>
      </c>
      <c r="AH33" s="77" t="n">
        <f aca="false">IF(AND(AH$6&gt;=$D33,AH$6&lt;=$F33),$C33/$E33,0)</f>
        <v>0</v>
      </c>
      <c r="AI33" s="77" t="n">
        <f aca="false">IF(AND(AI$6&gt;=$D33,AI$6&lt;=$F33),$C33/$E33,0)</f>
        <v>0</v>
      </c>
      <c r="AJ33" s="77" t="n">
        <f aca="false">IF(AND(AJ$6&gt;=$D33,AJ$6&lt;=$F33),$C33/$E33,0)</f>
        <v>0</v>
      </c>
      <c r="AK33" s="77" t="n">
        <f aca="false">IF(AND(AK$6&gt;=$D33,AK$6&lt;=$F33),$C33/$E33,0)</f>
        <v>0</v>
      </c>
      <c r="AL33" s="77" t="n">
        <f aca="false">IF(AND(AL$6&gt;=$D33,AL$6&lt;=$F33),$C33/$E33,0)</f>
        <v>0</v>
      </c>
      <c r="AM33" s="77" t="n">
        <f aca="false">IF(AND(AM$6&gt;=$D33,AM$6&lt;=$F33),$C33/$E33,0)</f>
        <v>0</v>
      </c>
      <c r="AN33" s="77" t="n">
        <f aca="false">IF(AND(AN$6&gt;=$D33,AN$6&lt;=$F33),$C33/$E33,0)</f>
        <v>0</v>
      </c>
      <c r="AO33" s="77" t="n">
        <f aca="false">IF(AND(AO$6&gt;=$D33,AO$6&lt;=$F33),$C33/$E33,0)</f>
        <v>0</v>
      </c>
      <c r="AP33" s="77" t="n">
        <f aca="false">IF(AND(AP$6&gt;=$D33,AP$6&lt;=$F33),$C33/$E33,0)</f>
        <v>0</v>
      </c>
      <c r="AQ33" s="77" t="n">
        <f aca="false">IF(AND(AQ$6&gt;=$D33,AQ$6&lt;=$F33),$C33/$E33,0)</f>
        <v>0</v>
      </c>
      <c r="AR33" s="77" t="n">
        <f aca="false">IF(AND(AR$6&gt;=$D33,AR$6&lt;=$F33),$C33/$E33,0)</f>
        <v>0</v>
      </c>
      <c r="AS33" s="77" t="n">
        <f aca="false">IF(AND(AS$6&gt;=$D33,AS$6&lt;=$F33),$C33/$E33,0)</f>
        <v>0</v>
      </c>
      <c r="AT33" s="77" t="n">
        <f aca="false">IF(AND(AT$6&gt;=$D33,AT$6&lt;=$F33),$C33/$E33,0)</f>
        <v>0</v>
      </c>
      <c r="AU33" s="77" t="n">
        <f aca="false">IF(AND(AU$6&gt;=$D33,AU$6&lt;=$F33),$C33/$E33,0)</f>
        <v>0</v>
      </c>
      <c r="AV33" s="77" t="n">
        <f aca="false">IF(AND(AV$6&gt;=$D33,AV$6&lt;=$F33),$C33/$E33,0)</f>
        <v>0</v>
      </c>
      <c r="AW33" s="77" t="n">
        <f aca="false">IF(AND(AW$6&gt;=$D33,AW$6&lt;=$F33),$C33/$E33,0)</f>
        <v>0</v>
      </c>
    </row>
    <row r="34" customFormat="false" ht="25.5" hidden="false" customHeight="true" outlineLevel="0" collapsed="false">
      <c r="A34" s="28" t="n">
        <v>27</v>
      </c>
      <c r="B34" s="29" t="str">
        <f aca="false">"GARDU PLN &amp; POWER HOUSE - "&amp;Rekap!B47</f>
        <v>GARDU PLN &amp; POWER HOUSE - PEKERJAAN ARSITEKTURAL (PLN)</v>
      </c>
      <c r="C34" s="75" t="n">
        <f aca="false">Rekap!C47/Rekap!$C$69</f>
        <v>0.0110800806996114</v>
      </c>
      <c r="D34" s="76" t="n">
        <v>20</v>
      </c>
      <c r="E34" s="76" t="n">
        <v>9</v>
      </c>
      <c r="F34" s="28" t="n">
        <f aca="false">D34+E34-1</f>
        <v>28</v>
      </c>
      <c r="G34" s="77" t="n">
        <f aca="false">IF(AND(G$6&gt;=$D34,G$6&lt;=$F34),$C34/$E34,0)</f>
        <v>0</v>
      </c>
      <c r="H34" s="77" t="n">
        <f aca="false">IF(AND(H$6&gt;=$D34,H$6&lt;=$F34),$C34/$E34,0)</f>
        <v>0</v>
      </c>
      <c r="I34" s="77" t="n">
        <f aca="false">IF(AND(I$6&gt;=$D34,I$6&lt;=$F34),$C34/$E34,0)</f>
        <v>0</v>
      </c>
      <c r="J34" s="77" t="n">
        <f aca="false">IF(AND(J$6&gt;=$D34,J$6&lt;=$F34),$C34/$E34,0)</f>
        <v>0</v>
      </c>
      <c r="K34" s="77" t="n">
        <f aca="false">IF(AND(K$6&gt;=$D34,K$6&lt;=$F34),$C34/$E34,0)</f>
        <v>0</v>
      </c>
      <c r="L34" s="77" t="n">
        <f aca="false">IF(AND(L$6&gt;=$D34,L$6&lt;=$F34),$C34/$E34,0)</f>
        <v>0</v>
      </c>
      <c r="M34" s="77" t="n">
        <f aca="false">IF(AND(M$6&gt;=$D34,M$6&lt;=$F34),$C34/$E34,0)</f>
        <v>0</v>
      </c>
      <c r="N34" s="77" t="n">
        <f aca="false">IF(AND(N$6&gt;=$D34,N$6&lt;=$F34),$C34/$E34,0)</f>
        <v>0</v>
      </c>
      <c r="O34" s="77" t="n">
        <f aca="false">IF(AND(O$6&gt;=$D34,O$6&lt;=$F34),$C34/$E34,0)</f>
        <v>0</v>
      </c>
      <c r="P34" s="77" t="n">
        <f aca="false">IF(AND(P$6&gt;=$D34,P$6&lt;=$F34),$C34/$E34,0)</f>
        <v>0</v>
      </c>
      <c r="Q34" s="77" t="n">
        <f aca="false">IF(AND(Q$6&gt;=$D34,Q$6&lt;=$F34),$C34/$E34,0)</f>
        <v>0</v>
      </c>
      <c r="R34" s="77" t="n">
        <f aca="false">IF(AND(R$6&gt;=$D34,R$6&lt;=$F34),$C34/$E34,0)</f>
        <v>0</v>
      </c>
      <c r="S34" s="77" t="n">
        <f aca="false">IF(AND(S$6&gt;=$D34,S$6&lt;=$F34),$C34/$E34,0)</f>
        <v>0</v>
      </c>
      <c r="T34" s="77" t="n">
        <f aca="false">IF(AND(T$6&gt;=$D34,T$6&lt;=$F34),$C34/$E34,0)</f>
        <v>0</v>
      </c>
      <c r="U34" s="77" t="n">
        <f aca="false">IF(AND(U$6&gt;=$D34,U$6&lt;=$F34),$C34/$E34,0)</f>
        <v>0</v>
      </c>
      <c r="V34" s="77" t="n">
        <f aca="false">IF(AND(V$6&gt;=$D34,V$6&lt;=$F34),$C34/$E34,0)</f>
        <v>0</v>
      </c>
      <c r="W34" s="77" t="n">
        <f aca="false">IF(AND(W$6&gt;=$D34,W$6&lt;=$F34),$C34/$E34,0)</f>
        <v>0</v>
      </c>
      <c r="X34" s="77" t="n">
        <f aca="false">IF(AND(X$6&gt;=$D34,X$6&lt;=$F34),$C34/$E34,0)</f>
        <v>0</v>
      </c>
      <c r="Y34" s="77" t="n">
        <f aca="false">IF(AND(Y$6&gt;=$D34,Y$6&lt;=$F34),$C34/$E34,0)</f>
        <v>0</v>
      </c>
      <c r="Z34" s="77" t="n">
        <f aca="false">IF(AND(Z$6&gt;=$D34,Z$6&lt;=$F34),$C34/$E34,0)</f>
        <v>0.0012311200777346</v>
      </c>
      <c r="AA34" s="77" t="n">
        <f aca="false">IF(AND(AA$6&gt;=$D34,AA$6&lt;=$F34),$C34/$E34,0)</f>
        <v>0.0012311200777346</v>
      </c>
      <c r="AB34" s="77" t="n">
        <f aca="false">IF(AND(AB$6&gt;=$D34,AB$6&lt;=$F34),$C34/$E34,0)</f>
        <v>0.0012311200777346</v>
      </c>
      <c r="AC34" s="77" t="n">
        <f aca="false">IF(AND(AC$6&gt;=$D34,AC$6&lt;=$F34),$C34/$E34,0)</f>
        <v>0.0012311200777346</v>
      </c>
      <c r="AD34" s="77" t="n">
        <f aca="false">IF(AND(AD$6&gt;=$D34,AD$6&lt;=$F34),$C34/$E34,0)</f>
        <v>0.0012311200777346</v>
      </c>
      <c r="AE34" s="77" t="n">
        <f aca="false">IF(AND(AE$6&gt;=$D34,AE$6&lt;=$F34),$C34/$E34,0)</f>
        <v>0.0012311200777346</v>
      </c>
      <c r="AF34" s="77" t="n">
        <f aca="false">IF(AND(AF$6&gt;=$D34,AF$6&lt;=$F34),$C34/$E34,0)</f>
        <v>0.0012311200777346</v>
      </c>
      <c r="AG34" s="77" t="n">
        <f aca="false">IF(AND(AG$6&gt;=$D34,AG$6&lt;=$F34),$C34/$E34,0)</f>
        <v>0.0012311200777346</v>
      </c>
      <c r="AH34" s="77" t="n">
        <f aca="false">IF(AND(AH$6&gt;=$D34,AH$6&lt;=$F34),$C34/$E34,0)</f>
        <v>0.0012311200777346</v>
      </c>
      <c r="AI34" s="77" t="n">
        <f aca="false">IF(AND(AI$6&gt;=$D34,AI$6&lt;=$F34),$C34/$E34,0)</f>
        <v>0</v>
      </c>
      <c r="AJ34" s="77" t="n">
        <f aca="false">IF(AND(AJ$6&gt;=$D34,AJ$6&lt;=$F34),$C34/$E34,0)</f>
        <v>0</v>
      </c>
      <c r="AK34" s="77" t="n">
        <f aca="false">IF(AND(AK$6&gt;=$D34,AK$6&lt;=$F34),$C34/$E34,0)</f>
        <v>0</v>
      </c>
      <c r="AL34" s="77" t="n">
        <f aca="false">IF(AND(AL$6&gt;=$D34,AL$6&lt;=$F34),$C34/$E34,0)</f>
        <v>0</v>
      </c>
      <c r="AM34" s="77" t="n">
        <f aca="false">IF(AND(AM$6&gt;=$D34,AM$6&lt;=$F34),$C34/$E34,0)</f>
        <v>0</v>
      </c>
      <c r="AN34" s="77" t="n">
        <f aca="false">IF(AND(AN$6&gt;=$D34,AN$6&lt;=$F34),$C34/$E34,0)</f>
        <v>0</v>
      </c>
      <c r="AO34" s="77" t="n">
        <f aca="false">IF(AND(AO$6&gt;=$D34,AO$6&lt;=$F34),$C34/$E34,0)</f>
        <v>0</v>
      </c>
      <c r="AP34" s="77" t="n">
        <f aca="false">IF(AND(AP$6&gt;=$D34,AP$6&lt;=$F34),$C34/$E34,0)</f>
        <v>0</v>
      </c>
      <c r="AQ34" s="77" t="n">
        <f aca="false">IF(AND(AQ$6&gt;=$D34,AQ$6&lt;=$F34),$C34/$E34,0)</f>
        <v>0</v>
      </c>
      <c r="AR34" s="77" t="n">
        <f aca="false">IF(AND(AR$6&gt;=$D34,AR$6&lt;=$F34),$C34/$E34,0)</f>
        <v>0</v>
      </c>
      <c r="AS34" s="77" t="n">
        <f aca="false">IF(AND(AS$6&gt;=$D34,AS$6&lt;=$F34),$C34/$E34,0)</f>
        <v>0</v>
      </c>
      <c r="AT34" s="77" t="n">
        <f aca="false">IF(AND(AT$6&gt;=$D34,AT$6&lt;=$F34),$C34/$E34,0)</f>
        <v>0</v>
      </c>
      <c r="AU34" s="77" t="n">
        <f aca="false">IF(AND(AU$6&gt;=$D34,AU$6&lt;=$F34),$C34/$E34,0)</f>
        <v>0</v>
      </c>
      <c r="AV34" s="77" t="n">
        <f aca="false">IF(AND(AV$6&gt;=$D34,AV$6&lt;=$F34),$C34/$E34,0)</f>
        <v>0</v>
      </c>
      <c r="AW34" s="77" t="n">
        <f aca="false">IF(AND(AW$6&gt;=$D34,AW$6&lt;=$F34),$C34/$E34,0)</f>
        <v>0</v>
      </c>
    </row>
    <row r="35" customFormat="false" ht="25.5" hidden="false" customHeight="true" outlineLevel="0" collapsed="false">
      <c r="A35" s="28" t="n">
        <v>28</v>
      </c>
      <c r="B35" s="29" t="str">
        <f aca="false">"GARDU PLN &amp; POWER HOUSE - "&amp;Rekap!B48</f>
        <v>GARDU PLN &amp; POWER HOUSE - PEKERJAAN MEKANIKAL (PLN)</v>
      </c>
      <c r="C35" s="75" t="n">
        <f aca="false">Rekap!C48/Rekap!$C$69</f>
        <v>0.000315511149511611</v>
      </c>
      <c r="D35" s="76" t="n">
        <v>30</v>
      </c>
      <c r="E35" s="76" t="n">
        <v>3</v>
      </c>
      <c r="F35" s="28" t="n">
        <f aca="false">D35+E35-1</f>
        <v>32</v>
      </c>
      <c r="G35" s="77" t="n">
        <f aca="false">IF(AND(G$6&gt;=$D35,G$6&lt;=$F35),$C35/$E35,0)</f>
        <v>0</v>
      </c>
      <c r="H35" s="77" t="n">
        <f aca="false">IF(AND(H$6&gt;=$D35,H$6&lt;=$F35),$C35/$E35,0)</f>
        <v>0</v>
      </c>
      <c r="I35" s="77" t="n">
        <f aca="false">IF(AND(I$6&gt;=$D35,I$6&lt;=$F35),$C35/$E35,0)</f>
        <v>0</v>
      </c>
      <c r="J35" s="77" t="n">
        <f aca="false">IF(AND(J$6&gt;=$D35,J$6&lt;=$F35),$C35/$E35,0)</f>
        <v>0</v>
      </c>
      <c r="K35" s="77" t="n">
        <f aca="false">IF(AND(K$6&gt;=$D35,K$6&lt;=$F35),$C35/$E35,0)</f>
        <v>0</v>
      </c>
      <c r="L35" s="77" t="n">
        <f aca="false">IF(AND(L$6&gt;=$D35,L$6&lt;=$F35),$C35/$E35,0)</f>
        <v>0</v>
      </c>
      <c r="M35" s="77" t="n">
        <f aca="false">IF(AND(M$6&gt;=$D35,M$6&lt;=$F35),$C35/$E35,0)</f>
        <v>0</v>
      </c>
      <c r="N35" s="77" t="n">
        <f aca="false">IF(AND(N$6&gt;=$D35,N$6&lt;=$F35),$C35/$E35,0)</f>
        <v>0</v>
      </c>
      <c r="O35" s="77" t="n">
        <f aca="false">IF(AND(O$6&gt;=$D35,O$6&lt;=$F35),$C35/$E35,0)</f>
        <v>0</v>
      </c>
      <c r="P35" s="77" t="n">
        <f aca="false">IF(AND(P$6&gt;=$D35,P$6&lt;=$F35),$C35/$E35,0)</f>
        <v>0</v>
      </c>
      <c r="Q35" s="77" t="n">
        <f aca="false">IF(AND(Q$6&gt;=$D35,Q$6&lt;=$F35),$C35/$E35,0)</f>
        <v>0</v>
      </c>
      <c r="R35" s="77" t="n">
        <f aca="false">IF(AND(R$6&gt;=$D35,R$6&lt;=$F35),$C35/$E35,0)</f>
        <v>0</v>
      </c>
      <c r="S35" s="77" t="n">
        <f aca="false">IF(AND(S$6&gt;=$D35,S$6&lt;=$F35),$C35/$E35,0)</f>
        <v>0</v>
      </c>
      <c r="T35" s="77" t="n">
        <f aca="false">IF(AND(T$6&gt;=$D35,T$6&lt;=$F35),$C35/$E35,0)</f>
        <v>0</v>
      </c>
      <c r="U35" s="77" t="n">
        <f aca="false">IF(AND(U$6&gt;=$D35,U$6&lt;=$F35),$C35/$E35,0)</f>
        <v>0</v>
      </c>
      <c r="V35" s="77" t="n">
        <f aca="false">IF(AND(V$6&gt;=$D35,V$6&lt;=$F35),$C35/$E35,0)</f>
        <v>0</v>
      </c>
      <c r="W35" s="77" t="n">
        <f aca="false">IF(AND(W$6&gt;=$D35,W$6&lt;=$F35),$C35/$E35,0)</f>
        <v>0</v>
      </c>
      <c r="X35" s="77" t="n">
        <f aca="false">IF(AND(X$6&gt;=$D35,X$6&lt;=$F35),$C35/$E35,0)</f>
        <v>0</v>
      </c>
      <c r="Y35" s="77" t="n">
        <f aca="false">IF(AND(Y$6&gt;=$D35,Y$6&lt;=$F35),$C35/$E35,0)</f>
        <v>0</v>
      </c>
      <c r="Z35" s="77" t="n">
        <f aca="false">IF(AND(Z$6&gt;=$D35,Z$6&lt;=$F35),$C35/$E35,0)</f>
        <v>0</v>
      </c>
      <c r="AA35" s="77" t="n">
        <f aca="false">IF(AND(AA$6&gt;=$D35,AA$6&lt;=$F35),$C35/$E35,0)</f>
        <v>0</v>
      </c>
      <c r="AB35" s="77" t="n">
        <f aca="false">IF(AND(AB$6&gt;=$D35,AB$6&lt;=$F35),$C35/$E35,0)</f>
        <v>0</v>
      </c>
      <c r="AC35" s="77" t="n">
        <f aca="false">IF(AND(AC$6&gt;=$D35,AC$6&lt;=$F35),$C35/$E35,0)</f>
        <v>0</v>
      </c>
      <c r="AD35" s="77" t="n">
        <f aca="false">IF(AND(AD$6&gt;=$D35,AD$6&lt;=$F35),$C35/$E35,0)</f>
        <v>0</v>
      </c>
      <c r="AE35" s="77" t="n">
        <f aca="false">IF(AND(AE$6&gt;=$D35,AE$6&lt;=$F35),$C35/$E35,0)</f>
        <v>0</v>
      </c>
      <c r="AF35" s="77" t="n">
        <f aca="false">IF(AND(AF$6&gt;=$D35,AF$6&lt;=$F35),$C35/$E35,0)</f>
        <v>0</v>
      </c>
      <c r="AG35" s="77" t="n">
        <f aca="false">IF(AND(AG$6&gt;=$D35,AG$6&lt;=$F35),$C35/$E35,0)</f>
        <v>0</v>
      </c>
      <c r="AH35" s="77" t="n">
        <f aca="false">IF(AND(AH$6&gt;=$D35,AH$6&lt;=$F35),$C35/$E35,0)</f>
        <v>0</v>
      </c>
      <c r="AI35" s="77" t="n">
        <f aca="false">IF(AND(AI$6&gt;=$D35,AI$6&lt;=$F35),$C35/$E35,0)</f>
        <v>0</v>
      </c>
      <c r="AJ35" s="77" t="n">
        <f aca="false">IF(AND(AJ$6&gt;=$D35,AJ$6&lt;=$F35),$C35/$E35,0)</f>
        <v>0.000105170383170537</v>
      </c>
      <c r="AK35" s="77" t="n">
        <f aca="false">IF(AND(AK$6&gt;=$D35,AK$6&lt;=$F35),$C35/$E35,0)</f>
        <v>0.000105170383170537</v>
      </c>
      <c r="AL35" s="77" t="n">
        <f aca="false">IF(AND(AL$6&gt;=$D35,AL$6&lt;=$F35),$C35/$E35,0)</f>
        <v>0.000105170383170537</v>
      </c>
      <c r="AM35" s="77" t="n">
        <f aca="false">IF(AND(AM$6&gt;=$D35,AM$6&lt;=$F35),$C35/$E35,0)</f>
        <v>0</v>
      </c>
      <c r="AN35" s="77" t="n">
        <f aca="false">IF(AND(AN$6&gt;=$D35,AN$6&lt;=$F35),$C35/$E35,0)</f>
        <v>0</v>
      </c>
      <c r="AO35" s="77" t="n">
        <f aca="false">IF(AND(AO$6&gt;=$D35,AO$6&lt;=$F35),$C35/$E35,0)</f>
        <v>0</v>
      </c>
      <c r="AP35" s="77" t="n">
        <f aca="false">IF(AND(AP$6&gt;=$D35,AP$6&lt;=$F35),$C35/$E35,0)</f>
        <v>0</v>
      </c>
      <c r="AQ35" s="77" t="n">
        <f aca="false">IF(AND(AQ$6&gt;=$D35,AQ$6&lt;=$F35),$C35/$E35,0)</f>
        <v>0</v>
      </c>
      <c r="AR35" s="77" t="n">
        <f aca="false">IF(AND(AR$6&gt;=$D35,AR$6&lt;=$F35),$C35/$E35,0)</f>
        <v>0</v>
      </c>
      <c r="AS35" s="77" t="n">
        <f aca="false">IF(AND(AS$6&gt;=$D35,AS$6&lt;=$F35),$C35/$E35,0)</f>
        <v>0</v>
      </c>
      <c r="AT35" s="77" t="n">
        <f aca="false">IF(AND(AT$6&gt;=$D35,AT$6&lt;=$F35),$C35/$E35,0)</f>
        <v>0</v>
      </c>
      <c r="AU35" s="77" t="n">
        <f aca="false">IF(AND(AU$6&gt;=$D35,AU$6&lt;=$F35),$C35/$E35,0)</f>
        <v>0</v>
      </c>
      <c r="AV35" s="77" t="n">
        <f aca="false">IF(AND(AV$6&gt;=$D35,AV$6&lt;=$F35),$C35/$E35,0)</f>
        <v>0</v>
      </c>
      <c r="AW35" s="77" t="n">
        <f aca="false">IF(AND(AW$6&gt;=$D35,AW$6&lt;=$F35),$C35/$E35,0)</f>
        <v>0</v>
      </c>
    </row>
    <row r="36" customFormat="false" ht="25.5" hidden="false" customHeight="true" outlineLevel="0" collapsed="false">
      <c r="A36" s="28" t="n">
        <v>29</v>
      </c>
      <c r="B36" s="29" t="str">
        <f aca="false">"GARDU PLN &amp; POWER HOUSE - "&amp;Rekap!B49</f>
        <v>GARDU PLN &amp; POWER HOUSE - PEKERJAAN ELEKTRIKAL (PLN)</v>
      </c>
      <c r="C36" s="75" t="n">
        <f aca="false">Rekap!C49/Rekap!$C$69</f>
        <v>0.0568374923091019</v>
      </c>
      <c r="D36" s="76" t="n">
        <v>27</v>
      </c>
      <c r="E36" s="76" t="n">
        <v>14</v>
      </c>
      <c r="F36" s="28" t="n">
        <f aca="false">D36+E36-1</f>
        <v>40</v>
      </c>
      <c r="G36" s="77" t="n">
        <f aca="false">IF(AND(G$6&gt;=$D36,G$6&lt;=$F36),$C36/$E36,0)</f>
        <v>0</v>
      </c>
      <c r="H36" s="77" t="n">
        <f aca="false">IF(AND(H$6&gt;=$D36,H$6&lt;=$F36),$C36/$E36,0)</f>
        <v>0</v>
      </c>
      <c r="I36" s="77" t="n">
        <f aca="false">IF(AND(I$6&gt;=$D36,I$6&lt;=$F36),$C36/$E36,0)</f>
        <v>0</v>
      </c>
      <c r="J36" s="77" t="n">
        <f aca="false">IF(AND(J$6&gt;=$D36,J$6&lt;=$F36),$C36/$E36,0)</f>
        <v>0</v>
      </c>
      <c r="K36" s="77" t="n">
        <f aca="false">IF(AND(K$6&gt;=$D36,K$6&lt;=$F36),$C36/$E36,0)</f>
        <v>0</v>
      </c>
      <c r="L36" s="77" t="n">
        <f aca="false">IF(AND(L$6&gt;=$D36,L$6&lt;=$F36),$C36/$E36,0)</f>
        <v>0</v>
      </c>
      <c r="M36" s="77" t="n">
        <f aca="false">IF(AND(M$6&gt;=$D36,M$6&lt;=$F36),$C36/$E36,0)</f>
        <v>0</v>
      </c>
      <c r="N36" s="77" t="n">
        <f aca="false">IF(AND(N$6&gt;=$D36,N$6&lt;=$F36),$C36/$E36,0)</f>
        <v>0</v>
      </c>
      <c r="O36" s="77" t="n">
        <f aca="false">IF(AND(O$6&gt;=$D36,O$6&lt;=$F36),$C36/$E36,0)</f>
        <v>0</v>
      </c>
      <c r="P36" s="77" t="n">
        <f aca="false">IF(AND(P$6&gt;=$D36,P$6&lt;=$F36),$C36/$E36,0)</f>
        <v>0</v>
      </c>
      <c r="Q36" s="77" t="n">
        <f aca="false">IF(AND(Q$6&gt;=$D36,Q$6&lt;=$F36),$C36/$E36,0)</f>
        <v>0</v>
      </c>
      <c r="R36" s="77" t="n">
        <f aca="false">IF(AND(R$6&gt;=$D36,R$6&lt;=$F36),$C36/$E36,0)</f>
        <v>0</v>
      </c>
      <c r="S36" s="77" t="n">
        <f aca="false">IF(AND(S$6&gt;=$D36,S$6&lt;=$F36),$C36/$E36,0)</f>
        <v>0</v>
      </c>
      <c r="T36" s="77" t="n">
        <f aca="false">IF(AND(T$6&gt;=$D36,T$6&lt;=$F36),$C36/$E36,0)</f>
        <v>0</v>
      </c>
      <c r="U36" s="77" t="n">
        <f aca="false">IF(AND(U$6&gt;=$D36,U$6&lt;=$F36),$C36/$E36,0)</f>
        <v>0</v>
      </c>
      <c r="V36" s="77" t="n">
        <f aca="false">IF(AND(V$6&gt;=$D36,V$6&lt;=$F36),$C36/$E36,0)</f>
        <v>0</v>
      </c>
      <c r="W36" s="77" t="n">
        <f aca="false">IF(AND(W$6&gt;=$D36,W$6&lt;=$F36),$C36/$E36,0)</f>
        <v>0</v>
      </c>
      <c r="X36" s="77" t="n">
        <f aca="false">IF(AND(X$6&gt;=$D36,X$6&lt;=$F36),$C36/$E36,0)</f>
        <v>0</v>
      </c>
      <c r="Y36" s="77" t="n">
        <f aca="false">IF(AND(Y$6&gt;=$D36,Y$6&lt;=$F36),$C36/$E36,0)</f>
        <v>0</v>
      </c>
      <c r="Z36" s="77" t="n">
        <f aca="false">IF(AND(Z$6&gt;=$D36,Z$6&lt;=$F36),$C36/$E36,0)</f>
        <v>0</v>
      </c>
      <c r="AA36" s="77" t="n">
        <f aca="false">IF(AND(AA$6&gt;=$D36,AA$6&lt;=$F36),$C36/$E36,0)</f>
        <v>0</v>
      </c>
      <c r="AB36" s="77" t="n">
        <f aca="false">IF(AND(AB$6&gt;=$D36,AB$6&lt;=$F36),$C36/$E36,0)</f>
        <v>0</v>
      </c>
      <c r="AC36" s="77" t="n">
        <f aca="false">IF(AND(AC$6&gt;=$D36,AC$6&lt;=$F36),$C36/$E36,0)</f>
        <v>0</v>
      </c>
      <c r="AD36" s="77" t="n">
        <f aca="false">IF(AND(AD$6&gt;=$D36,AD$6&lt;=$F36),$C36/$E36,0)</f>
        <v>0</v>
      </c>
      <c r="AE36" s="77" t="n">
        <f aca="false">IF(AND(AE$6&gt;=$D36,AE$6&lt;=$F36),$C36/$E36,0)</f>
        <v>0</v>
      </c>
      <c r="AF36" s="77" t="n">
        <f aca="false">IF(AND(AF$6&gt;=$D36,AF$6&lt;=$F36),$C36/$E36,0)</f>
        <v>0</v>
      </c>
      <c r="AG36" s="77" t="n">
        <f aca="false">IF(AND(AG$6&gt;=$D36,AG$6&lt;=$F36),$C36/$E36,0)</f>
        <v>0.00405982087922156</v>
      </c>
      <c r="AH36" s="77" t="n">
        <f aca="false">IF(AND(AH$6&gt;=$D36,AH$6&lt;=$F36),$C36/$E36,0)</f>
        <v>0.00405982087922156</v>
      </c>
      <c r="AI36" s="77" t="n">
        <f aca="false">IF(AND(AI$6&gt;=$D36,AI$6&lt;=$F36),$C36/$E36,0)</f>
        <v>0.00405982087922156</v>
      </c>
      <c r="AJ36" s="77" t="n">
        <f aca="false">IF(AND(AJ$6&gt;=$D36,AJ$6&lt;=$F36),$C36/$E36,0)</f>
        <v>0.00405982087922156</v>
      </c>
      <c r="AK36" s="77" t="n">
        <f aca="false">IF(AND(AK$6&gt;=$D36,AK$6&lt;=$F36),$C36/$E36,0)</f>
        <v>0.00405982087922156</v>
      </c>
      <c r="AL36" s="77" t="n">
        <f aca="false">IF(AND(AL$6&gt;=$D36,AL$6&lt;=$F36),$C36/$E36,0)</f>
        <v>0.00405982087922156</v>
      </c>
      <c r="AM36" s="77" t="n">
        <f aca="false">IF(AND(AM$6&gt;=$D36,AM$6&lt;=$F36),$C36/$E36,0)</f>
        <v>0.00405982087922156</v>
      </c>
      <c r="AN36" s="77" t="n">
        <f aca="false">IF(AND(AN$6&gt;=$D36,AN$6&lt;=$F36),$C36/$E36,0)</f>
        <v>0.00405982087922156</v>
      </c>
      <c r="AO36" s="77" t="n">
        <f aca="false">IF(AND(AO$6&gt;=$D36,AO$6&lt;=$F36),$C36/$E36,0)</f>
        <v>0.00405982087922156</v>
      </c>
      <c r="AP36" s="77" t="n">
        <f aca="false">IF(AND(AP$6&gt;=$D36,AP$6&lt;=$F36),$C36/$E36,0)</f>
        <v>0.00405982087922156</v>
      </c>
      <c r="AQ36" s="77" t="n">
        <f aca="false">IF(AND(AQ$6&gt;=$D36,AQ$6&lt;=$F36),$C36/$E36,0)</f>
        <v>0.00405982087922156</v>
      </c>
      <c r="AR36" s="77" t="n">
        <f aca="false">IF(AND(AR$6&gt;=$D36,AR$6&lt;=$F36),$C36/$E36,0)</f>
        <v>0.00405982087922156</v>
      </c>
      <c r="AS36" s="77" t="n">
        <f aca="false">IF(AND(AS$6&gt;=$D36,AS$6&lt;=$F36),$C36/$E36,0)</f>
        <v>0.00405982087922156</v>
      </c>
      <c r="AT36" s="77" t="n">
        <f aca="false">IF(AND(AT$6&gt;=$D36,AT$6&lt;=$F36),$C36/$E36,0)</f>
        <v>0.00405982087922156</v>
      </c>
      <c r="AU36" s="77" t="n">
        <f aca="false">IF(AND(AU$6&gt;=$D36,AU$6&lt;=$F36),$C36/$E36,0)</f>
        <v>0</v>
      </c>
      <c r="AV36" s="77" t="n">
        <f aca="false">IF(AND(AV$6&gt;=$D36,AV$6&lt;=$F36),$C36/$E36,0)</f>
        <v>0</v>
      </c>
      <c r="AW36" s="77" t="n">
        <f aca="false">IF(AND(AW$6&gt;=$D36,AW$6&lt;=$F36),$C36/$E36,0)</f>
        <v>0</v>
      </c>
    </row>
    <row r="37" customFormat="false" ht="25.5" hidden="false" customHeight="true" outlineLevel="0" collapsed="false">
      <c r="A37" s="28" t="n">
        <v>30</v>
      </c>
      <c r="B37" s="29" t="str">
        <f aca="false">"PUMP HOUSE - "&amp;Rekap!B52</f>
        <v>PUMP HOUSE - PEKERJAAN TANAH (PUMP HOUSE)</v>
      </c>
      <c r="C37" s="75" t="n">
        <f aca="false">Rekap!C52/Rekap!$C$69</f>
        <v>0.00199924426192514</v>
      </c>
      <c r="D37" s="76" t="n">
        <v>11</v>
      </c>
      <c r="E37" s="76" t="n">
        <v>3</v>
      </c>
      <c r="F37" s="28" t="n">
        <f aca="false">D37+E37-1</f>
        <v>13</v>
      </c>
      <c r="G37" s="77" t="n">
        <f aca="false">IF(AND(G$6&gt;=$D37,G$6&lt;=$F37),$C37/$E37,0)</f>
        <v>0</v>
      </c>
      <c r="H37" s="77" t="n">
        <f aca="false">IF(AND(H$6&gt;=$D37,H$6&lt;=$F37),$C37/$E37,0)</f>
        <v>0</v>
      </c>
      <c r="I37" s="77" t="n">
        <f aca="false">IF(AND(I$6&gt;=$D37,I$6&lt;=$F37),$C37/$E37,0)</f>
        <v>0</v>
      </c>
      <c r="J37" s="77" t="n">
        <f aca="false">IF(AND(J$6&gt;=$D37,J$6&lt;=$F37),$C37/$E37,0)</f>
        <v>0</v>
      </c>
      <c r="K37" s="77" t="n">
        <f aca="false">IF(AND(K$6&gt;=$D37,K$6&lt;=$F37),$C37/$E37,0)</f>
        <v>0</v>
      </c>
      <c r="L37" s="77" t="n">
        <f aca="false">IF(AND(L$6&gt;=$D37,L$6&lt;=$F37),$C37/$E37,0)</f>
        <v>0</v>
      </c>
      <c r="M37" s="77" t="n">
        <f aca="false">IF(AND(M$6&gt;=$D37,M$6&lt;=$F37),$C37/$E37,0)</f>
        <v>0</v>
      </c>
      <c r="N37" s="77" t="n">
        <f aca="false">IF(AND(N$6&gt;=$D37,N$6&lt;=$F37),$C37/$E37,0)</f>
        <v>0</v>
      </c>
      <c r="O37" s="77" t="n">
        <f aca="false">IF(AND(O$6&gt;=$D37,O$6&lt;=$F37),$C37/$E37,0)</f>
        <v>0</v>
      </c>
      <c r="P37" s="77" t="n">
        <f aca="false">IF(AND(P$6&gt;=$D37,P$6&lt;=$F37),$C37/$E37,0)</f>
        <v>0</v>
      </c>
      <c r="Q37" s="77" t="n">
        <f aca="false">IF(AND(Q$6&gt;=$D37,Q$6&lt;=$F37),$C37/$E37,0)</f>
        <v>0.000666414753975046</v>
      </c>
      <c r="R37" s="77" t="n">
        <f aca="false">IF(AND(R$6&gt;=$D37,R$6&lt;=$F37),$C37/$E37,0)</f>
        <v>0.000666414753975046</v>
      </c>
      <c r="S37" s="77" t="n">
        <f aca="false">IF(AND(S$6&gt;=$D37,S$6&lt;=$F37),$C37/$E37,0)</f>
        <v>0.000666414753975046</v>
      </c>
      <c r="T37" s="77" t="n">
        <f aca="false">IF(AND(T$6&gt;=$D37,T$6&lt;=$F37),$C37/$E37,0)</f>
        <v>0</v>
      </c>
      <c r="U37" s="77" t="n">
        <f aca="false">IF(AND(U$6&gt;=$D37,U$6&lt;=$F37),$C37/$E37,0)</f>
        <v>0</v>
      </c>
      <c r="V37" s="77" t="n">
        <f aca="false">IF(AND(V$6&gt;=$D37,V$6&lt;=$F37),$C37/$E37,0)</f>
        <v>0</v>
      </c>
      <c r="W37" s="77" t="n">
        <f aca="false">IF(AND(W$6&gt;=$D37,W$6&lt;=$F37),$C37/$E37,0)</f>
        <v>0</v>
      </c>
      <c r="X37" s="77" t="n">
        <f aca="false">IF(AND(X$6&gt;=$D37,X$6&lt;=$F37),$C37/$E37,0)</f>
        <v>0</v>
      </c>
      <c r="Y37" s="77" t="n">
        <f aca="false">IF(AND(Y$6&gt;=$D37,Y$6&lt;=$F37),$C37/$E37,0)</f>
        <v>0</v>
      </c>
      <c r="Z37" s="77" t="n">
        <f aca="false">IF(AND(Z$6&gt;=$D37,Z$6&lt;=$F37),$C37/$E37,0)</f>
        <v>0</v>
      </c>
      <c r="AA37" s="77" t="n">
        <f aca="false">IF(AND(AA$6&gt;=$D37,AA$6&lt;=$F37),$C37/$E37,0)</f>
        <v>0</v>
      </c>
      <c r="AB37" s="77" t="n">
        <f aca="false">IF(AND(AB$6&gt;=$D37,AB$6&lt;=$F37),$C37/$E37,0)</f>
        <v>0</v>
      </c>
      <c r="AC37" s="77" t="n">
        <f aca="false">IF(AND(AC$6&gt;=$D37,AC$6&lt;=$F37),$C37/$E37,0)</f>
        <v>0</v>
      </c>
      <c r="AD37" s="77" t="n">
        <f aca="false">IF(AND(AD$6&gt;=$D37,AD$6&lt;=$F37),$C37/$E37,0)</f>
        <v>0</v>
      </c>
      <c r="AE37" s="77" t="n">
        <f aca="false">IF(AND(AE$6&gt;=$D37,AE$6&lt;=$F37),$C37/$E37,0)</f>
        <v>0</v>
      </c>
      <c r="AF37" s="77" t="n">
        <f aca="false">IF(AND(AF$6&gt;=$D37,AF$6&lt;=$F37),$C37/$E37,0)</f>
        <v>0</v>
      </c>
      <c r="AG37" s="77" t="n">
        <f aca="false">IF(AND(AG$6&gt;=$D37,AG$6&lt;=$F37),$C37/$E37,0)</f>
        <v>0</v>
      </c>
      <c r="AH37" s="77" t="n">
        <f aca="false">IF(AND(AH$6&gt;=$D37,AH$6&lt;=$F37),$C37/$E37,0)</f>
        <v>0</v>
      </c>
      <c r="AI37" s="77" t="n">
        <f aca="false">IF(AND(AI$6&gt;=$D37,AI$6&lt;=$F37),$C37/$E37,0)</f>
        <v>0</v>
      </c>
      <c r="AJ37" s="77" t="n">
        <f aca="false">IF(AND(AJ$6&gt;=$D37,AJ$6&lt;=$F37),$C37/$E37,0)</f>
        <v>0</v>
      </c>
      <c r="AK37" s="77" t="n">
        <f aca="false">IF(AND(AK$6&gt;=$D37,AK$6&lt;=$F37),$C37/$E37,0)</f>
        <v>0</v>
      </c>
      <c r="AL37" s="77" t="n">
        <f aca="false">IF(AND(AL$6&gt;=$D37,AL$6&lt;=$F37),$C37/$E37,0)</f>
        <v>0</v>
      </c>
      <c r="AM37" s="77" t="n">
        <f aca="false">IF(AND(AM$6&gt;=$D37,AM$6&lt;=$F37),$C37/$E37,0)</f>
        <v>0</v>
      </c>
      <c r="AN37" s="77" t="n">
        <f aca="false">IF(AND(AN$6&gt;=$D37,AN$6&lt;=$F37),$C37/$E37,0)</f>
        <v>0</v>
      </c>
      <c r="AO37" s="77" t="n">
        <f aca="false">IF(AND(AO$6&gt;=$D37,AO$6&lt;=$F37),$C37/$E37,0)</f>
        <v>0</v>
      </c>
      <c r="AP37" s="77" t="n">
        <f aca="false">IF(AND(AP$6&gt;=$D37,AP$6&lt;=$F37),$C37/$E37,0)</f>
        <v>0</v>
      </c>
      <c r="AQ37" s="77" t="n">
        <f aca="false">IF(AND(AQ$6&gt;=$D37,AQ$6&lt;=$F37),$C37/$E37,0)</f>
        <v>0</v>
      </c>
      <c r="AR37" s="77" t="n">
        <f aca="false">IF(AND(AR$6&gt;=$D37,AR$6&lt;=$F37),$C37/$E37,0)</f>
        <v>0</v>
      </c>
      <c r="AS37" s="77" t="n">
        <f aca="false">IF(AND(AS$6&gt;=$D37,AS$6&lt;=$F37),$C37/$E37,0)</f>
        <v>0</v>
      </c>
      <c r="AT37" s="77" t="n">
        <f aca="false">IF(AND(AT$6&gt;=$D37,AT$6&lt;=$F37),$C37/$E37,0)</f>
        <v>0</v>
      </c>
      <c r="AU37" s="77" t="n">
        <f aca="false">IF(AND(AU$6&gt;=$D37,AU$6&lt;=$F37),$C37/$E37,0)</f>
        <v>0</v>
      </c>
      <c r="AV37" s="77" t="n">
        <f aca="false">IF(AND(AV$6&gt;=$D37,AV$6&lt;=$F37),$C37/$E37,0)</f>
        <v>0</v>
      </c>
      <c r="AW37" s="77" t="n">
        <f aca="false">IF(AND(AW$6&gt;=$D37,AW$6&lt;=$F37),$C37/$E37,0)</f>
        <v>0</v>
      </c>
    </row>
    <row r="38" customFormat="false" ht="25.5" hidden="false" customHeight="true" outlineLevel="0" collapsed="false">
      <c r="A38" s="28" t="n">
        <v>31</v>
      </c>
      <c r="B38" s="29" t="str">
        <f aca="false">"PUMP HOUSE - "&amp;Rekap!B53</f>
        <v>PUMP HOUSE - PEKERJAAN STRUKTURAL (PUMP HOUSE)</v>
      </c>
      <c r="C38" s="75" t="n">
        <f aca="false">Rekap!C53/Rekap!$C$69</f>
        <v>0.0128633428798687</v>
      </c>
      <c r="D38" s="76" t="n">
        <v>14</v>
      </c>
      <c r="E38" s="76" t="n">
        <v>8</v>
      </c>
      <c r="F38" s="28" t="n">
        <f aca="false">D38+E38-1</f>
        <v>21</v>
      </c>
      <c r="G38" s="77" t="n">
        <f aca="false">IF(AND(G$6&gt;=$D38,G$6&lt;=$F38),$C38/$E38,0)</f>
        <v>0</v>
      </c>
      <c r="H38" s="77" t="n">
        <f aca="false">IF(AND(H$6&gt;=$D38,H$6&lt;=$F38),$C38/$E38,0)</f>
        <v>0</v>
      </c>
      <c r="I38" s="77" t="n">
        <f aca="false">IF(AND(I$6&gt;=$D38,I$6&lt;=$F38),$C38/$E38,0)</f>
        <v>0</v>
      </c>
      <c r="J38" s="77" t="n">
        <f aca="false">IF(AND(J$6&gt;=$D38,J$6&lt;=$F38),$C38/$E38,0)</f>
        <v>0</v>
      </c>
      <c r="K38" s="77" t="n">
        <f aca="false">IF(AND(K$6&gt;=$D38,K$6&lt;=$F38),$C38/$E38,0)</f>
        <v>0</v>
      </c>
      <c r="L38" s="77" t="n">
        <f aca="false">IF(AND(L$6&gt;=$D38,L$6&lt;=$F38),$C38/$E38,0)</f>
        <v>0</v>
      </c>
      <c r="M38" s="77" t="n">
        <f aca="false">IF(AND(M$6&gt;=$D38,M$6&lt;=$F38),$C38/$E38,0)</f>
        <v>0</v>
      </c>
      <c r="N38" s="77" t="n">
        <f aca="false">IF(AND(N$6&gt;=$D38,N$6&lt;=$F38),$C38/$E38,0)</f>
        <v>0</v>
      </c>
      <c r="O38" s="77" t="n">
        <f aca="false">IF(AND(O$6&gt;=$D38,O$6&lt;=$F38),$C38/$E38,0)</f>
        <v>0</v>
      </c>
      <c r="P38" s="77" t="n">
        <f aca="false">IF(AND(P$6&gt;=$D38,P$6&lt;=$F38),$C38/$E38,0)</f>
        <v>0</v>
      </c>
      <c r="Q38" s="77" t="n">
        <f aca="false">IF(AND(Q$6&gt;=$D38,Q$6&lt;=$F38),$C38/$E38,0)</f>
        <v>0</v>
      </c>
      <c r="R38" s="77" t="n">
        <f aca="false">IF(AND(R$6&gt;=$D38,R$6&lt;=$F38),$C38/$E38,0)</f>
        <v>0</v>
      </c>
      <c r="S38" s="77" t="n">
        <f aca="false">IF(AND(S$6&gt;=$D38,S$6&lt;=$F38),$C38/$E38,0)</f>
        <v>0</v>
      </c>
      <c r="T38" s="77" t="n">
        <f aca="false">IF(AND(T$6&gt;=$D38,T$6&lt;=$F38),$C38/$E38,0)</f>
        <v>0.00160791785998359</v>
      </c>
      <c r="U38" s="77" t="n">
        <f aca="false">IF(AND(U$6&gt;=$D38,U$6&lt;=$F38),$C38/$E38,0)</f>
        <v>0.00160791785998359</v>
      </c>
      <c r="V38" s="77" t="n">
        <f aca="false">IF(AND(V$6&gt;=$D38,V$6&lt;=$F38),$C38/$E38,0)</f>
        <v>0.00160791785998359</v>
      </c>
      <c r="W38" s="77" t="n">
        <f aca="false">IF(AND(W$6&gt;=$D38,W$6&lt;=$F38),$C38/$E38,0)</f>
        <v>0.00160791785998359</v>
      </c>
      <c r="X38" s="77" t="n">
        <f aca="false">IF(AND(X$6&gt;=$D38,X$6&lt;=$F38),$C38/$E38,0)</f>
        <v>0.00160791785998359</v>
      </c>
      <c r="Y38" s="77" t="n">
        <f aca="false">IF(AND(Y$6&gt;=$D38,Y$6&lt;=$F38),$C38/$E38,0)</f>
        <v>0.00160791785998359</v>
      </c>
      <c r="Z38" s="77" t="n">
        <f aca="false">IF(AND(Z$6&gt;=$D38,Z$6&lt;=$F38),$C38/$E38,0)</f>
        <v>0.00160791785998359</v>
      </c>
      <c r="AA38" s="77" t="n">
        <f aca="false">IF(AND(AA$6&gt;=$D38,AA$6&lt;=$F38),$C38/$E38,0)</f>
        <v>0.00160791785998359</v>
      </c>
      <c r="AB38" s="77" t="n">
        <f aca="false">IF(AND(AB$6&gt;=$D38,AB$6&lt;=$F38),$C38/$E38,0)</f>
        <v>0</v>
      </c>
      <c r="AC38" s="77" t="n">
        <f aca="false">IF(AND(AC$6&gt;=$D38,AC$6&lt;=$F38),$C38/$E38,0)</f>
        <v>0</v>
      </c>
      <c r="AD38" s="77" t="n">
        <f aca="false">IF(AND(AD$6&gt;=$D38,AD$6&lt;=$F38),$C38/$E38,0)</f>
        <v>0</v>
      </c>
      <c r="AE38" s="77" t="n">
        <f aca="false">IF(AND(AE$6&gt;=$D38,AE$6&lt;=$F38),$C38/$E38,0)</f>
        <v>0</v>
      </c>
      <c r="AF38" s="77" t="n">
        <f aca="false">IF(AND(AF$6&gt;=$D38,AF$6&lt;=$F38),$C38/$E38,0)</f>
        <v>0</v>
      </c>
      <c r="AG38" s="77" t="n">
        <f aca="false">IF(AND(AG$6&gt;=$D38,AG$6&lt;=$F38),$C38/$E38,0)</f>
        <v>0</v>
      </c>
      <c r="AH38" s="77" t="n">
        <f aca="false">IF(AND(AH$6&gt;=$D38,AH$6&lt;=$F38),$C38/$E38,0)</f>
        <v>0</v>
      </c>
      <c r="AI38" s="77" t="n">
        <f aca="false">IF(AND(AI$6&gt;=$D38,AI$6&lt;=$F38),$C38/$E38,0)</f>
        <v>0</v>
      </c>
      <c r="AJ38" s="77" t="n">
        <f aca="false">IF(AND(AJ$6&gt;=$D38,AJ$6&lt;=$F38),$C38/$E38,0)</f>
        <v>0</v>
      </c>
      <c r="AK38" s="77" t="n">
        <f aca="false">IF(AND(AK$6&gt;=$D38,AK$6&lt;=$F38),$C38/$E38,0)</f>
        <v>0</v>
      </c>
      <c r="AL38" s="77" t="n">
        <f aca="false">IF(AND(AL$6&gt;=$D38,AL$6&lt;=$F38),$C38/$E38,0)</f>
        <v>0</v>
      </c>
      <c r="AM38" s="77" t="n">
        <f aca="false">IF(AND(AM$6&gt;=$D38,AM$6&lt;=$F38),$C38/$E38,0)</f>
        <v>0</v>
      </c>
      <c r="AN38" s="77" t="n">
        <f aca="false">IF(AND(AN$6&gt;=$D38,AN$6&lt;=$F38),$C38/$E38,0)</f>
        <v>0</v>
      </c>
      <c r="AO38" s="77" t="n">
        <f aca="false">IF(AND(AO$6&gt;=$D38,AO$6&lt;=$F38),$C38/$E38,0)</f>
        <v>0</v>
      </c>
      <c r="AP38" s="77" t="n">
        <f aca="false">IF(AND(AP$6&gt;=$D38,AP$6&lt;=$F38),$C38/$E38,0)</f>
        <v>0</v>
      </c>
      <c r="AQ38" s="77" t="n">
        <f aca="false">IF(AND(AQ$6&gt;=$D38,AQ$6&lt;=$F38),$C38/$E38,0)</f>
        <v>0</v>
      </c>
      <c r="AR38" s="77" t="n">
        <f aca="false">IF(AND(AR$6&gt;=$D38,AR$6&lt;=$F38),$C38/$E38,0)</f>
        <v>0</v>
      </c>
      <c r="AS38" s="77" t="n">
        <f aca="false">IF(AND(AS$6&gt;=$D38,AS$6&lt;=$F38),$C38/$E38,0)</f>
        <v>0</v>
      </c>
      <c r="AT38" s="77" t="n">
        <f aca="false">IF(AND(AT$6&gt;=$D38,AT$6&lt;=$F38),$C38/$E38,0)</f>
        <v>0</v>
      </c>
      <c r="AU38" s="77" t="n">
        <f aca="false">IF(AND(AU$6&gt;=$D38,AU$6&lt;=$F38),$C38/$E38,0)</f>
        <v>0</v>
      </c>
      <c r="AV38" s="77" t="n">
        <f aca="false">IF(AND(AV$6&gt;=$D38,AV$6&lt;=$F38),$C38/$E38,0)</f>
        <v>0</v>
      </c>
      <c r="AW38" s="77" t="n">
        <f aca="false">IF(AND(AW$6&gt;=$D38,AW$6&lt;=$F38),$C38/$E38,0)</f>
        <v>0</v>
      </c>
    </row>
    <row r="39" customFormat="false" ht="25.5" hidden="false" customHeight="true" outlineLevel="0" collapsed="false">
      <c r="A39" s="28" t="n">
        <v>32</v>
      </c>
      <c r="B39" s="29" t="str">
        <f aca="false">"PUMP HOUSE - "&amp;Rekap!B54</f>
        <v>PUMP HOUSE - PEKERJAAN ARSITEKTURAL (PUMP HOUSE)</v>
      </c>
      <c r="C39" s="75" t="n">
        <f aca="false">Rekap!C54/Rekap!$C$69</f>
        <v>0.0056135153456902</v>
      </c>
      <c r="D39" s="76" t="n">
        <v>20</v>
      </c>
      <c r="E39" s="76" t="n">
        <v>8</v>
      </c>
      <c r="F39" s="28" t="n">
        <f aca="false">D39+E39-1</f>
        <v>27</v>
      </c>
      <c r="G39" s="77" t="n">
        <f aca="false">IF(AND(G$6&gt;=$D39,G$6&lt;=$F39),$C39/$E39,0)</f>
        <v>0</v>
      </c>
      <c r="H39" s="77" t="n">
        <f aca="false">IF(AND(H$6&gt;=$D39,H$6&lt;=$F39),$C39/$E39,0)</f>
        <v>0</v>
      </c>
      <c r="I39" s="77" t="n">
        <f aca="false">IF(AND(I$6&gt;=$D39,I$6&lt;=$F39),$C39/$E39,0)</f>
        <v>0</v>
      </c>
      <c r="J39" s="77" t="n">
        <f aca="false">IF(AND(J$6&gt;=$D39,J$6&lt;=$F39),$C39/$E39,0)</f>
        <v>0</v>
      </c>
      <c r="K39" s="77" t="n">
        <f aca="false">IF(AND(K$6&gt;=$D39,K$6&lt;=$F39),$C39/$E39,0)</f>
        <v>0</v>
      </c>
      <c r="L39" s="77" t="n">
        <f aca="false">IF(AND(L$6&gt;=$D39,L$6&lt;=$F39),$C39/$E39,0)</f>
        <v>0</v>
      </c>
      <c r="M39" s="77" t="n">
        <f aca="false">IF(AND(M$6&gt;=$D39,M$6&lt;=$F39),$C39/$E39,0)</f>
        <v>0</v>
      </c>
      <c r="N39" s="77" t="n">
        <f aca="false">IF(AND(N$6&gt;=$D39,N$6&lt;=$F39),$C39/$E39,0)</f>
        <v>0</v>
      </c>
      <c r="O39" s="77" t="n">
        <f aca="false">IF(AND(O$6&gt;=$D39,O$6&lt;=$F39),$C39/$E39,0)</f>
        <v>0</v>
      </c>
      <c r="P39" s="77" t="n">
        <f aca="false">IF(AND(P$6&gt;=$D39,P$6&lt;=$F39),$C39/$E39,0)</f>
        <v>0</v>
      </c>
      <c r="Q39" s="77" t="n">
        <f aca="false">IF(AND(Q$6&gt;=$D39,Q$6&lt;=$F39),$C39/$E39,0)</f>
        <v>0</v>
      </c>
      <c r="R39" s="77" t="n">
        <f aca="false">IF(AND(R$6&gt;=$D39,R$6&lt;=$F39),$C39/$E39,0)</f>
        <v>0</v>
      </c>
      <c r="S39" s="77" t="n">
        <f aca="false">IF(AND(S$6&gt;=$D39,S$6&lt;=$F39),$C39/$E39,0)</f>
        <v>0</v>
      </c>
      <c r="T39" s="77" t="n">
        <f aca="false">IF(AND(T$6&gt;=$D39,T$6&lt;=$F39),$C39/$E39,0)</f>
        <v>0</v>
      </c>
      <c r="U39" s="77" t="n">
        <f aca="false">IF(AND(U$6&gt;=$D39,U$6&lt;=$F39),$C39/$E39,0)</f>
        <v>0</v>
      </c>
      <c r="V39" s="77" t="n">
        <f aca="false">IF(AND(V$6&gt;=$D39,V$6&lt;=$F39),$C39/$E39,0)</f>
        <v>0</v>
      </c>
      <c r="W39" s="77" t="n">
        <f aca="false">IF(AND(W$6&gt;=$D39,W$6&lt;=$F39),$C39/$E39,0)</f>
        <v>0</v>
      </c>
      <c r="X39" s="77" t="n">
        <f aca="false">IF(AND(X$6&gt;=$D39,X$6&lt;=$F39),$C39/$E39,0)</f>
        <v>0</v>
      </c>
      <c r="Y39" s="77" t="n">
        <f aca="false">IF(AND(Y$6&gt;=$D39,Y$6&lt;=$F39),$C39/$E39,0)</f>
        <v>0</v>
      </c>
      <c r="Z39" s="77" t="n">
        <f aca="false">IF(AND(Z$6&gt;=$D39,Z$6&lt;=$F39),$C39/$E39,0)</f>
        <v>0.000701689418211276</v>
      </c>
      <c r="AA39" s="77" t="n">
        <f aca="false">IF(AND(AA$6&gt;=$D39,AA$6&lt;=$F39),$C39/$E39,0)</f>
        <v>0.000701689418211276</v>
      </c>
      <c r="AB39" s="77" t="n">
        <f aca="false">IF(AND(AB$6&gt;=$D39,AB$6&lt;=$F39),$C39/$E39,0)</f>
        <v>0.000701689418211276</v>
      </c>
      <c r="AC39" s="77" t="n">
        <f aca="false">IF(AND(AC$6&gt;=$D39,AC$6&lt;=$F39),$C39/$E39,0)</f>
        <v>0.000701689418211276</v>
      </c>
      <c r="AD39" s="77" t="n">
        <f aca="false">IF(AND(AD$6&gt;=$D39,AD$6&lt;=$F39),$C39/$E39,0)</f>
        <v>0.000701689418211276</v>
      </c>
      <c r="AE39" s="77" t="n">
        <f aca="false">IF(AND(AE$6&gt;=$D39,AE$6&lt;=$F39),$C39/$E39,0)</f>
        <v>0.000701689418211276</v>
      </c>
      <c r="AF39" s="77" t="n">
        <f aca="false">IF(AND(AF$6&gt;=$D39,AF$6&lt;=$F39),$C39/$E39,0)</f>
        <v>0.000701689418211276</v>
      </c>
      <c r="AG39" s="77" t="n">
        <f aca="false">IF(AND(AG$6&gt;=$D39,AG$6&lt;=$F39),$C39/$E39,0)</f>
        <v>0.000701689418211276</v>
      </c>
      <c r="AH39" s="77" t="n">
        <f aca="false">IF(AND(AH$6&gt;=$D39,AH$6&lt;=$F39),$C39/$E39,0)</f>
        <v>0</v>
      </c>
      <c r="AI39" s="77" t="n">
        <f aca="false">IF(AND(AI$6&gt;=$D39,AI$6&lt;=$F39),$C39/$E39,0)</f>
        <v>0</v>
      </c>
      <c r="AJ39" s="77" t="n">
        <f aca="false">IF(AND(AJ$6&gt;=$D39,AJ$6&lt;=$F39),$C39/$E39,0)</f>
        <v>0</v>
      </c>
      <c r="AK39" s="77" t="n">
        <f aca="false">IF(AND(AK$6&gt;=$D39,AK$6&lt;=$F39),$C39/$E39,0)</f>
        <v>0</v>
      </c>
      <c r="AL39" s="77" t="n">
        <f aca="false">IF(AND(AL$6&gt;=$D39,AL$6&lt;=$F39),$C39/$E39,0)</f>
        <v>0</v>
      </c>
      <c r="AM39" s="77" t="n">
        <f aca="false">IF(AND(AM$6&gt;=$D39,AM$6&lt;=$F39),$C39/$E39,0)</f>
        <v>0</v>
      </c>
      <c r="AN39" s="77" t="n">
        <f aca="false">IF(AND(AN$6&gt;=$D39,AN$6&lt;=$F39),$C39/$E39,0)</f>
        <v>0</v>
      </c>
      <c r="AO39" s="77" t="n">
        <f aca="false">IF(AND(AO$6&gt;=$D39,AO$6&lt;=$F39),$C39/$E39,0)</f>
        <v>0</v>
      </c>
      <c r="AP39" s="77" t="n">
        <f aca="false">IF(AND(AP$6&gt;=$D39,AP$6&lt;=$F39),$C39/$E39,0)</f>
        <v>0</v>
      </c>
      <c r="AQ39" s="77" t="n">
        <f aca="false">IF(AND(AQ$6&gt;=$D39,AQ$6&lt;=$F39),$C39/$E39,0)</f>
        <v>0</v>
      </c>
      <c r="AR39" s="77" t="n">
        <f aca="false">IF(AND(AR$6&gt;=$D39,AR$6&lt;=$F39),$C39/$E39,0)</f>
        <v>0</v>
      </c>
      <c r="AS39" s="77" t="n">
        <f aca="false">IF(AND(AS$6&gt;=$D39,AS$6&lt;=$F39),$C39/$E39,0)</f>
        <v>0</v>
      </c>
      <c r="AT39" s="77" t="n">
        <f aca="false">IF(AND(AT$6&gt;=$D39,AT$6&lt;=$F39),$C39/$E39,0)</f>
        <v>0</v>
      </c>
      <c r="AU39" s="77" t="n">
        <f aca="false">IF(AND(AU$6&gt;=$D39,AU$6&lt;=$F39),$C39/$E39,0)</f>
        <v>0</v>
      </c>
      <c r="AV39" s="77" t="n">
        <f aca="false">IF(AND(AV$6&gt;=$D39,AV$6&lt;=$F39),$C39/$E39,0)</f>
        <v>0</v>
      </c>
      <c r="AW39" s="77" t="n">
        <f aca="false">IF(AND(AW$6&gt;=$D39,AW$6&lt;=$F39),$C39/$E39,0)</f>
        <v>0</v>
      </c>
    </row>
    <row r="40" customFormat="false" ht="25.5" hidden="false" customHeight="true" outlineLevel="0" collapsed="false">
      <c r="A40" s="28" t="n">
        <v>33</v>
      </c>
      <c r="B40" s="29" t="str">
        <f aca="false">"PUMP HOUSE - "&amp;Rekap!B55</f>
        <v>PUMP HOUSE - PEKERJAAN MEKANIKAL (PUMP HOUSE)</v>
      </c>
      <c r="C40" s="75" t="n">
        <f aca="false">Rekap!C55/Rekap!$C$69</f>
        <v>0.0152733737102434</v>
      </c>
      <c r="D40" s="76" t="n">
        <v>28</v>
      </c>
      <c r="E40" s="76" t="n">
        <v>6</v>
      </c>
      <c r="F40" s="28" t="n">
        <f aca="false">D40+E40-1</f>
        <v>33</v>
      </c>
      <c r="G40" s="77" t="n">
        <f aca="false">IF(AND(G$6&gt;=$D40,G$6&lt;=$F40),$C40/$E40,0)</f>
        <v>0</v>
      </c>
      <c r="H40" s="77" t="n">
        <f aca="false">IF(AND(H$6&gt;=$D40,H$6&lt;=$F40),$C40/$E40,0)</f>
        <v>0</v>
      </c>
      <c r="I40" s="77" t="n">
        <f aca="false">IF(AND(I$6&gt;=$D40,I$6&lt;=$F40),$C40/$E40,0)</f>
        <v>0</v>
      </c>
      <c r="J40" s="77" t="n">
        <f aca="false">IF(AND(J$6&gt;=$D40,J$6&lt;=$F40),$C40/$E40,0)</f>
        <v>0</v>
      </c>
      <c r="K40" s="77" t="n">
        <f aca="false">IF(AND(K$6&gt;=$D40,K$6&lt;=$F40),$C40/$E40,0)</f>
        <v>0</v>
      </c>
      <c r="L40" s="77" t="n">
        <f aca="false">IF(AND(L$6&gt;=$D40,L$6&lt;=$F40),$C40/$E40,0)</f>
        <v>0</v>
      </c>
      <c r="M40" s="77" t="n">
        <f aca="false">IF(AND(M$6&gt;=$D40,M$6&lt;=$F40),$C40/$E40,0)</f>
        <v>0</v>
      </c>
      <c r="N40" s="77" t="n">
        <f aca="false">IF(AND(N$6&gt;=$D40,N$6&lt;=$F40),$C40/$E40,0)</f>
        <v>0</v>
      </c>
      <c r="O40" s="77" t="n">
        <f aca="false">IF(AND(O$6&gt;=$D40,O$6&lt;=$F40),$C40/$E40,0)</f>
        <v>0</v>
      </c>
      <c r="P40" s="77" t="n">
        <f aca="false">IF(AND(P$6&gt;=$D40,P$6&lt;=$F40),$C40/$E40,0)</f>
        <v>0</v>
      </c>
      <c r="Q40" s="77" t="n">
        <f aca="false">IF(AND(Q$6&gt;=$D40,Q$6&lt;=$F40),$C40/$E40,0)</f>
        <v>0</v>
      </c>
      <c r="R40" s="77" t="n">
        <f aca="false">IF(AND(R$6&gt;=$D40,R$6&lt;=$F40),$C40/$E40,0)</f>
        <v>0</v>
      </c>
      <c r="S40" s="77" t="n">
        <f aca="false">IF(AND(S$6&gt;=$D40,S$6&lt;=$F40),$C40/$E40,0)</f>
        <v>0</v>
      </c>
      <c r="T40" s="77" t="n">
        <f aca="false">IF(AND(T$6&gt;=$D40,T$6&lt;=$F40),$C40/$E40,0)</f>
        <v>0</v>
      </c>
      <c r="U40" s="77" t="n">
        <f aca="false">IF(AND(U$6&gt;=$D40,U$6&lt;=$F40),$C40/$E40,0)</f>
        <v>0</v>
      </c>
      <c r="V40" s="77" t="n">
        <f aca="false">IF(AND(V$6&gt;=$D40,V$6&lt;=$F40),$C40/$E40,0)</f>
        <v>0</v>
      </c>
      <c r="W40" s="77" t="n">
        <f aca="false">IF(AND(W$6&gt;=$D40,W$6&lt;=$F40),$C40/$E40,0)</f>
        <v>0</v>
      </c>
      <c r="X40" s="77" t="n">
        <f aca="false">IF(AND(X$6&gt;=$D40,X$6&lt;=$F40),$C40/$E40,0)</f>
        <v>0</v>
      </c>
      <c r="Y40" s="77" t="n">
        <f aca="false">IF(AND(Y$6&gt;=$D40,Y$6&lt;=$F40),$C40/$E40,0)</f>
        <v>0</v>
      </c>
      <c r="Z40" s="77" t="n">
        <f aca="false">IF(AND(Z$6&gt;=$D40,Z$6&lt;=$F40),$C40/$E40,0)</f>
        <v>0</v>
      </c>
      <c r="AA40" s="77" t="n">
        <f aca="false">IF(AND(AA$6&gt;=$D40,AA$6&lt;=$F40),$C40/$E40,0)</f>
        <v>0</v>
      </c>
      <c r="AB40" s="77" t="n">
        <f aca="false">IF(AND(AB$6&gt;=$D40,AB$6&lt;=$F40),$C40/$E40,0)</f>
        <v>0</v>
      </c>
      <c r="AC40" s="77" t="n">
        <f aca="false">IF(AND(AC$6&gt;=$D40,AC$6&lt;=$F40),$C40/$E40,0)</f>
        <v>0</v>
      </c>
      <c r="AD40" s="77" t="n">
        <f aca="false">IF(AND(AD$6&gt;=$D40,AD$6&lt;=$F40),$C40/$E40,0)</f>
        <v>0</v>
      </c>
      <c r="AE40" s="77" t="n">
        <f aca="false">IF(AND(AE$6&gt;=$D40,AE$6&lt;=$F40),$C40/$E40,0)</f>
        <v>0</v>
      </c>
      <c r="AF40" s="77" t="n">
        <f aca="false">IF(AND(AF$6&gt;=$D40,AF$6&lt;=$F40),$C40/$E40,0)</f>
        <v>0</v>
      </c>
      <c r="AG40" s="77" t="n">
        <f aca="false">IF(AND(AG$6&gt;=$D40,AG$6&lt;=$F40),$C40/$E40,0)</f>
        <v>0</v>
      </c>
      <c r="AH40" s="77" t="n">
        <f aca="false">IF(AND(AH$6&gt;=$D40,AH$6&lt;=$F40),$C40/$E40,0)</f>
        <v>0.00254556228504057</v>
      </c>
      <c r="AI40" s="77" t="n">
        <f aca="false">IF(AND(AI$6&gt;=$D40,AI$6&lt;=$F40),$C40/$E40,0)</f>
        <v>0.00254556228504057</v>
      </c>
      <c r="AJ40" s="77" t="n">
        <f aca="false">IF(AND(AJ$6&gt;=$D40,AJ$6&lt;=$F40),$C40/$E40,0)</f>
        <v>0.00254556228504057</v>
      </c>
      <c r="AK40" s="77" t="n">
        <f aca="false">IF(AND(AK$6&gt;=$D40,AK$6&lt;=$F40),$C40/$E40,0)</f>
        <v>0.00254556228504057</v>
      </c>
      <c r="AL40" s="77" t="n">
        <f aca="false">IF(AND(AL$6&gt;=$D40,AL$6&lt;=$F40),$C40/$E40,0)</f>
        <v>0.00254556228504057</v>
      </c>
      <c r="AM40" s="77" t="n">
        <f aca="false">IF(AND(AM$6&gt;=$D40,AM$6&lt;=$F40),$C40/$E40,0)</f>
        <v>0.00254556228504057</v>
      </c>
      <c r="AN40" s="77" t="n">
        <f aca="false">IF(AND(AN$6&gt;=$D40,AN$6&lt;=$F40),$C40/$E40,0)</f>
        <v>0</v>
      </c>
      <c r="AO40" s="77" t="n">
        <f aca="false">IF(AND(AO$6&gt;=$D40,AO$6&lt;=$F40),$C40/$E40,0)</f>
        <v>0</v>
      </c>
      <c r="AP40" s="77" t="n">
        <f aca="false">IF(AND(AP$6&gt;=$D40,AP$6&lt;=$F40),$C40/$E40,0)</f>
        <v>0</v>
      </c>
      <c r="AQ40" s="77" t="n">
        <f aca="false">IF(AND(AQ$6&gt;=$D40,AQ$6&lt;=$F40),$C40/$E40,0)</f>
        <v>0</v>
      </c>
      <c r="AR40" s="77" t="n">
        <f aca="false">IF(AND(AR$6&gt;=$D40,AR$6&lt;=$F40),$C40/$E40,0)</f>
        <v>0</v>
      </c>
      <c r="AS40" s="77" t="n">
        <f aca="false">IF(AND(AS$6&gt;=$D40,AS$6&lt;=$F40),$C40/$E40,0)</f>
        <v>0</v>
      </c>
      <c r="AT40" s="77" t="n">
        <f aca="false">IF(AND(AT$6&gt;=$D40,AT$6&lt;=$F40),$C40/$E40,0)</f>
        <v>0</v>
      </c>
      <c r="AU40" s="77" t="n">
        <f aca="false">IF(AND(AU$6&gt;=$D40,AU$6&lt;=$F40),$C40/$E40,0)</f>
        <v>0</v>
      </c>
      <c r="AV40" s="77" t="n">
        <f aca="false">IF(AND(AV$6&gt;=$D40,AV$6&lt;=$F40),$C40/$E40,0)</f>
        <v>0</v>
      </c>
      <c r="AW40" s="77" t="n">
        <f aca="false">IF(AND(AW$6&gt;=$D40,AW$6&lt;=$F40),$C40/$E40,0)</f>
        <v>0</v>
      </c>
    </row>
    <row r="41" customFormat="false" ht="25.5" hidden="false" customHeight="true" outlineLevel="0" collapsed="false">
      <c r="A41" s="28" t="n">
        <v>34</v>
      </c>
      <c r="B41" s="29" t="str">
        <f aca="false">"PUMP HOUSE - "&amp;Rekap!B56</f>
        <v>PUMP HOUSE - PEKERJAAN PLUMBING (PUMP HOUSE)</v>
      </c>
      <c r="C41" s="75" t="n">
        <f aca="false">Rekap!C56/Rekap!$C$69</f>
        <v>0.0045628420822019</v>
      </c>
      <c r="D41" s="76" t="n">
        <v>28</v>
      </c>
      <c r="E41" s="76" t="n">
        <v>6</v>
      </c>
      <c r="F41" s="28" t="n">
        <f aca="false">D41+E41-1</f>
        <v>33</v>
      </c>
      <c r="G41" s="77" t="n">
        <f aca="false">IF(AND(G$6&gt;=$D41,G$6&lt;=$F41),$C41/$E41,0)</f>
        <v>0</v>
      </c>
      <c r="H41" s="77" t="n">
        <f aca="false">IF(AND(H$6&gt;=$D41,H$6&lt;=$F41),$C41/$E41,0)</f>
        <v>0</v>
      </c>
      <c r="I41" s="77" t="n">
        <f aca="false">IF(AND(I$6&gt;=$D41,I$6&lt;=$F41),$C41/$E41,0)</f>
        <v>0</v>
      </c>
      <c r="J41" s="77" t="n">
        <f aca="false">IF(AND(J$6&gt;=$D41,J$6&lt;=$F41),$C41/$E41,0)</f>
        <v>0</v>
      </c>
      <c r="K41" s="77" t="n">
        <f aca="false">IF(AND(K$6&gt;=$D41,K$6&lt;=$F41),$C41/$E41,0)</f>
        <v>0</v>
      </c>
      <c r="L41" s="77" t="n">
        <f aca="false">IF(AND(L$6&gt;=$D41,L$6&lt;=$F41),$C41/$E41,0)</f>
        <v>0</v>
      </c>
      <c r="M41" s="77" t="n">
        <f aca="false">IF(AND(M$6&gt;=$D41,M$6&lt;=$F41),$C41/$E41,0)</f>
        <v>0</v>
      </c>
      <c r="N41" s="77" t="n">
        <f aca="false">IF(AND(N$6&gt;=$D41,N$6&lt;=$F41),$C41/$E41,0)</f>
        <v>0</v>
      </c>
      <c r="O41" s="77" t="n">
        <f aca="false">IF(AND(O$6&gt;=$D41,O$6&lt;=$F41),$C41/$E41,0)</f>
        <v>0</v>
      </c>
      <c r="P41" s="77" t="n">
        <f aca="false">IF(AND(P$6&gt;=$D41,P$6&lt;=$F41),$C41/$E41,0)</f>
        <v>0</v>
      </c>
      <c r="Q41" s="77" t="n">
        <f aca="false">IF(AND(Q$6&gt;=$D41,Q$6&lt;=$F41),$C41/$E41,0)</f>
        <v>0</v>
      </c>
      <c r="R41" s="77" t="n">
        <f aca="false">IF(AND(R$6&gt;=$D41,R$6&lt;=$F41),$C41/$E41,0)</f>
        <v>0</v>
      </c>
      <c r="S41" s="77" t="n">
        <f aca="false">IF(AND(S$6&gt;=$D41,S$6&lt;=$F41),$C41/$E41,0)</f>
        <v>0</v>
      </c>
      <c r="T41" s="77" t="n">
        <f aca="false">IF(AND(T$6&gt;=$D41,T$6&lt;=$F41),$C41/$E41,0)</f>
        <v>0</v>
      </c>
      <c r="U41" s="77" t="n">
        <f aca="false">IF(AND(U$6&gt;=$D41,U$6&lt;=$F41),$C41/$E41,0)</f>
        <v>0</v>
      </c>
      <c r="V41" s="77" t="n">
        <f aca="false">IF(AND(V$6&gt;=$D41,V$6&lt;=$F41),$C41/$E41,0)</f>
        <v>0</v>
      </c>
      <c r="W41" s="77" t="n">
        <f aca="false">IF(AND(W$6&gt;=$D41,W$6&lt;=$F41),$C41/$E41,0)</f>
        <v>0</v>
      </c>
      <c r="X41" s="77" t="n">
        <f aca="false">IF(AND(X$6&gt;=$D41,X$6&lt;=$F41),$C41/$E41,0)</f>
        <v>0</v>
      </c>
      <c r="Y41" s="77" t="n">
        <f aca="false">IF(AND(Y$6&gt;=$D41,Y$6&lt;=$F41),$C41/$E41,0)</f>
        <v>0</v>
      </c>
      <c r="Z41" s="77" t="n">
        <f aca="false">IF(AND(Z$6&gt;=$D41,Z$6&lt;=$F41),$C41/$E41,0)</f>
        <v>0</v>
      </c>
      <c r="AA41" s="77" t="n">
        <f aca="false">IF(AND(AA$6&gt;=$D41,AA$6&lt;=$F41),$C41/$E41,0)</f>
        <v>0</v>
      </c>
      <c r="AB41" s="77" t="n">
        <f aca="false">IF(AND(AB$6&gt;=$D41,AB$6&lt;=$F41),$C41/$E41,0)</f>
        <v>0</v>
      </c>
      <c r="AC41" s="77" t="n">
        <f aca="false">IF(AND(AC$6&gt;=$D41,AC$6&lt;=$F41),$C41/$E41,0)</f>
        <v>0</v>
      </c>
      <c r="AD41" s="77" t="n">
        <f aca="false">IF(AND(AD$6&gt;=$D41,AD$6&lt;=$F41),$C41/$E41,0)</f>
        <v>0</v>
      </c>
      <c r="AE41" s="77" t="n">
        <f aca="false">IF(AND(AE$6&gt;=$D41,AE$6&lt;=$F41),$C41/$E41,0)</f>
        <v>0</v>
      </c>
      <c r="AF41" s="77" t="n">
        <f aca="false">IF(AND(AF$6&gt;=$D41,AF$6&lt;=$F41),$C41/$E41,0)</f>
        <v>0</v>
      </c>
      <c r="AG41" s="77" t="n">
        <f aca="false">IF(AND(AG$6&gt;=$D41,AG$6&lt;=$F41),$C41/$E41,0)</f>
        <v>0</v>
      </c>
      <c r="AH41" s="77" t="n">
        <f aca="false">IF(AND(AH$6&gt;=$D41,AH$6&lt;=$F41),$C41/$E41,0)</f>
        <v>0.000760473680366983</v>
      </c>
      <c r="AI41" s="77" t="n">
        <f aca="false">IF(AND(AI$6&gt;=$D41,AI$6&lt;=$F41),$C41/$E41,0)</f>
        <v>0.000760473680366983</v>
      </c>
      <c r="AJ41" s="77" t="n">
        <f aca="false">IF(AND(AJ$6&gt;=$D41,AJ$6&lt;=$F41),$C41/$E41,0)</f>
        <v>0.000760473680366983</v>
      </c>
      <c r="AK41" s="77" t="n">
        <f aca="false">IF(AND(AK$6&gt;=$D41,AK$6&lt;=$F41),$C41/$E41,0)</f>
        <v>0.000760473680366983</v>
      </c>
      <c r="AL41" s="77" t="n">
        <f aca="false">IF(AND(AL$6&gt;=$D41,AL$6&lt;=$F41),$C41/$E41,0)</f>
        <v>0.000760473680366983</v>
      </c>
      <c r="AM41" s="77" t="n">
        <f aca="false">IF(AND(AM$6&gt;=$D41,AM$6&lt;=$F41),$C41/$E41,0)</f>
        <v>0.000760473680366983</v>
      </c>
      <c r="AN41" s="77" t="n">
        <f aca="false">IF(AND(AN$6&gt;=$D41,AN$6&lt;=$F41),$C41/$E41,0)</f>
        <v>0</v>
      </c>
      <c r="AO41" s="77" t="n">
        <f aca="false">IF(AND(AO$6&gt;=$D41,AO$6&lt;=$F41),$C41/$E41,0)</f>
        <v>0</v>
      </c>
      <c r="AP41" s="77" t="n">
        <f aca="false">IF(AND(AP$6&gt;=$D41,AP$6&lt;=$F41),$C41/$E41,0)</f>
        <v>0</v>
      </c>
      <c r="AQ41" s="77" t="n">
        <f aca="false">IF(AND(AQ$6&gt;=$D41,AQ$6&lt;=$F41),$C41/$E41,0)</f>
        <v>0</v>
      </c>
      <c r="AR41" s="77" t="n">
        <f aca="false">IF(AND(AR$6&gt;=$D41,AR$6&lt;=$F41),$C41/$E41,0)</f>
        <v>0</v>
      </c>
      <c r="AS41" s="77" t="n">
        <f aca="false">IF(AND(AS$6&gt;=$D41,AS$6&lt;=$F41),$C41/$E41,0)</f>
        <v>0</v>
      </c>
      <c r="AT41" s="77" t="n">
        <f aca="false">IF(AND(AT$6&gt;=$D41,AT$6&lt;=$F41),$C41/$E41,0)</f>
        <v>0</v>
      </c>
      <c r="AU41" s="77" t="n">
        <f aca="false">IF(AND(AU$6&gt;=$D41,AU$6&lt;=$F41),$C41/$E41,0)</f>
        <v>0</v>
      </c>
      <c r="AV41" s="77" t="n">
        <f aca="false">IF(AND(AV$6&gt;=$D41,AV$6&lt;=$F41),$C41/$E41,0)</f>
        <v>0</v>
      </c>
      <c r="AW41" s="77" t="n">
        <f aca="false">IF(AND(AW$6&gt;=$D41,AW$6&lt;=$F41),$C41/$E41,0)</f>
        <v>0</v>
      </c>
    </row>
    <row r="42" customFormat="false" ht="25.5" hidden="false" customHeight="true" outlineLevel="0" collapsed="false">
      <c r="A42" s="28" t="n">
        <v>35</v>
      </c>
      <c r="B42" s="29" t="str">
        <f aca="false">"PUMP HOUSE - "&amp;Rekap!B57</f>
        <v>PUMP HOUSE - PEKERJAAN ELEKTRIKAL (PUMP HOUSE)</v>
      </c>
      <c r="C42" s="75" t="n">
        <f aca="false">Rekap!C57/Rekap!$C$69</f>
        <v>0.000425793475856311</v>
      </c>
      <c r="D42" s="76" t="n">
        <v>29</v>
      </c>
      <c r="E42" s="76" t="n">
        <v>8</v>
      </c>
      <c r="F42" s="28" t="n">
        <f aca="false">D42+E42-1</f>
        <v>36</v>
      </c>
      <c r="G42" s="77" t="n">
        <f aca="false">IF(AND(G$6&gt;=$D42,G$6&lt;=$F42),$C42/$E42,0)</f>
        <v>0</v>
      </c>
      <c r="H42" s="77" t="n">
        <f aca="false">IF(AND(H$6&gt;=$D42,H$6&lt;=$F42),$C42/$E42,0)</f>
        <v>0</v>
      </c>
      <c r="I42" s="77" t="n">
        <f aca="false">IF(AND(I$6&gt;=$D42,I$6&lt;=$F42),$C42/$E42,0)</f>
        <v>0</v>
      </c>
      <c r="J42" s="77" t="n">
        <f aca="false">IF(AND(J$6&gt;=$D42,J$6&lt;=$F42),$C42/$E42,0)</f>
        <v>0</v>
      </c>
      <c r="K42" s="77" t="n">
        <f aca="false">IF(AND(K$6&gt;=$D42,K$6&lt;=$F42),$C42/$E42,0)</f>
        <v>0</v>
      </c>
      <c r="L42" s="77" t="n">
        <f aca="false">IF(AND(L$6&gt;=$D42,L$6&lt;=$F42),$C42/$E42,0)</f>
        <v>0</v>
      </c>
      <c r="M42" s="77" t="n">
        <f aca="false">IF(AND(M$6&gt;=$D42,M$6&lt;=$F42),$C42/$E42,0)</f>
        <v>0</v>
      </c>
      <c r="N42" s="77" t="n">
        <f aca="false">IF(AND(N$6&gt;=$D42,N$6&lt;=$F42),$C42/$E42,0)</f>
        <v>0</v>
      </c>
      <c r="O42" s="77" t="n">
        <f aca="false">IF(AND(O$6&gt;=$D42,O$6&lt;=$F42),$C42/$E42,0)</f>
        <v>0</v>
      </c>
      <c r="P42" s="77" t="n">
        <f aca="false">IF(AND(P$6&gt;=$D42,P$6&lt;=$F42),$C42/$E42,0)</f>
        <v>0</v>
      </c>
      <c r="Q42" s="77" t="n">
        <f aca="false">IF(AND(Q$6&gt;=$D42,Q$6&lt;=$F42),$C42/$E42,0)</f>
        <v>0</v>
      </c>
      <c r="R42" s="77" t="n">
        <f aca="false">IF(AND(R$6&gt;=$D42,R$6&lt;=$F42),$C42/$E42,0)</f>
        <v>0</v>
      </c>
      <c r="S42" s="77" t="n">
        <f aca="false">IF(AND(S$6&gt;=$D42,S$6&lt;=$F42),$C42/$E42,0)</f>
        <v>0</v>
      </c>
      <c r="T42" s="77" t="n">
        <f aca="false">IF(AND(T$6&gt;=$D42,T$6&lt;=$F42),$C42/$E42,0)</f>
        <v>0</v>
      </c>
      <c r="U42" s="77" t="n">
        <f aca="false">IF(AND(U$6&gt;=$D42,U$6&lt;=$F42),$C42/$E42,0)</f>
        <v>0</v>
      </c>
      <c r="V42" s="77" t="n">
        <f aca="false">IF(AND(V$6&gt;=$D42,V$6&lt;=$F42),$C42/$E42,0)</f>
        <v>0</v>
      </c>
      <c r="W42" s="77" t="n">
        <f aca="false">IF(AND(W$6&gt;=$D42,W$6&lt;=$F42),$C42/$E42,0)</f>
        <v>0</v>
      </c>
      <c r="X42" s="77" t="n">
        <f aca="false">IF(AND(X$6&gt;=$D42,X$6&lt;=$F42),$C42/$E42,0)</f>
        <v>0</v>
      </c>
      <c r="Y42" s="77" t="n">
        <f aca="false">IF(AND(Y$6&gt;=$D42,Y$6&lt;=$F42),$C42/$E42,0)</f>
        <v>0</v>
      </c>
      <c r="Z42" s="77" t="n">
        <f aca="false">IF(AND(Z$6&gt;=$D42,Z$6&lt;=$F42),$C42/$E42,0)</f>
        <v>0</v>
      </c>
      <c r="AA42" s="77" t="n">
        <f aca="false">IF(AND(AA$6&gt;=$D42,AA$6&lt;=$F42),$C42/$E42,0)</f>
        <v>0</v>
      </c>
      <c r="AB42" s="77" t="n">
        <f aca="false">IF(AND(AB$6&gt;=$D42,AB$6&lt;=$F42),$C42/$E42,0)</f>
        <v>0</v>
      </c>
      <c r="AC42" s="77" t="n">
        <f aca="false">IF(AND(AC$6&gt;=$D42,AC$6&lt;=$F42),$C42/$E42,0)</f>
        <v>0</v>
      </c>
      <c r="AD42" s="77" t="n">
        <f aca="false">IF(AND(AD$6&gt;=$D42,AD$6&lt;=$F42),$C42/$E42,0)</f>
        <v>0</v>
      </c>
      <c r="AE42" s="77" t="n">
        <f aca="false">IF(AND(AE$6&gt;=$D42,AE$6&lt;=$F42),$C42/$E42,0)</f>
        <v>0</v>
      </c>
      <c r="AF42" s="77" t="n">
        <f aca="false">IF(AND(AF$6&gt;=$D42,AF$6&lt;=$F42),$C42/$E42,0)</f>
        <v>0</v>
      </c>
      <c r="AG42" s="77" t="n">
        <f aca="false">IF(AND(AG$6&gt;=$D42,AG$6&lt;=$F42),$C42/$E42,0)</f>
        <v>0</v>
      </c>
      <c r="AH42" s="77" t="n">
        <f aca="false">IF(AND(AH$6&gt;=$D42,AH$6&lt;=$F42),$C42/$E42,0)</f>
        <v>0</v>
      </c>
      <c r="AI42" s="77" t="n">
        <f aca="false">IF(AND(AI$6&gt;=$D42,AI$6&lt;=$F42),$C42/$E42,0)</f>
        <v>5.32241844820388E-005</v>
      </c>
      <c r="AJ42" s="77" t="n">
        <f aca="false">IF(AND(AJ$6&gt;=$D42,AJ$6&lt;=$F42),$C42/$E42,0)</f>
        <v>5.32241844820388E-005</v>
      </c>
      <c r="AK42" s="77" t="n">
        <f aca="false">IF(AND(AK$6&gt;=$D42,AK$6&lt;=$F42),$C42/$E42,0)</f>
        <v>5.32241844820388E-005</v>
      </c>
      <c r="AL42" s="77" t="n">
        <f aca="false">IF(AND(AL$6&gt;=$D42,AL$6&lt;=$F42),$C42/$E42,0)</f>
        <v>5.32241844820388E-005</v>
      </c>
      <c r="AM42" s="77" t="n">
        <f aca="false">IF(AND(AM$6&gt;=$D42,AM$6&lt;=$F42),$C42/$E42,0)</f>
        <v>5.32241844820388E-005</v>
      </c>
      <c r="AN42" s="77" t="n">
        <f aca="false">IF(AND(AN$6&gt;=$D42,AN$6&lt;=$F42),$C42/$E42,0)</f>
        <v>5.32241844820388E-005</v>
      </c>
      <c r="AO42" s="77" t="n">
        <f aca="false">IF(AND(AO$6&gt;=$D42,AO$6&lt;=$F42),$C42/$E42,0)</f>
        <v>5.32241844820388E-005</v>
      </c>
      <c r="AP42" s="77" t="n">
        <f aca="false">IF(AND(AP$6&gt;=$D42,AP$6&lt;=$F42),$C42/$E42,0)</f>
        <v>5.32241844820388E-005</v>
      </c>
      <c r="AQ42" s="77" t="n">
        <f aca="false">IF(AND(AQ$6&gt;=$D42,AQ$6&lt;=$F42),$C42/$E42,0)</f>
        <v>0</v>
      </c>
      <c r="AR42" s="77" t="n">
        <f aca="false">IF(AND(AR$6&gt;=$D42,AR$6&lt;=$F42),$C42/$E42,0)</f>
        <v>0</v>
      </c>
      <c r="AS42" s="77" t="n">
        <f aca="false">IF(AND(AS$6&gt;=$D42,AS$6&lt;=$F42),$C42/$E42,0)</f>
        <v>0</v>
      </c>
      <c r="AT42" s="77" t="n">
        <f aca="false">IF(AND(AT$6&gt;=$D42,AT$6&lt;=$F42),$C42/$E42,0)</f>
        <v>0</v>
      </c>
      <c r="AU42" s="77" t="n">
        <f aca="false">IF(AND(AU$6&gt;=$D42,AU$6&lt;=$F42),$C42/$E42,0)</f>
        <v>0</v>
      </c>
      <c r="AV42" s="77" t="n">
        <f aca="false">IF(AND(AV$6&gt;=$D42,AV$6&lt;=$F42),$C42/$E42,0)</f>
        <v>0</v>
      </c>
      <c r="AW42" s="77" t="n">
        <f aca="false">IF(AND(AW$6&gt;=$D42,AW$6&lt;=$F42),$C42/$E42,0)</f>
        <v>0</v>
      </c>
    </row>
    <row r="43" customFormat="false" ht="25.5" hidden="false" customHeight="true" outlineLevel="0" collapsed="false">
      <c r="A43" s="28" t="n">
        <v>36</v>
      </c>
      <c r="B43" s="29" t="str">
        <f aca="false">"FASUM - "&amp;Rekap!B61</f>
        <v>FASUM - PEKERJAAN PEMATANGAN LAHAN KAWASAN</v>
      </c>
      <c r="C43" s="75" t="n">
        <f aca="false">Rekap!C61/Rekap!$C$69</f>
        <v>0.0848906650239088</v>
      </c>
      <c r="D43" s="76" t="n">
        <v>2</v>
      </c>
      <c r="E43" s="76" t="n">
        <v>10</v>
      </c>
      <c r="F43" s="28" t="n">
        <f aca="false">D43+E43-1</f>
        <v>11</v>
      </c>
      <c r="G43" s="77" t="n">
        <f aca="false">IF(AND(G$6&gt;=$D43,G$6&lt;=$F43),$C43/$E43,0)</f>
        <v>0</v>
      </c>
      <c r="H43" s="77" t="n">
        <f aca="false">IF(AND(H$6&gt;=$D43,H$6&lt;=$F43),$C43/$E43,0)</f>
        <v>0.00848906650239088</v>
      </c>
      <c r="I43" s="77" t="n">
        <f aca="false">IF(AND(I$6&gt;=$D43,I$6&lt;=$F43),$C43/$E43,0)</f>
        <v>0.00848906650239088</v>
      </c>
      <c r="J43" s="77" t="n">
        <f aca="false">IF(AND(J$6&gt;=$D43,J$6&lt;=$F43),$C43/$E43,0)</f>
        <v>0.00848906650239088</v>
      </c>
      <c r="K43" s="77" t="n">
        <f aca="false">IF(AND(K$6&gt;=$D43,K$6&lt;=$F43),$C43/$E43,0)</f>
        <v>0.00848906650239088</v>
      </c>
      <c r="L43" s="77" t="n">
        <f aca="false">IF(AND(L$6&gt;=$D43,L$6&lt;=$F43),$C43/$E43,0)</f>
        <v>0.00848906650239088</v>
      </c>
      <c r="M43" s="77" t="n">
        <f aca="false">IF(AND(M$6&gt;=$D43,M$6&lt;=$F43),$C43/$E43,0)</f>
        <v>0.00848906650239088</v>
      </c>
      <c r="N43" s="77" t="n">
        <f aca="false">IF(AND(N$6&gt;=$D43,N$6&lt;=$F43),$C43/$E43,0)</f>
        <v>0.00848906650239088</v>
      </c>
      <c r="O43" s="77" t="n">
        <f aca="false">IF(AND(O$6&gt;=$D43,O$6&lt;=$F43),$C43/$E43,0)</f>
        <v>0.00848906650239088</v>
      </c>
      <c r="P43" s="77" t="n">
        <f aca="false">IF(AND(P$6&gt;=$D43,P$6&lt;=$F43),$C43/$E43,0)</f>
        <v>0.00848906650239088</v>
      </c>
      <c r="Q43" s="77" t="n">
        <f aca="false">IF(AND(Q$6&gt;=$D43,Q$6&lt;=$F43),$C43/$E43,0)</f>
        <v>0.00848906650239088</v>
      </c>
      <c r="R43" s="77" t="n">
        <f aca="false">IF(AND(R$6&gt;=$D43,R$6&lt;=$F43),$C43/$E43,0)</f>
        <v>0</v>
      </c>
      <c r="S43" s="77" t="n">
        <f aca="false">IF(AND(S$6&gt;=$D43,S$6&lt;=$F43),$C43/$E43,0)</f>
        <v>0</v>
      </c>
      <c r="T43" s="77" t="n">
        <f aca="false">IF(AND(T$6&gt;=$D43,T$6&lt;=$F43),$C43/$E43,0)</f>
        <v>0</v>
      </c>
      <c r="U43" s="77" t="n">
        <f aca="false">IF(AND(U$6&gt;=$D43,U$6&lt;=$F43),$C43/$E43,0)</f>
        <v>0</v>
      </c>
      <c r="V43" s="77" t="n">
        <f aca="false">IF(AND(V$6&gt;=$D43,V$6&lt;=$F43),$C43/$E43,0)</f>
        <v>0</v>
      </c>
      <c r="W43" s="77" t="n">
        <f aca="false">IF(AND(W$6&gt;=$D43,W$6&lt;=$F43),$C43/$E43,0)</f>
        <v>0</v>
      </c>
      <c r="X43" s="77" t="n">
        <f aca="false">IF(AND(X$6&gt;=$D43,X$6&lt;=$F43),$C43/$E43,0)</f>
        <v>0</v>
      </c>
      <c r="Y43" s="77" t="n">
        <f aca="false">IF(AND(Y$6&gt;=$D43,Y$6&lt;=$F43),$C43/$E43,0)</f>
        <v>0</v>
      </c>
      <c r="Z43" s="77" t="n">
        <f aca="false">IF(AND(Z$6&gt;=$D43,Z$6&lt;=$F43),$C43/$E43,0)</f>
        <v>0</v>
      </c>
      <c r="AA43" s="77" t="n">
        <f aca="false">IF(AND(AA$6&gt;=$D43,AA$6&lt;=$F43),$C43/$E43,0)</f>
        <v>0</v>
      </c>
      <c r="AB43" s="77" t="n">
        <f aca="false">IF(AND(AB$6&gt;=$D43,AB$6&lt;=$F43),$C43/$E43,0)</f>
        <v>0</v>
      </c>
      <c r="AC43" s="77" t="n">
        <f aca="false">IF(AND(AC$6&gt;=$D43,AC$6&lt;=$F43),$C43/$E43,0)</f>
        <v>0</v>
      </c>
      <c r="AD43" s="77" t="n">
        <f aca="false">IF(AND(AD$6&gt;=$D43,AD$6&lt;=$F43),$C43/$E43,0)</f>
        <v>0</v>
      </c>
      <c r="AE43" s="77" t="n">
        <f aca="false">IF(AND(AE$6&gt;=$D43,AE$6&lt;=$F43),$C43/$E43,0)</f>
        <v>0</v>
      </c>
      <c r="AF43" s="77" t="n">
        <f aca="false">IF(AND(AF$6&gt;=$D43,AF$6&lt;=$F43),$C43/$E43,0)</f>
        <v>0</v>
      </c>
      <c r="AG43" s="77" t="n">
        <f aca="false">IF(AND(AG$6&gt;=$D43,AG$6&lt;=$F43),$C43/$E43,0)</f>
        <v>0</v>
      </c>
      <c r="AH43" s="77" t="n">
        <f aca="false">IF(AND(AH$6&gt;=$D43,AH$6&lt;=$F43),$C43/$E43,0)</f>
        <v>0</v>
      </c>
      <c r="AI43" s="77" t="n">
        <f aca="false">IF(AND(AI$6&gt;=$D43,AI$6&lt;=$F43),$C43/$E43,0)</f>
        <v>0</v>
      </c>
      <c r="AJ43" s="77" t="n">
        <f aca="false">IF(AND(AJ$6&gt;=$D43,AJ$6&lt;=$F43),$C43/$E43,0)</f>
        <v>0</v>
      </c>
      <c r="AK43" s="77" t="n">
        <f aca="false">IF(AND(AK$6&gt;=$D43,AK$6&lt;=$F43),$C43/$E43,0)</f>
        <v>0</v>
      </c>
      <c r="AL43" s="77" t="n">
        <f aca="false">IF(AND(AL$6&gt;=$D43,AL$6&lt;=$F43),$C43/$E43,0)</f>
        <v>0</v>
      </c>
      <c r="AM43" s="77" t="n">
        <f aca="false">IF(AND(AM$6&gt;=$D43,AM$6&lt;=$F43),$C43/$E43,0)</f>
        <v>0</v>
      </c>
      <c r="AN43" s="77" t="n">
        <f aca="false">IF(AND(AN$6&gt;=$D43,AN$6&lt;=$F43),$C43/$E43,0)</f>
        <v>0</v>
      </c>
      <c r="AO43" s="77" t="n">
        <f aca="false">IF(AND(AO$6&gt;=$D43,AO$6&lt;=$F43),$C43/$E43,0)</f>
        <v>0</v>
      </c>
      <c r="AP43" s="77" t="n">
        <f aca="false">IF(AND(AP$6&gt;=$D43,AP$6&lt;=$F43),$C43/$E43,0)</f>
        <v>0</v>
      </c>
      <c r="AQ43" s="77" t="n">
        <f aca="false">IF(AND(AQ$6&gt;=$D43,AQ$6&lt;=$F43),$C43/$E43,0)</f>
        <v>0</v>
      </c>
      <c r="AR43" s="77" t="n">
        <f aca="false">IF(AND(AR$6&gt;=$D43,AR$6&lt;=$F43),$C43/$E43,0)</f>
        <v>0</v>
      </c>
      <c r="AS43" s="77" t="n">
        <f aca="false">IF(AND(AS$6&gt;=$D43,AS$6&lt;=$F43),$C43/$E43,0)</f>
        <v>0</v>
      </c>
      <c r="AT43" s="77" t="n">
        <f aca="false">IF(AND(AT$6&gt;=$D43,AT$6&lt;=$F43),$C43/$E43,0)</f>
        <v>0</v>
      </c>
      <c r="AU43" s="77" t="n">
        <f aca="false">IF(AND(AU$6&gt;=$D43,AU$6&lt;=$F43),$C43/$E43,0)</f>
        <v>0</v>
      </c>
      <c r="AV43" s="77" t="n">
        <f aca="false">IF(AND(AV$6&gt;=$D43,AV$6&lt;=$F43),$C43/$E43,0)</f>
        <v>0</v>
      </c>
      <c r="AW43" s="77" t="n">
        <f aca="false">IF(AND(AW$6&gt;=$D43,AW$6&lt;=$F43),$C43/$E43,0)</f>
        <v>0</v>
      </c>
    </row>
    <row r="44" customFormat="false" ht="25.5" hidden="false" customHeight="true" outlineLevel="0" collapsed="false">
      <c r="A44" s="28" t="n">
        <v>37</v>
      </c>
      <c r="B44" s="29" t="str">
        <f aca="false">"FASUM - "&amp;Rekap!B62</f>
        <v>FASUM - PEKERJAAN TURAP LEVELING LAHAN KAWASAN</v>
      </c>
      <c r="C44" s="75" t="n">
        <f aca="false">Rekap!C62/Rekap!$C$69</f>
        <v>0.118964532758726</v>
      </c>
      <c r="D44" s="76" t="n">
        <v>5</v>
      </c>
      <c r="E44" s="76" t="n">
        <v>14</v>
      </c>
      <c r="F44" s="28" t="n">
        <f aca="false">D44+E44-1</f>
        <v>18</v>
      </c>
      <c r="G44" s="77" t="n">
        <f aca="false">IF(AND(G$6&gt;=$D44,G$6&lt;=$F44),$C44/$E44,0)</f>
        <v>0</v>
      </c>
      <c r="H44" s="77" t="n">
        <f aca="false">IF(AND(H$6&gt;=$D44,H$6&lt;=$F44),$C44/$E44,0)</f>
        <v>0</v>
      </c>
      <c r="I44" s="77" t="n">
        <f aca="false">IF(AND(I$6&gt;=$D44,I$6&lt;=$F44),$C44/$E44,0)</f>
        <v>0</v>
      </c>
      <c r="J44" s="77" t="n">
        <f aca="false">IF(AND(J$6&gt;=$D44,J$6&lt;=$F44),$C44/$E44,0)</f>
        <v>0</v>
      </c>
      <c r="K44" s="77" t="n">
        <f aca="false">IF(AND(K$6&gt;=$D44,K$6&lt;=$F44),$C44/$E44,0)</f>
        <v>0.00849746662562326</v>
      </c>
      <c r="L44" s="77" t="n">
        <f aca="false">IF(AND(L$6&gt;=$D44,L$6&lt;=$F44),$C44/$E44,0)</f>
        <v>0.00849746662562326</v>
      </c>
      <c r="M44" s="77" t="n">
        <f aca="false">IF(AND(M$6&gt;=$D44,M$6&lt;=$F44),$C44/$E44,0)</f>
        <v>0.00849746662562326</v>
      </c>
      <c r="N44" s="77" t="n">
        <f aca="false">IF(AND(N$6&gt;=$D44,N$6&lt;=$F44),$C44/$E44,0)</f>
        <v>0.00849746662562326</v>
      </c>
      <c r="O44" s="77" t="n">
        <f aca="false">IF(AND(O$6&gt;=$D44,O$6&lt;=$F44),$C44/$E44,0)</f>
        <v>0.00849746662562326</v>
      </c>
      <c r="P44" s="77" t="n">
        <f aca="false">IF(AND(P$6&gt;=$D44,P$6&lt;=$F44),$C44/$E44,0)</f>
        <v>0.00849746662562326</v>
      </c>
      <c r="Q44" s="77" t="n">
        <f aca="false">IF(AND(Q$6&gt;=$D44,Q$6&lt;=$F44),$C44/$E44,0)</f>
        <v>0.00849746662562326</v>
      </c>
      <c r="R44" s="77" t="n">
        <f aca="false">IF(AND(R$6&gt;=$D44,R$6&lt;=$F44),$C44/$E44,0)</f>
        <v>0.00849746662562326</v>
      </c>
      <c r="S44" s="77" t="n">
        <f aca="false">IF(AND(S$6&gt;=$D44,S$6&lt;=$F44),$C44/$E44,0)</f>
        <v>0.00849746662562326</v>
      </c>
      <c r="T44" s="77" t="n">
        <f aca="false">IF(AND(T$6&gt;=$D44,T$6&lt;=$F44),$C44/$E44,0)</f>
        <v>0.00849746662562326</v>
      </c>
      <c r="U44" s="77" t="n">
        <f aca="false">IF(AND(U$6&gt;=$D44,U$6&lt;=$F44),$C44/$E44,0)</f>
        <v>0.00849746662562326</v>
      </c>
      <c r="V44" s="77" t="n">
        <f aca="false">IF(AND(V$6&gt;=$D44,V$6&lt;=$F44),$C44/$E44,0)</f>
        <v>0.00849746662562326</v>
      </c>
      <c r="W44" s="77" t="n">
        <f aca="false">IF(AND(W$6&gt;=$D44,W$6&lt;=$F44),$C44/$E44,0)</f>
        <v>0.00849746662562326</v>
      </c>
      <c r="X44" s="77" t="n">
        <f aca="false">IF(AND(X$6&gt;=$D44,X$6&lt;=$F44),$C44/$E44,0)</f>
        <v>0.00849746662562326</v>
      </c>
      <c r="Y44" s="77" t="n">
        <f aca="false">IF(AND(Y$6&gt;=$D44,Y$6&lt;=$F44),$C44/$E44,0)</f>
        <v>0</v>
      </c>
      <c r="Z44" s="77" t="n">
        <f aca="false">IF(AND(Z$6&gt;=$D44,Z$6&lt;=$F44),$C44/$E44,0)</f>
        <v>0</v>
      </c>
      <c r="AA44" s="77" t="n">
        <f aca="false">IF(AND(AA$6&gt;=$D44,AA$6&lt;=$F44),$C44/$E44,0)</f>
        <v>0</v>
      </c>
      <c r="AB44" s="77" t="n">
        <f aca="false">IF(AND(AB$6&gt;=$D44,AB$6&lt;=$F44),$C44/$E44,0)</f>
        <v>0</v>
      </c>
      <c r="AC44" s="77" t="n">
        <f aca="false">IF(AND(AC$6&gt;=$D44,AC$6&lt;=$F44),$C44/$E44,0)</f>
        <v>0</v>
      </c>
      <c r="AD44" s="77" t="n">
        <f aca="false">IF(AND(AD$6&gt;=$D44,AD$6&lt;=$F44),$C44/$E44,0)</f>
        <v>0</v>
      </c>
      <c r="AE44" s="77" t="n">
        <f aca="false">IF(AND(AE$6&gt;=$D44,AE$6&lt;=$F44),$C44/$E44,0)</f>
        <v>0</v>
      </c>
      <c r="AF44" s="77" t="n">
        <f aca="false">IF(AND(AF$6&gt;=$D44,AF$6&lt;=$F44),$C44/$E44,0)</f>
        <v>0</v>
      </c>
      <c r="AG44" s="77" t="n">
        <f aca="false">IF(AND(AG$6&gt;=$D44,AG$6&lt;=$F44),$C44/$E44,0)</f>
        <v>0</v>
      </c>
      <c r="AH44" s="77" t="n">
        <f aca="false">IF(AND(AH$6&gt;=$D44,AH$6&lt;=$F44),$C44/$E44,0)</f>
        <v>0</v>
      </c>
      <c r="AI44" s="77" t="n">
        <f aca="false">IF(AND(AI$6&gt;=$D44,AI$6&lt;=$F44),$C44/$E44,0)</f>
        <v>0</v>
      </c>
      <c r="AJ44" s="77" t="n">
        <f aca="false">IF(AND(AJ$6&gt;=$D44,AJ$6&lt;=$F44),$C44/$E44,0)</f>
        <v>0</v>
      </c>
      <c r="AK44" s="77" t="n">
        <f aca="false">IF(AND(AK$6&gt;=$D44,AK$6&lt;=$F44),$C44/$E44,0)</f>
        <v>0</v>
      </c>
      <c r="AL44" s="77" t="n">
        <f aca="false">IF(AND(AL$6&gt;=$D44,AL$6&lt;=$F44),$C44/$E44,0)</f>
        <v>0</v>
      </c>
      <c r="AM44" s="77" t="n">
        <f aca="false">IF(AND(AM$6&gt;=$D44,AM$6&lt;=$F44),$C44/$E44,0)</f>
        <v>0</v>
      </c>
      <c r="AN44" s="77" t="n">
        <f aca="false">IF(AND(AN$6&gt;=$D44,AN$6&lt;=$F44),$C44/$E44,0)</f>
        <v>0</v>
      </c>
      <c r="AO44" s="77" t="n">
        <f aca="false">IF(AND(AO$6&gt;=$D44,AO$6&lt;=$F44),$C44/$E44,0)</f>
        <v>0</v>
      </c>
      <c r="AP44" s="77" t="n">
        <f aca="false">IF(AND(AP$6&gt;=$D44,AP$6&lt;=$F44),$C44/$E44,0)</f>
        <v>0</v>
      </c>
      <c r="AQ44" s="77" t="n">
        <f aca="false">IF(AND(AQ$6&gt;=$D44,AQ$6&lt;=$F44),$C44/$E44,0)</f>
        <v>0</v>
      </c>
      <c r="AR44" s="77" t="n">
        <f aca="false">IF(AND(AR$6&gt;=$D44,AR$6&lt;=$F44),$C44/$E44,0)</f>
        <v>0</v>
      </c>
      <c r="AS44" s="77" t="n">
        <f aca="false">IF(AND(AS$6&gt;=$D44,AS$6&lt;=$F44),$C44/$E44,0)</f>
        <v>0</v>
      </c>
      <c r="AT44" s="77" t="n">
        <f aca="false">IF(AND(AT$6&gt;=$D44,AT$6&lt;=$F44),$C44/$E44,0)</f>
        <v>0</v>
      </c>
      <c r="AU44" s="77" t="n">
        <f aca="false">IF(AND(AU$6&gt;=$D44,AU$6&lt;=$F44),$C44/$E44,0)</f>
        <v>0</v>
      </c>
      <c r="AV44" s="77" t="n">
        <f aca="false">IF(AND(AV$6&gt;=$D44,AV$6&lt;=$F44),$C44/$E44,0)</f>
        <v>0</v>
      </c>
      <c r="AW44" s="77" t="n">
        <f aca="false">IF(AND(AW$6&gt;=$D44,AW$6&lt;=$F44),$C44/$E44,0)</f>
        <v>0</v>
      </c>
    </row>
    <row r="45" customFormat="false" ht="25.5" hidden="false" customHeight="true" outlineLevel="0" collapsed="false">
      <c r="A45" s="28" t="n">
        <v>38</v>
      </c>
      <c r="B45" s="29" t="str">
        <f aca="false">"FASUM - "&amp;Rekap!B63</f>
        <v>FASUM - PEKERJAAN GALIAN JALUR KABEL DAN JALAN KAWASAN</v>
      </c>
      <c r="C45" s="75" t="n">
        <f aca="false">Rekap!C63/Rekap!$C$69</f>
        <v>0.00275549403086957</v>
      </c>
      <c r="D45" s="76" t="n">
        <v>22</v>
      </c>
      <c r="E45" s="76" t="n">
        <v>16</v>
      </c>
      <c r="F45" s="28" t="n">
        <f aca="false">D45+E45-1</f>
        <v>37</v>
      </c>
      <c r="G45" s="77" t="n">
        <f aca="false">IF(AND(G$6&gt;=$D45,G$6&lt;=$F45),$C45/$E45,0)</f>
        <v>0</v>
      </c>
      <c r="H45" s="77" t="n">
        <f aca="false">IF(AND(H$6&gt;=$D45,H$6&lt;=$F45),$C45/$E45,0)</f>
        <v>0</v>
      </c>
      <c r="I45" s="77" t="n">
        <f aca="false">IF(AND(I$6&gt;=$D45,I$6&lt;=$F45),$C45/$E45,0)</f>
        <v>0</v>
      </c>
      <c r="J45" s="77" t="n">
        <f aca="false">IF(AND(J$6&gt;=$D45,J$6&lt;=$F45),$C45/$E45,0)</f>
        <v>0</v>
      </c>
      <c r="K45" s="77" t="n">
        <f aca="false">IF(AND(K$6&gt;=$D45,K$6&lt;=$F45),$C45/$E45,0)</f>
        <v>0</v>
      </c>
      <c r="L45" s="77" t="n">
        <f aca="false">IF(AND(L$6&gt;=$D45,L$6&lt;=$F45),$C45/$E45,0)</f>
        <v>0</v>
      </c>
      <c r="M45" s="77" t="n">
        <f aca="false">IF(AND(M$6&gt;=$D45,M$6&lt;=$F45),$C45/$E45,0)</f>
        <v>0</v>
      </c>
      <c r="N45" s="77" t="n">
        <f aca="false">IF(AND(N$6&gt;=$D45,N$6&lt;=$F45),$C45/$E45,0)</f>
        <v>0</v>
      </c>
      <c r="O45" s="77" t="n">
        <f aca="false">IF(AND(O$6&gt;=$D45,O$6&lt;=$F45),$C45/$E45,0)</f>
        <v>0</v>
      </c>
      <c r="P45" s="77" t="n">
        <f aca="false">IF(AND(P$6&gt;=$D45,P$6&lt;=$F45),$C45/$E45,0)</f>
        <v>0</v>
      </c>
      <c r="Q45" s="77" t="n">
        <f aca="false">IF(AND(Q$6&gt;=$D45,Q$6&lt;=$F45),$C45/$E45,0)</f>
        <v>0</v>
      </c>
      <c r="R45" s="77" t="n">
        <f aca="false">IF(AND(R$6&gt;=$D45,R$6&lt;=$F45),$C45/$E45,0)</f>
        <v>0</v>
      </c>
      <c r="S45" s="77" t="n">
        <f aca="false">IF(AND(S$6&gt;=$D45,S$6&lt;=$F45),$C45/$E45,0)</f>
        <v>0</v>
      </c>
      <c r="T45" s="77" t="n">
        <f aca="false">IF(AND(T$6&gt;=$D45,T$6&lt;=$F45),$C45/$E45,0)</f>
        <v>0</v>
      </c>
      <c r="U45" s="77" t="n">
        <f aca="false">IF(AND(U$6&gt;=$D45,U$6&lt;=$F45),$C45/$E45,0)</f>
        <v>0</v>
      </c>
      <c r="V45" s="77" t="n">
        <f aca="false">IF(AND(V$6&gt;=$D45,V$6&lt;=$F45),$C45/$E45,0)</f>
        <v>0</v>
      </c>
      <c r="W45" s="77" t="n">
        <f aca="false">IF(AND(W$6&gt;=$D45,W$6&lt;=$F45),$C45/$E45,0)</f>
        <v>0</v>
      </c>
      <c r="X45" s="77" t="n">
        <f aca="false">IF(AND(X$6&gt;=$D45,X$6&lt;=$F45),$C45/$E45,0)</f>
        <v>0</v>
      </c>
      <c r="Y45" s="77" t="n">
        <f aca="false">IF(AND(Y$6&gt;=$D45,Y$6&lt;=$F45),$C45/$E45,0)</f>
        <v>0</v>
      </c>
      <c r="Z45" s="77" t="n">
        <f aca="false">IF(AND(Z$6&gt;=$D45,Z$6&lt;=$F45),$C45/$E45,0)</f>
        <v>0</v>
      </c>
      <c r="AA45" s="77" t="n">
        <f aca="false">IF(AND(AA$6&gt;=$D45,AA$6&lt;=$F45),$C45/$E45,0)</f>
        <v>0</v>
      </c>
      <c r="AB45" s="77" t="n">
        <f aca="false">IF(AND(AB$6&gt;=$D45,AB$6&lt;=$F45),$C45/$E45,0)</f>
        <v>0.000172218376929348</v>
      </c>
      <c r="AC45" s="77" t="n">
        <f aca="false">IF(AND(AC$6&gt;=$D45,AC$6&lt;=$F45),$C45/$E45,0)</f>
        <v>0.000172218376929348</v>
      </c>
      <c r="AD45" s="77" t="n">
        <f aca="false">IF(AND(AD$6&gt;=$D45,AD$6&lt;=$F45),$C45/$E45,0)</f>
        <v>0.000172218376929348</v>
      </c>
      <c r="AE45" s="77" t="n">
        <f aca="false">IF(AND(AE$6&gt;=$D45,AE$6&lt;=$F45),$C45/$E45,0)</f>
        <v>0.000172218376929348</v>
      </c>
      <c r="AF45" s="77" t="n">
        <f aca="false">IF(AND(AF$6&gt;=$D45,AF$6&lt;=$F45),$C45/$E45,0)</f>
        <v>0.000172218376929348</v>
      </c>
      <c r="AG45" s="77" t="n">
        <f aca="false">IF(AND(AG$6&gt;=$D45,AG$6&lt;=$F45),$C45/$E45,0)</f>
        <v>0.000172218376929348</v>
      </c>
      <c r="AH45" s="77" t="n">
        <f aca="false">IF(AND(AH$6&gt;=$D45,AH$6&lt;=$F45),$C45/$E45,0)</f>
        <v>0.000172218376929348</v>
      </c>
      <c r="AI45" s="77" t="n">
        <f aca="false">IF(AND(AI$6&gt;=$D45,AI$6&lt;=$F45),$C45/$E45,0)</f>
        <v>0.000172218376929348</v>
      </c>
      <c r="AJ45" s="77" t="n">
        <f aca="false">IF(AND(AJ$6&gt;=$D45,AJ$6&lt;=$F45),$C45/$E45,0)</f>
        <v>0.000172218376929348</v>
      </c>
      <c r="AK45" s="77" t="n">
        <f aca="false">IF(AND(AK$6&gt;=$D45,AK$6&lt;=$F45),$C45/$E45,0)</f>
        <v>0.000172218376929348</v>
      </c>
      <c r="AL45" s="77" t="n">
        <f aca="false">IF(AND(AL$6&gt;=$D45,AL$6&lt;=$F45),$C45/$E45,0)</f>
        <v>0.000172218376929348</v>
      </c>
      <c r="AM45" s="77" t="n">
        <f aca="false">IF(AND(AM$6&gt;=$D45,AM$6&lt;=$F45),$C45/$E45,0)</f>
        <v>0.000172218376929348</v>
      </c>
      <c r="AN45" s="77" t="n">
        <f aca="false">IF(AND(AN$6&gt;=$D45,AN$6&lt;=$F45),$C45/$E45,0)</f>
        <v>0.000172218376929348</v>
      </c>
      <c r="AO45" s="77" t="n">
        <f aca="false">IF(AND(AO$6&gt;=$D45,AO$6&lt;=$F45),$C45/$E45,0)</f>
        <v>0.000172218376929348</v>
      </c>
      <c r="AP45" s="77" t="n">
        <f aca="false">IF(AND(AP$6&gt;=$D45,AP$6&lt;=$F45),$C45/$E45,0)</f>
        <v>0.000172218376929348</v>
      </c>
      <c r="AQ45" s="77" t="n">
        <f aca="false">IF(AND(AQ$6&gt;=$D45,AQ$6&lt;=$F45),$C45/$E45,0)</f>
        <v>0.000172218376929348</v>
      </c>
      <c r="AR45" s="77" t="n">
        <f aca="false">IF(AND(AR$6&gt;=$D45,AR$6&lt;=$F45),$C45/$E45,0)</f>
        <v>0</v>
      </c>
      <c r="AS45" s="77" t="n">
        <f aca="false">IF(AND(AS$6&gt;=$D45,AS$6&lt;=$F45),$C45/$E45,0)</f>
        <v>0</v>
      </c>
      <c r="AT45" s="77" t="n">
        <f aca="false">IF(AND(AT$6&gt;=$D45,AT$6&lt;=$F45),$C45/$E45,0)</f>
        <v>0</v>
      </c>
      <c r="AU45" s="77" t="n">
        <f aca="false">IF(AND(AU$6&gt;=$D45,AU$6&lt;=$F45),$C45/$E45,0)</f>
        <v>0</v>
      </c>
      <c r="AV45" s="77" t="n">
        <f aca="false">IF(AND(AV$6&gt;=$D45,AV$6&lt;=$F45),$C45/$E45,0)</f>
        <v>0</v>
      </c>
      <c r="AW45" s="77" t="n">
        <f aca="false">IF(AND(AW$6&gt;=$D45,AW$6&lt;=$F45),$C45/$E45,0)</f>
        <v>0</v>
      </c>
    </row>
    <row r="46" customFormat="false" ht="25.5" hidden="false" customHeight="true" outlineLevel="0" collapsed="false">
      <c r="A46" s="28" t="n">
        <v>39</v>
      </c>
      <c r="B46" s="29" t="str">
        <f aca="false">"FASUM - "&amp;Rekap!B64</f>
        <v>FASUM - PEKERJAAN MEP KAWASAN (Elektrikal, Hydrant, Air Bersih &amp; Water Tank)</v>
      </c>
      <c r="C46" s="75" t="n">
        <f aca="false">Rekap!C64/Rekap!$C$69</f>
        <v>0.0655824087589181</v>
      </c>
      <c r="D46" s="76" t="n">
        <v>24</v>
      </c>
      <c r="E46" s="76" t="n">
        <v>16</v>
      </c>
      <c r="F46" s="28" t="n">
        <f aca="false">D46+E46-1</f>
        <v>39</v>
      </c>
      <c r="G46" s="77" t="n">
        <f aca="false">IF(AND(G$6&gt;=$D46,G$6&lt;=$F46),$C46/$E46,0)</f>
        <v>0</v>
      </c>
      <c r="H46" s="77" t="n">
        <f aca="false">IF(AND(H$6&gt;=$D46,H$6&lt;=$F46),$C46/$E46,0)</f>
        <v>0</v>
      </c>
      <c r="I46" s="77" t="n">
        <f aca="false">IF(AND(I$6&gt;=$D46,I$6&lt;=$F46),$C46/$E46,0)</f>
        <v>0</v>
      </c>
      <c r="J46" s="77" t="n">
        <f aca="false">IF(AND(J$6&gt;=$D46,J$6&lt;=$F46),$C46/$E46,0)</f>
        <v>0</v>
      </c>
      <c r="K46" s="77" t="n">
        <f aca="false">IF(AND(K$6&gt;=$D46,K$6&lt;=$F46),$C46/$E46,0)</f>
        <v>0</v>
      </c>
      <c r="L46" s="77" t="n">
        <f aca="false">IF(AND(L$6&gt;=$D46,L$6&lt;=$F46),$C46/$E46,0)</f>
        <v>0</v>
      </c>
      <c r="M46" s="77" t="n">
        <f aca="false">IF(AND(M$6&gt;=$D46,M$6&lt;=$F46),$C46/$E46,0)</f>
        <v>0</v>
      </c>
      <c r="N46" s="77" t="n">
        <f aca="false">IF(AND(N$6&gt;=$D46,N$6&lt;=$F46),$C46/$E46,0)</f>
        <v>0</v>
      </c>
      <c r="O46" s="77" t="n">
        <f aca="false">IF(AND(O$6&gt;=$D46,O$6&lt;=$F46),$C46/$E46,0)</f>
        <v>0</v>
      </c>
      <c r="P46" s="77" t="n">
        <f aca="false">IF(AND(P$6&gt;=$D46,P$6&lt;=$F46),$C46/$E46,0)</f>
        <v>0</v>
      </c>
      <c r="Q46" s="77" t="n">
        <f aca="false">IF(AND(Q$6&gt;=$D46,Q$6&lt;=$F46),$C46/$E46,0)</f>
        <v>0</v>
      </c>
      <c r="R46" s="77" t="n">
        <f aca="false">IF(AND(R$6&gt;=$D46,R$6&lt;=$F46),$C46/$E46,0)</f>
        <v>0</v>
      </c>
      <c r="S46" s="77" t="n">
        <f aca="false">IF(AND(S$6&gt;=$D46,S$6&lt;=$F46),$C46/$E46,0)</f>
        <v>0</v>
      </c>
      <c r="T46" s="77" t="n">
        <f aca="false">IF(AND(T$6&gt;=$D46,T$6&lt;=$F46),$C46/$E46,0)</f>
        <v>0</v>
      </c>
      <c r="U46" s="77" t="n">
        <f aca="false">IF(AND(U$6&gt;=$D46,U$6&lt;=$F46),$C46/$E46,0)</f>
        <v>0</v>
      </c>
      <c r="V46" s="77" t="n">
        <f aca="false">IF(AND(V$6&gt;=$D46,V$6&lt;=$F46),$C46/$E46,0)</f>
        <v>0</v>
      </c>
      <c r="W46" s="77" t="n">
        <f aca="false">IF(AND(W$6&gt;=$D46,W$6&lt;=$F46),$C46/$E46,0)</f>
        <v>0</v>
      </c>
      <c r="X46" s="77" t="n">
        <f aca="false">IF(AND(X$6&gt;=$D46,X$6&lt;=$F46),$C46/$E46,0)</f>
        <v>0</v>
      </c>
      <c r="Y46" s="77" t="n">
        <f aca="false">IF(AND(Y$6&gt;=$D46,Y$6&lt;=$F46),$C46/$E46,0)</f>
        <v>0</v>
      </c>
      <c r="Z46" s="77" t="n">
        <f aca="false">IF(AND(Z$6&gt;=$D46,Z$6&lt;=$F46),$C46/$E46,0)</f>
        <v>0</v>
      </c>
      <c r="AA46" s="77" t="n">
        <f aca="false">IF(AND(AA$6&gt;=$D46,AA$6&lt;=$F46),$C46/$E46,0)</f>
        <v>0</v>
      </c>
      <c r="AB46" s="77" t="n">
        <f aca="false">IF(AND(AB$6&gt;=$D46,AB$6&lt;=$F46),$C46/$E46,0)</f>
        <v>0</v>
      </c>
      <c r="AC46" s="77" t="n">
        <f aca="false">IF(AND(AC$6&gt;=$D46,AC$6&lt;=$F46),$C46/$E46,0)</f>
        <v>0</v>
      </c>
      <c r="AD46" s="77" t="n">
        <f aca="false">IF(AND(AD$6&gt;=$D46,AD$6&lt;=$F46),$C46/$E46,0)</f>
        <v>0.00409890054743238</v>
      </c>
      <c r="AE46" s="77" t="n">
        <f aca="false">IF(AND(AE$6&gt;=$D46,AE$6&lt;=$F46),$C46/$E46,0)</f>
        <v>0.00409890054743238</v>
      </c>
      <c r="AF46" s="77" t="n">
        <f aca="false">IF(AND(AF$6&gt;=$D46,AF$6&lt;=$F46),$C46/$E46,0)</f>
        <v>0.00409890054743238</v>
      </c>
      <c r="AG46" s="77" t="n">
        <f aca="false">IF(AND(AG$6&gt;=$D46,AG$6&lt;=$F46),$C46/$E46,0)</f>
        <v>0.00409890054743238</v>
      </c>
      <c r="AH46" s="77" t="n">
        <f aca="false">IF(AND(AH$6&gt;=$D46,AH$6&lt;=$F46),$C46/$E46,0)</f>
        <v>0.00409890054743238</v>
      </c>
      <c r="AI46" s="77" t="n">
        <f aca="false">IF(AND(AI$6&gt;=$D46,AI$6&lt;=$F46),$C46/$E46,0)</f>
        <v>0.00409890054743238</v>
      </c>
      <c r="AJ46" s="77" t="n">
        <f aca="false">IF(AND(AJ$6&gt;=$D46,AJ$6&lt;=$F46),$C46/$E46,0)</f>
        <v>0.00409890054743238</v>
      </c>
      <c r="AK46" s="77" t="n">
        <f aca="false">IF(AND(AK$6&gt;=$D46,AK$6&lt;=$F46),$C46/$E46,0)</f>
        <v>0.00409890054743238</v>
      </c>
      <c r="AL46" s="77" t="n">
        <f aca="false">IF(AND(AL$6&gt;=$D46,AL$6&lt;=$F46),$C46/$E46,0)</f>
        <v>0.00409890054743238</v>
      </c>
      <c r="AM46" s="77" t="n">
        <f aca="false">IF(AND(AM$6&gt;=$D46,AM$6&lt;=$F46),$C46/$E46,0)</f>
        <v>0.00409890054743238</v>
      </c>
      <c r="AN46" s="77" t="n">
        <f aca="false">IF(AND(AN$6&gt;=$D46,AN$6&lt;=$F46),$C46/$E46,0)</f>
        <v>0.00409890054743238</v>
      </c>
      <c r="AO46" s="77" t="n">
        <f aca="false">IF(AND(AO$6&gt;=$D46,AO$6&lt;=$F46),$C46/$E46,0)</f>
        <v>0.00409890054743238</v>
      </c>
      <c r="AP46" s="77" t="n">
        <f aca="false">IF(AND(AP$6&gt;=$D46,AP$6&lt;=$F46),$C46/$E46,0)</f>
        <v>0.00409890054743238</v>
      </c>
      <c r="AQ46" s="77" t="n">
        <f aca="false">IF(AND(AQ$6&gt;=$D46,AQ$6&lt;=$F46),$C46/$E46,0)</f>
        <v>0.00409890054743238</v>
      </c>
      <c r="AR46" s="77" t="n">
        <f aca="false">IF(AND(AR$6&gt;=$D46,AR$6&lt;=$F46),$C46/$E46,0)</f>
        <v>0.00409890054743238</v>
      </c>
      <c r="AS46" s="77" t="n">
        <f aca="false">IF(AND(AS$6&gt;=$D46,AS$6&lt;=$F46),$C46/$E46,0)</f>
        <v>0.00409890054743238</v>
      </c>
      <c r="AT46" s="77" t="n">
        <f aca="false">IF(AND(AT$6&gt;=$D46,AT$6&lt;=$F46),$C46/$E46,0)</f>
        <v>0</v>
      </c>
      <c r="AU46" s="77" t="n">
        <f aca="false">IF(AND(AU$6&gt;=$D46,AU$6&lt;=$F46),$C46/$E46,0)</f>
        <v>0</v>
      </c>
      <c r="AV46" s="77" t="n">
        <f aca="false">IF(AND(AV$6&gt;=$D46,AV$6&lt;=$F46),$C46/$E46,0)</f>
        <v>0</v>
      </c>
      <c r="AW46" s="77" t="n">
        <f aca="false">IF(AND(AW$6&gt;=$D46,AW$6&lt;=$F46),$C46/$E46,0)</f>
        <v>0</v>
      </c>
    </row>
    <row r="47" customFormat="false" ht="25.5" hidden="false" customHeight="true" outlineLevel="0" collapsed="false">
      <c r="A47" s="28" t="n">
        <v>40</v>
      </c>
      <c r="B47" s="29" t="str">
        <f aca="false">"FASUM - "&amp;Rekap!B65</f>
        <v>FASUM - PEKERJAAN IPAL</v>
      </c>
      <c r="C47" s="75" t="n">
        <f aca="false">Rekap!C65/Rekap!$C$69</f>
        <v>0.0116815041601099</v>
      </c>
      <c r="D47" s="76" t="n">
        <v>14</v>
      </c>
      <c r="E47" s="76" t="n">
        <v>20</v>
      </c>
      <c r="F47" s="28" t="n">
        <f aca="false">D47+E47-1</f>
        <v>33</v>
      </c>
      <c r="G47" s="77" t="n">
        <f aca="false">IF(AND(G$6&gt;=$D47,G$6&lt;=$F47),$C47/$E47,0)</f>
        <v>0</v>
      </c>
      <c r="H47" s="77" t="n">
        <f aca="false">IF(AND(H$6&gt;=$D47,H$6&lt;=$F47),$C47/$E47,0)</f>
        <v>0</v>
      </c>
      <c r="I47" s="77" t="n">
        <f aca="false">IF(AND(I$6&gt;=$D47,I$6&lt;=$F47),$C47/$E47,0)</f>
        <v>0</v>
      </c>
      <c r="J47" s="77" t="n">
        <f aca="false">IF(AND(J$6&gt;=$D47,J$6&lt;=$F47),$C47/$E47,0)</f>
        <v>0</v>
      </c>
      <c r="K47" s="77" t="n">
        <f aca="false">IF(AND(K$6&gt;=$D47,K$6&lt;=$F47),$C47/$E47,0)</f>
        <v>0</v>
      </c>
      <c r="L47" s="77" t="n">
        <f aca="false">IF(AND(L$6&gt;=$D47,L$6&lt;=$F47),$C47/$E47,0)</f>
        <v>0</v>
      </c>
      <c r="M47" s="77" t="n">
        <f aca="false">IF(AND(M$6&gt;=$D47,M$6&lt;=$F47),$C47/$E47,0)</f>
        <v>0</v>
      </c>
      <c r="N47" s="77" t="n">
        <f aca="false">IF(AND(N$6&gt;=$D47,N$6&lt;=$F47),$C47/$E47,0)</f>
        <v>0</v>
      </c>
      <c r="O47" s="77" t="n">
        <f aca="false">IF(AND(O$6&gt;=$D47,O$6&lt;=$F47),$C47/$E47,0)</f>
        <v>0</v>
      </c>
      <c r="P47" s="77" t="n">
        <f aca="false">IF(AND(P$6&gt;=$D47,P$6&lt;=$F47),$C47/$E47,0)</f>
        <v>0</v>
      </c>
      <c r="Q47" s="77" t="n">
        <f aca="false">IF(AND(Q$6&gt;=$D47,Q$6&lt;=$F47),$C47/$E47,0)</f>
        <v>0</v>
      </c>
      <c r="R47" s="77" t="n">
        <f aca="false">IF(AND(R$6&gt;=$D47,R$6&lt;=$F47),$C47/$E47,0)</f>
        <v>0</v>
      </c>
      <c r="S47" s="77" t="n">
        <f aca="false">IF(AND(S$6&gt;=$D47,S$6&lt;=$F47),$C47/$E47,0)</f>
        <v>0</v>
      </c>
      <c r="T47" s="77" t="n">
        <f aca="false">IF(AND(T$6&gt;=$D47,T$6&lt;=$F47),$C47/$E47,0)</f>
        <v>0.000584075208005497</v>
      </c>
      <c r="U47" s="77" t="n">
        <f aca="false">IF(AND(U$6&gt;=$D47,U$6&lt;=$F47),$C47/$E47,0)</f>
        <v>0.000584075208005497</v>
      </c>
      <c r="V47" s="77" t="n">
        <f aca="false">IF(AND(V$6&gt;=$D47,V$6&lt;=$F47),$C47/$E47,0)</f>
        <v>0.000584075208005497</v>
      </c>
      <c r="W47" s="77" t="n">
        <f aca="false">IF(AND(W$6&gt;=$D47,W$6&lt;=$F47),$C47/$E47,0)</f>
        <v>0.000584075208005497</v>
      </c>
      <c r="X47" s="77" t="n">
        <f aca="false">IF(AND(X$6&gt;=$D47,X$6&lt;=$F47),$C47/$E47,0)</f>
        <v>0.000584075208005497</v>
      </c>
      <c r="Y47" s="77" t="n">
        <f aca="false">IF(AND(Y$6&gt;=$D47,Y$6&lt;=$F47),$C47/$E47,0)</f>
        <v>0.000584075208005497</v>
      </c>
      <c r="Z47" s="77" t="n">
        <f aca="false">IF(AND(Z$6&gt;=$D47,Z$6&lt;=$F47),$C47/$E47,0)</f>
        <v>0.000584075208005497</v>
      </c>
      <c r="AA47" s="77" t="n">
        <f aca="false">IF(AND(AA$6&gt;=$D47,AA$6&lt;=$F47),$C47/$E47,0)</f>
        <v>0.000584075208005497</v>
      </c>
      <c r="AB47" s="77" t="n">
        <f aca="false">IF(AND(AB$6&gt;=$D47,AB$6&lt;=$F47),$C47/$E47,0)</f>
        <v>0.000584075208005497</v>
      </c>
      <c r="AC47" s="77" t="n">
        <f aca="false">IF(AND(AC$6&gt;=$D47,AC$6&lt;=$F47),$C47/$E47,0)</f>
        <v>0.000584075208005497</v>
      </c>
      <c r="AD47" s="77" t="n">
        <f aca="false">IF(AND(AD$6&gt;=$D47,AD$6&lt;=$F47),$C47/$E47,0)</f>
        <v>0.000584075208005497</v>
      </c>
      <c r="AE47" s="77" t="n">
        <f aca="false">IF(AND(AE$6&gt;=$D47,AE$6&lt;=$F47),$C47/$E47,0)</f>
        <v>0.000584075208005497</v>
      </c>
      <c r="AF47" s="77" t="n">
        <f aca="false">IF(AND(AF$6&gt;=$D47,AF$6&lt;=$F47),$C47/$E47,0)</f>
        <v>0.000584075208005497</v>
      </c>
      <c r="AG47" s="77" t="n">
        <f aca="false">IF(AND(AG$6&gt;=$D47,AG$6&lt;=$F47),$C47/$E47,0)</f>
        <v>0.000584075208005497</v>
      </c>
      <c r="AH47" s="77" t="n">
        <f aca="false">IF(AND(AH$6&gt;=$D47,AH$6&lt;=$F47),$C47/$E47,0)</f>
        <v>0.000584075208005497</v>
      </c>
      <c r="AI47" s="77" t="n">
        <f aca="false">IF(AND(AI$6&gt;=$D47,AI$6&lt;=$F47),$C47/$E47,0)</f>
        <v>0.000584075208005497</v>
      </c>
      <c r="AJ47" s="77" t="n">
        <f aca="false">IF(AND(AJ$6&gt;=$D47,AJ$6&lt;=$F47),$C47/$E47,0)</f>
        <v>0.000584075208005497</v>
      </c>
      <c r="AK47" s="77" t="n">
        <f aca="false">IF(AND(AK$6&gt;=$D47,AK$6&lt;=$F47),$C47/$E47,0)</f>
        <v>0.000584075208005497</v>
      </c>
      <c r="AL47" s="77" t="n">
        <f aca="false">IF(AND(AL$6&gt;=$D47,AL$6&lt;=$F47),$C47/$E47,0)</f>
        <v>0.000584075208005497</v>
      </c>
      <c r="AM47" s="77" t="n">
        <f aca="false">IF(AND(AM$6&gt;=$D47,AM$6&lt;=$F47),$C47/$E47,0)</f>
        <v>0.000584075208005497</v>
      </c>
      <c r="AN47" s="77" t="n">
        <f aca="false">IF(AND(AN$6&gt;=$D47,AN$6&lt;=$F47),$C47/$E47,0)</f>
        <v>0</v>
      </c>
      <c r="AO47" s="77" t="n">
        <f aca="false">IF(AND(AO$6&gt;=$D47,AO$6&lt;=$F47),$C47/$E47,0)</f>
        <v>0</v>
      </c>
      <c r="AP47" s="77" t="n">
        <f aca="false">IF(AND(AP$6&gt;=$D47,AP$6&lt;=$F47),$C47/$E47,0)</f>
        <v>0</v>
      </c>
      <c r="AQ47" s="77" t="n">
        <f aca="false">IF(AND(AQ$6&gt;=$D47,AQ$6&lt;=$F47),$C47/$E47,0)</f>
        <v>0</v>
      </c>
      <c r="AR47" s="77" t="n">
        <f aca="false">IF(AND(AR$6&gt;=$D47,AR$6&lt;=$F47),$C47/$E47,0)</f>
        <v>0</v>
      </c>
      <c r="AS47" s="77" t="n">
        <f aca="false">IF(AND(AS$6&gt;=$D47,AS$6&lt;=$F47),$C47/$E47,0)</f>
        <v>0</v>
      </c>
      <c r="AT47" s="77" t="n">
        <f aca="false">IF(AND(AT$6&gt;=$D47,AT$6&lt;=$F47),$C47/$E47,0)</f>
        <v>0</v>
      </c>
      <c r="AU47" s="77" t="n">
        <f aca="false">IF(AND(AU$6&gt;=$D47,AU$6&lt;=$F47),$C47/$E47,0)</f>
        <v>0</v>
      </c>
      <c r="AV47" s="77" t="n">
        <f aca="false">IF(AND(AV$6&gt;=$D47,AV$6&lt;=$F47),$C47/$E47,0)</f>
        <v>0</v>
      </c>
      <c r="AW47" s="77" t="n">
        <f aca="false">IF(AND(AW$6&gt;=$D47,AW$6&lt;=$F47),$C47/$E47,0)</f>
        <v>0</v>
      </c>
    </row>
    <row r="48" customFormat="false" ht="25.5" hidden="false" customHeight="true" outlineLevel="0" collapsed="false">
      <c r="A48" s="28" t="n">
        <v>41</v>
      </c>
      <c r="B48" s="29" t="str">
        <f aca="false">"FASUM - "&amp;Rekap!B66</f>
        <v>FASUM - PEKERJAAN TPS LB3</v>
      </c>
      <c r="C48" s="75" t="n">
        <f aca="false">Rekap!C66/Rekap!$C$69</f>
        <v>0.0017047017287323</v>
      </c>
      <c r="D48" s="76" t="n">
        <v>31</v>
      </c>
      <c r="E48" s="76" t="n">
        <v>7</v>
      </c>
      <c r="F48" s="28" t="n">
        <f aca="false">D48+E48-1</f>
        <v>37</v>
      </c>
      <c r="G48" s="77" t="n">
        <f aca="false">IF(AND(G$6&gt;=$D48,G$6&lt;=$F48),$C48/$E48,0)</f>
        <v>0</v>
      </c>
      <c r="H48" s="77" t="n">
        <f aca="false">IF(AND(H$6&gt;=$D48,H$6&lt;=$F48),$C48/$E48,0)</f>
        <v>0</v>
      </c>
      <c r="I48" s="77" t="n">
        <f aca="false">IF(AND(I$6&gt;=$D48,I$6&lt;=$F48),$C48/$E48,0)</f>
        <v>0</v>
      </c>
      <c r="J48" s="77" t="n">
        <f aca="false">IF(AND(J$6&gt;=$D48,J$6&lt;=$F48),$C48/$E48,0)</f>
        <v>0</v>
      </c>
      <c r="K48" s="77" t="n">
        <f aca="false">IF(AND(K$6&gt;=$D48,K$6&lt;=$F48),$C48/$E48,0)</f>
        <v>0</v>
      </c>
      <c r="L48" s="77" t="n">
        <f aca="false">IF(AND(L$6&gt;=$D48,L$6&lt;=$F48),$C48/$E48,0)</f>
        <v>0</v>
      </c>
      <c r="M48" s="77" t="n">
        <f aca="false">IF(AND(M$6&gt;=$D48,M$6&lt;=$F48),$C48/$E48,0)</f>
        <v>0</v>
      </c>
      <c r="N48" s="77" t="n">
        <f aca="false">IF(AND(N$6&gt;=$D48,N$6&lt;=$F48),$C48/$E48,0)</f>
        <v>0</v>
      </c>
      <c r="O48" s="77" t="n">
        <f aca="false">IF(AND(O$6&gt;=$D48,O$6&lt;=$F48),$C48/$E48,0)</f>
        <v>0</v>
      </c>
      <c r="P48" s="77" t="n">
        <f aca="false">IF(AND(P$6&gt;=$D48,P$6&lt;=$F48),$C48/$E48,0)</f>
        <v>0</v>
      </c>
      <c r="Q48" s="77" t="n">
        <f aca="false">IF(AND(Q$6&gt;=$D48,Q$6&lt;=$F48),$C48/$E48,0)</f>
        <v>0</v>
      </c>
      <c r="R48" s="77" t="n">
        <f aca="false">IF(AND(R$6&gt;=$D48,R$6&lt;=$F48),$C48/$E48,0)</f>
        <v>0</v>
      </c>
      <c r="S48" s="77" t="n">
        <f aca="false">IF(AND(S$6&gt;=$D48,S$6&lt;=$F48),$C48/$E48,0)</f>
        <v>0</v>
      </c>
      <c r="T48" s="77" t="n">
        <f aca="false">IF(AND(T$6&gt;=$D48,T$6&lt;=$F48),$C48/$E48,0)</f>
        <v>0</v>
      </c>
      <c r="U48" s="77" t="n">
        <f aca="false">IF(AND(U$6&gt;=$D48,U$6&lt;=$F48),$C48/$E48,0)</f>
        <v>0</v>
      </c>
      <c r="V48" s="77" t="n">
        <f aca="false">IF(AND(V$6&gt;=$D48,V$6&lt;=$F48),$C48/$E48,0)</f>
        <v>0</v>
      </c>
      <c r="W48" s="77" t="n">
        <f aca="false">IF(AND(W$6&gt;=$D48,W$6&lt;=$F48),$C48/$E48,0)</f>
        <v>0</v>
      </c>
      <c r="X48" s="77" t="n">
        <f aca="false">IF(AND(X$6&gt;=$D48,X$6&lt;=$F48),$C48/$E48,0)</f>
        <v>0</v>
      </c>
      <c r="Y48" s="77" t="n">
        <f aca="false">IF(AND(Y$6&gt;=$D48,Y$6&lt;=$F48),$C48/$E48,0)</f>
        <v>0</v>
      </c>
      <c r="Z48" s="77" t="n">
        <f aca="false">IF(AND(Z$6&gt;=$D48,Z$6&lt;=$F48),$C48/$E48,0)</f>
        <v>0</v>
      </c>
      <c r="AA48" s="77" t="n">
        <f aca="false">IF(AND(AA$6&gt;=$D48,AA$6&lt;=$F48),$C48/$E48,0)</f>
        <v>0</v>
      </c>
      <c r="AB48" s="77" t="n">
        <f aca="false">IF(AND(AB$6&gt;=$D48,AB$6&lt;=$F48),$C48/$E48,0)</f>
        <v>0</v>
      </c>
      <c r="AC48" s="77" t="n">
        <f aca="false">IF(AND(AC$6&gt;=$D48,AC$6&lt;=$F48),$C48/$E48,0)</f>
        <v>0</v>
      </c>
      <c r="AD48" s="77" t="n">
        <f aca="false">IF(AND(AD$6&gt;=$D48,AD$6&lt;=$F48),$C48/$E48,0)</f>
        <v>0</v>
      </c>
      <c r="AE48" s="77" t="n">
        <f aca="false">IF(AND(AE$6&gt;=$D48,AE$6&lt;=$F48),$C48/$E48,0)</f>
        <v>0</v>
      </c>
      <c r="AF48" s="77" t="n">
        <f aca="false">IF(AND(AF$6&gt;=$D48,AF$6&lt;=$F48),$C48/$E48,0)</f>
        <v>0</v>
      </c>
      <c r="AG48" s="77" t="n">
        <f aca="false">IF(AND(AG$6&gt;=$D48,AG$6&lt;=$F48),$C48/$E48,0)</f>
        <v>0</v>
      </c>
      <c r="AH48" s="77" t="n">
        <f aca="false">IF(AND(AH$6&gt;=$D48,AH$6&lt;=$F48),$C48/$E48,0)</f>
        <v>0</v>
      </c>
      <c r="AI48" s="77" t="n">
        <f aca="false">IF(AND(AI$6&gt;=$D48,AI$6&lt;=$F48),$C48/$E48,0)</f>
        <v>0</v>
      </c>
      <c r="AJ48" s="77" t="n">
        <f aca="false">IF(AND(AJ$6&gt;=$D48,AJ$6&lt;=$F48),$C48/$E48,0)</f>
        <v>0</v>
      </c>
      <c r="AK48" s="77" t="n">
        <f aca="false">IF(AND(AK$6&gt;=$D48,AK$6&lt;=$F48),$C48/$E48,0)</f>
        <v>0.000243528818390329</v>
      </c>
      <c r="AL48" s="77" t="n">
        <f aca="false">IF(AND(AL$6&gt;=$D48,AL$6&lt;=$F48),$C48/$E48,0)</f>
        <v>0.000243528818390329</v>
      </c>
      <c r="AM48" s="77" t="n">
        <f aca="false">IF(AND(AM$6&gt;=$D48,AM$6&lt;=$F48),$C48/$E48,0)</f>
        <v>0.000243528818390329</v>
      </c>
      <c r="AN48" s="77" t="n">
        <f aca="false">IF(AND(AN$6&gt;=$D48,AN$6&lt;=$F48),$C48/$E48,0)</f>
        <v>0.000243528818390329</v>
      </c>
      <c r="AO48" s="77" t="n">
        <f aca="false">IF(AND(AO$6&gt;=$D48,AO$6&lt;=$F48),$C48/$E48,0)</f>
        <v>0.000243528818390329</v>
      </c>
      <c r="AP48" s="77" t="n">
        <f aca="false">IF(AND(AP$6&gt;=$D48,AP$6&lt;=$F48),$C48/$E48,0)</f>
        <v>0.000243528818390329</v>
      </c>
      <c r="AQ48" s="77" t="n">
        <f aca="false">IF(AND(AQ$6&gt;=$D48,AQ$6&lt;=$F48),$C48/$E48,0)</f>
        <v>0.000243528818390329</v>
      </c>
      <c r="AR48" s="77" t="n">
        <f aca="false">IF(AND(AR$6&gt;=$D48,AR$6&lt;=$F48),$C48/$E48,0)</f>
        <v>0</v>
      </c>
      <c r="AS48" s="77" t="n">
        <f aca="false">IF(AND(AS$6&gt;=$D48,AS$6&lt;=$F48),$C48/$E48,0)</f>
        <v>0</v>
      </c>
      <c r="AT48" s="77" t="n">
        <f aca="false">IF(AND(AT$6&gt;=$D48,AT$6&lt;=$F48),$C48/$E48,0)</f>
        <v>0</v>
      </c>
      <c r="AU48" s="77" t="n">
        <f aca="false">IF(AND(AU$6&gt;=$D48,AU$6&lt;=$F48),$C48/$E48,0)</f>
        <v>0</v>
      </c>
      <c r="AV48" s="77" t="n">
        <f aca="false">IF(AND(AV$6&gt;=$D48,AV$6&lt;=$F48),$C48/$E48,0)</f>
        <v>0</v>
      </c>
      <c r="AW48" s="77" t="n">
        <f aca="false">IF(AND(AW$6&gt;=$D48,AW$6&lt;=$F48),$C48/$E48,0)</f>
        <v>0</v>
      </c>
    </row>
    <row r="49" customFormat="false" ht="25.5" hidden="false" customHeight="true" outlineLevel="0" collapsed="false">
      <c r="A49" s="28" t="n">
        <v>42</v>
      </c>
      <c r="B49" s="29" t="str">
        <f aca="false">"FASUM - "&amp;Rekap!B67</f>
        <v>FASUM - PEKERJAAN TPS 3R</v>
      </c>
      <c r="C49" s="75" t="n">
        <f aca="false">Rekap!C67/Rekap!$C$69</f>
        <v>0.00478814122257895</v>
      </c>
      <c r="D49" s="76" t="n">
        <v>31</v>
      </c>
      <c r="E49" s="76" t="n">
        <v>7</v>
      </c>
      <c r="F49" s="28" t="n">
        <f aca="false">D49+E49-1</f>
        <v>37</v>
      </c>
      <c r="G49" s="77" t="n">
        <f aca="false">IF(AND(G$6&gt;=$D49,G$6&lt;=$F49),$C49/$E49,0)</f>
        <v>0</v>
      </c>
      <c r="H49" s="77" t="n">
        <f aca="false">IF(AND(H$6&gt;=$D49,H$6&lt;=$F49),$C49/$E49,0)</f>
        <v>0</v>
      </c>
      <c r="I49" s="77" t="n">
        <f aca="false">IF(AND(I$6&gt;=$D49,I$6&lt;=$F49),$C49/$E49,0)</f>
        <v>0</v>
      </c>
      <c r="J49" s="77" t="n">
        <f aca="false">IF(AND(J$6&gt;=$D49,J$6&lt;=$F49),$C49/$E49,0)</f>
        <v>0</v>
      </c>
      <c r="K49" s="77" t="n">
        <f aca="false">IF(AND(K$6&gt;=$D49,K$6&lt;=$F49),$C49/$E49,0)</f>
        <v>0</v>
      </c>
      <c r="L49" s="77" t="n">
        <f aca="false">IF(AND(L$6&gt;=$D49,L$6&lt;=$F49),$C49/$E49,0)</f>
        <v>0</v>
      </c>
      <c r="M49" s="77" t="n">
        <f aca="false">IF(AND(M$6&gt;=$D49,M$6&lt;=$F49),$C49/$E49,0)</f>
        <v>0</v>
      </c>
      <c r="N49" s="77" t="n">
        <f aca="false">IF(AND(N$6&gt;=$D49,N$6&lt;=$F49),$C49/$E49,0)</f>
        <v>0</v>
      </c>
      <c r="O49" s="77" t="n">
        <f aca="false">IF(AND(O$6&gt;=$D49,O$6&lt;=$F49),$C49/$E49,0)</f>
        <v>0</v>
      </c>
      <c r="P49" s="77" t="n">
        <f aca="false">IF(AND(P$6&gt;=$D49,P$6&lt;=$F49),$C49/$E49,0)</f>
        <v>0</v>
      </c>
      <c r="Q49" s="77" t="n">
        <f aca="false">IF(AND(Q$6&gt;=$D49,Q$6&lt;=$F49),$C49/$E49,0)</f>
        <v>0</v>
      </c>
      <c r="R49" s="77" t="n">
        <f aca="false">IF(AND(R$6&gt;=$D49,R$6&lt;=$F49),$C49/$E49,0)</f>
        <v>0</v>
      </c>
      <c r="S49" s="77" t="n">
        <f aca="false">IF(AND(S$6&gt;=$D49,S$6&lt;=$F49),$C49/$E49,0)</f>
        <v>0</v>
      </c>
      <c r="T49" s="77" t="n">
        <f aca="false">IF(AND(T$6&gt;=$D49,T$6&lt;=$F49),$C49/$E49,0)</f>
        <v>0</v>
      </c>
      <c r="U49" s="77" t="n">
        <f aca="false">IF(AND(U$6&gt;=$D49,U$6&lt;=$F49),$C49/$E49,0)</f>
        <v>0</v>
      </c>
      <c r="V49" s="77" t="n">
        <f aca="false">IF(AND(V$6&gt;=$D49,V$6&lt;=$F49),$C49/$E49,0)</f>
        <v>0</v>
      </c>
      <c r="W49" s="77" t="n">
        <f aca="false">IF(AND(W$6&gt;=$D49,W$6&lt;=$F49),$C49/$E49,0)</f>
        <v>0</v>
      </c>
      <c r="X49" s="77" t="n">
        <f aca="false">IF(AND(X$6&gt;=$D49,X$6&lt;=$F49),$C49/$E49,0)</f>
        <v>0</v>
      </c>
      <c r="Y49" s="77" t="n">
        <f aca="false">IF(AND(Y$6&gt;=$D49,Y$6&lt;=$F49),$C49/$E49,0)</f>
        <v>0</v>
      </c>
      <c r="Z49" s="77" t="n">
        <f aca="false">IF(AND(Z$6&gt;=$D49,Z$6&lt;=$F49),$C49/$E49,0)</f>
        <v>0</v>
      </c>
      <c r="AA49" s="77" t="n">
        <f aca="false">IF(AND(AA$6&gt;=$D49,AA$6&lt;=$F49),$C49/$E49,0)</f>
        <v>0</v>
      </c>
      <c r="AB49" s="77" t="n">
        <f aca="false">IF(AND(AB$6&gt;=$D49,AB$6&lt;=$F49),$C49/$E49,0)</f>
        <v>0</v>
      </c>
      <c r="AC49" s="77" t="n">
        <f aca="false">IF(AND(AC$6&gt;=$D49,AC$6&lt;=$F49),$C49/$E49,0)</f>
        <v>0</v>
      </c>
      <c r="AD49" s="77" t="n">
        <f aca="false">IF(AND(AD$6&gt;=$D49,AD$6&lt;=$F49),$C49/$E49,0)</f>
        <v>0</v>
      </c>
      <c r="AE49" s="77" t="n">
        <f aca="false">IF(AND(AE$6&gt;=$D49,AE$6&lt;=$F49),$C49/$E49,0)</f>
        <v>0</v>
      </c>
      <c r="AF49" s="77" t="n">
        <f aca="false">IF(AND(AF$6&gt;=$D49,AF$6&lt;=$F49),$C49/$E49,0)</f>
        <v>0</v>
      </c>
      <c r="AG49" s="77" t="n">
        <f aca="false">IF(AND(AG$6&gt;=$D49,AG$6&lt;=$F49),$C49/$E49,0)</f>
        <v>0</v>
      </c>
      <c r="AH49" s="77" t="n">
        <f aca="false">IF(AND(AH$6&gt;=$D49,AH$6&lt;=$F49),$C49/$E49,0)</f>
        <v>0</v>
      </c>
      <c r="AI49" s="77" t="n">
        <f aca="false">IF(AND(AI$6&gt;=$D49,AI$6&lt;=$F49),$C49/$E49,0)</f>
        <v>0</v>
      </c>
      <c r="AJ49" s="77" t="n">
        <f aca="false">IF(AND(AJ$6&gt;=$D49,AJ$6&lt;=$F49),$C49/$E49,0)</f>
        <v>0</v>
      </c>
      <c r="AK49" s="77" t="n">
        <f aca="false">IF(AND(AK$6&gt;=$D49,AK$6&lt;=$F49),$C49/$E49,0)</f>
        <v>0.000684020174654136</v>
      </c>
      <c r="AL49" s="77" t="n">
        <f aca="false">IF(AND(AL$6&gt;=$D49,AL$6&lt;=$F49),$C49/$E49,0)</f>
        <v>0.000684020174654136</v>
      </c>
      <c r="AM49" s="77" t="n">
        <f aca="false">IF(AND(AM$6&gt;=$D49,AM$6&lt;=$F49),$C49/$E49,0)</f>
        <v>0.000684020174654136</v>
      </c>
      <c r="AN49" s="77" t="n">
        <f aca="false">IF(AND(AN$6&gt;=$D49,AN$6&lt;=$F49),$C49/$E49,0)</f>
        <v>0.000684020174654136</v>
      </c>
      <c r="AO49" s="77" t="n">
        <f aca="false">IF(AND(AO$6&gt;=$D49,AO$6&lt;=$F49),$C49/$E49,0)</f>
        <v>0.000684020174654136</v>
      </c>
      <c r="AP49" s="77" t="n">
        <f aca="false">IF(AND(AP$6&gt;=$D49,AP$6&lt;=$F49),$C49/$E49,0)</f>
        <v>0.000684020174654136</v>
      </c>
      <c r="AQ49" s="77" t="n">
        <f aca="false">IF(AND(AQ$6&gt;=$D49,AQ$6&lt;=$F49),$C49/$E49,0)</f>
        <v>0.000684020174654136</v>
      </c>
      <c r="AR49" s="77" t="n">
        <f aca="false">IF(AND(AR$6&gt;=$D49,AR$6&lt;=$F49),$C49/$E49,0)</f>
        <v>0</v>
      </c>
      <c r="AS49" s="77" t="n">
        <f aca="false">IF(AND(AS$6&gt;=$D49,AS$6&lt;=$F49),$C49/$E49,0)</f>
        <v>0</v>
      </c>
      <c r="AT49" s="77" t="n">
        <f aca="false">IF(AND(AT$6&gt;=$D49,AT$6&lt;=$F49),$C49/$E49,0)</f>
        <v>0</v>
      </c>
      <c r="AU49" s="77" t="n">
        <f aca="false">IF(AND(AU$6&gt;=$D49,AU$6&lt;=$F49),$C49/$E49,0)</f>
        <v>0</v>
      </c>
      <c r="AV49" s="77" t="n">
        <f aca="false">IF(AND(AV$6&gt;=$D49,AV$6&lt;=$F49),$C49/$E49,0)</f>
        <v>0</v>
      </c>
      <c r="AW49" s="77" t="n">
        <f aca="false">IF(AND(AW$6&gt;=$D49,AW$6&lt;=$F49),$C49/$E49,0)</f>
        <v>0</v>
      </c>
    </row>
    <row r="50" customFormat="false" ht="23.85" hidden="false" customHeight="false" outlineLevel="0" collapsed="false">
      <c r="A50" s="28" t="n">
        <v>43</v>
      </c>
      <c r="B50" s="29" t="s">
        <v>2293</v>
      </c>
      <c r="C50" s="78" t="n">
        <v>0</v>
      </c>
      <c r="D50" s="76" t="n">
        <v>41</v>
      </c>
      <c r="E50" s="76" t="n">
        <v>3</v>
      </c>
      <c r="F50" s="28" t="n">
        <f aca="false">D50+E50-1</f>
        <v>43</v>
      </c>
      <c r="G50" s="79" t="n">
        <f aca="false">IF(AND(G$6&gt;=$D50,G$6&lt;=$F50),$C50/$E50,0)</f>
        <v>0</v>
      </c>
      <c r="H50" s="79" t="n">
        <f aca="false">IF(AND(H$6&gt;=$D50,H$6&lt;=$F50),$C50/$E50,0)</f>
        <v>0</v>
      </c>
      <c r="I50" s="79" t="n">
        <f aca="false">IF(AND(I$6&gt;=$D50,I$6&lt;=$F50),$C50/$E50,0)</f>
        <v>0</v>
      </c>
      <c r="J50" s="79" t="n">
        <f aca="false">IF(AND(J$6&gt;=$D50,J$6&lt;=$F50),$C50/$E50,0)</f>
        <v>0</v>
      </c>
      <c r="K50" s="79" t="n">
        <f aca="false">IF(AND(K$6&gt;=$D50,K$6&lt;=$F50),$C50/$E50,0)</f>
        <v>0</v>
      </c>
      <c r="L50" s="79" t="n">
        <f aca="false">IF(AND(L$6&gt;=$D50,L$6&lt;=$F50),$C50/$E50,0)</f>
        <v>0</v>
      </c>
      <c r="M50" s="79" t="n">
        <f aca="false">IF(AND(M$6&gt;=$D50,M$6&lt;=$F50),$C50/$E50,0)</f>
        <v>0</v>
      </c>
      <c r="N50" s="79" t="n">
        <f aca="false">IF(AND(N$6&gt;=$D50,N$6&lt;=$F50),$C50/$E50,0)</f>
        <v>0</v>
      </c>
      <c r="O50" s="79" t="n">
        <f aca="false">IF(AND(O$6&gt;=$D50,O$6&lt;=$F50),$C50/$E50,0)</f>
        <v>0</v>
      </c>
      <c r="P50" s="79" t="n">
        <f aca="false">IF(AND(P$6&gt;=$D50,P$6&lt;=$F50),$C50/$E50,0)</f>
        <v>0</v>
      </c>
      <c r="Q50" s="79" t="n">
        <f aca="false">IF(AND(Q$6&gt;=$D50,Q$6&lt;=$F50),$C50/$E50,0)</f>
        <v>0</v>
      </c>
      <c r="R50" s="79" t="n">
        <f aca="false">IF(AND(R$6&gt;=$D50,R$6&lt;=$F50),$C50/$E50,0)</f>
        <v>0</v>
      </c>
      <c r="S50" s="79" t="n">
        <f aca="false">IF(AND(S$6&gt;=$D50,S$6&lt;=$F50),$C50/$E50,0)</f>
        <v>0</v>
      </c>
      <c r="T50" s="79" t="n">
        <f aca="false">IF(AND(T$6&gt;=$D50,T$6&lt;=$F50),$C50/$E50,0)</f>
        <v>0</v>
      </c>
      <c r="U50" s="79" t="n">
        <f aca="false">IF(AND(U$6&gt;=$D50,U$6&lt;=$F50),$C50/$E50,0)</f>
        <v>0</v>
      </c>
      <c r="V50" s="79" t="n">
        <f aca="false">IF(AND(V$6&gt;=$D50,V$6&lt;=$F50),$C50/$E50,0)</f>
        <v>0</v>
      </c>
      <c r="W50" s="79" t="n">
        <f aca="false">IF(AND(W$6&gt;=$D50,W$6&lt;=$F50),$C50/$E50,0)</f>
        <v>0</v>
      </c>
      <c r="X50" s="79" t="n">
        <f aca="false">IF(AND(X$6&gt;=$D50,X$6&lt;=$F50),$C50/$E50,0)</f>
        <v>0</v>
      </c>
      <c r="Y50" s="79" t="n">
        <f aca="false">IF(AND(Y$6&gt;=$D50,Y$6&lt;=$F50),$C50/$E50,0)</f>
        <v>0</v>
      </c>
      <c r="Z50" s="79" t="n">
        <f aca="false">IF(AND(Z$6&gt;=$D50,Z$6&lt;=$F50),$C50/$E50,0)</f>
        <v>0</v>
      </c>
      <c r="AA50" s="79" t="n">
        <f aca="false">IF(AND(AA$6&gt;=$D50,AA$6&lt;=$F50),$C50/$E50,0)</f>
        <v>0</v>
      </c>
      <c r="AB50" s="79" t="n">
        <f aca="false">IF(AND(AB$6&gt;=$D50,AB$6&lt;=$F50),$C50/$E50,0)</f>
        <v>0</v>
      </c>
      <c r="AC50" s="79" t="n">
        <f aca="false">IF(AND(AC$6&gt;=$D50,AC$6&lt;=$F50),$C50/$E50,0)</f>
        <v>0</v>
      </c>
      <c r="AD50" s="79" t="n">
        <f aca="false">IF(AND(AD$6&gt;=$D50,AD$6&lt;=$F50),$C50/$E50,0)</f>
        <v>0</v>
      </c>
      <c r="AE50" s="79" t="n">
        <f aca="false">IF(AND(AE$6&gt;=$D50,AE$6&lt;=$F50),$C50/$E50,0)</f>
        <v>0</v>
      </c>
      <c r="AF50" s="79" t="n">
        <f aca="false">IF(AND(AF$6&gt;=$D50,AF$6&lt;=$F50),$C50/$E50,0)</f>
        <v>0</v>
      </c>
      <c r="AG50" s="79" t="n">
        <f aca="false">IF(AND(AG$6&gt;=$D50,AG$6&lt;=$F50),$C50/$E50,0)</f>
        <v>0</v>
      </c>
      <c r="AH50" s="79" t="n">
        <f aca="false">IF(AND(AH$6&gt;=$D50,AH$6&lt;=$F50),$C50/$E50,0)</f>
        <v>0</v>
      </c>
      <c r="AI50" s="79" t="n">
        <f aca="false">IF(AND(AI$6&gt;=$D50,AI$6&lt;=$F50),$C50/$E50,0)</f>
        <v>0</v>
      </c>
      <c r="AJ50" s="79" t="n">
        <f aca="false">IF(AND(AJ$6&gt;=$D50,AJ$6&lt;=$F50),$C50/$E50,0)</f>
        <v>0</v>
      </c>
      <c r="AK50" s="79" t="n">
        <f aca="false">IF(AND(AK$6&gt;=$D50,AK$6&lt;=$F50),$C50/$E50,0)</f>
        <v>0</v>
      </c>
      <c r="AL50" s="79" t="n">
        <f aca="false">IF(AND(AL$6&gt;=$D50,AL$6&lt;=$F50),$C50/$E50,0)</f>
        <v>0</v>
      </c>
      <c r="AM50" s="79" t="n">
        <f aca="false">IF(AND(AM$6&gt;=$D50,AM$6&lt;=$F50),$C50/$E50,0)</f>
        <v>0</v>
      </c>
      <c r="AN50" s="79" t="n">
        <f aca="false">IF(AND(AN$6&gt;=$D50,AN$6&lt;=$F50),$C50/$E50,0)</f>
        <v>0</v>
      </c>
      <c r="AO50" s="79" t="n">
        <f aca="false">IF(AND(AO$6&gt;=$D50,AO$6&lt;=$F50),$C50/$E50,0)</f>
        <v>0</v>
      </c>
      <c r="AP50" s="79" t="n">
        <f aca="false">IF(AND(AP$6&gt;=$D50,AP$6&lt;=$F50),$C50/$E50,0)</f>
        <v>0</v>
      </c>
      <c r="AQ50" s="79" t="n">
        <f aca="false">IF(AND(AQ$6&gt;=$D50,AQ$6&lt;=$F50),$C50/$E50,0)</f>
        <v>0</v>
      </c>
      <c r="AR50" s="79" t="n">
        <f aca="false">IF(AND(AR$6&gt;=$D50,AR$6&lt;=$F50),$C50/$E50,0)</f>
        <v>0</v>
      </c>
      <c r="AS50" s="79" t="n">
        <f aca="false">IF(AND(AS$6&gt;=$D50,AS$6&lt;=$F50),$C50/$E50,0)</f>
        <v>0</v>
      </c>
      <c r="AT50" s="79" t="n">
        <f aca="false">IF(AND(AT$6&gt;=$D50,AT$6&lt;=$F50),$C50/$E50,0)</f>
        <v>0</v>
      </c>
      <c r="AU50" s="79" t="n">
        <f aca="false">IF(AND(AU$6&gt;=$D50,AU$6&lt;=$F50),$C50/$E50,0)</f>
        <v>0</v>
      </c>
      <c r="AV50" s="79" t="n">
        <f aca="false">IF(AND(AV$6&gt;=$D50,AV$6&lt;=$F50),$C50/$E50,0)</f>
        <v>0</v>
      </c>
      <c r="AW50" s="79" t="n">
        <f aca="false">IF(AND(AW$6&gt;=$D50,AW$6&lt;=$F50),$C50/$E50,0)</f>
        <v>0</v>
      </c>
    </row>
    <row r="51" customFormat="false" ht="15" hidden="false" customHeight="false" outlineLevel="0" collapsed="false">
      <c r="B51" s="69" t="s">
        <v>2294</v>
      </c>
      <c r="C51" s="80" t="n">
        <f aca="false">SUM(C8:C50)</f>
        <v>1</v>
      </c>
      <c r="G51" s="81" t="n">
        <f aca="false">SUM(G8:G50)</f>
        <v>0.000441676519966323</v>
      </c>
      <c r="H51" s="81" t="n">
        <f aca="false">SUM(H8:H50)</f>
        <v>0.0089307430223572</v>
      </c>
      <c r="I51" s="81" t="n">
        <f aca="false">SUM(I8:I50)</f>
        <v>0.0089307430223572</v>
      </c>
      <c r="J51" s="81" t="n">
        <f aca="false">SUM(J8:J50)</f>
        <v>0.0089307430223572</v>
      </c>
      <c r="K51" s="81" t="n">
        <f aca="false">SUM(K8:K50)</f>
        <v>0.0174282096479805</v>
      </c>
      <c r="L51" s="81" t="n">
        <f aca="false">SUM(L8:L50)</f>
        <v>0.0179221546790471</v>
      </c>
      <c r="M51" s="81" t="n">
        <f aca="false">SUM(M8:M50)</f>
        <v>0.0179221546790471</v>
      </c>
      <c r="N51" s="81" t="n">
        <f aca="false">SUM(N8:N50)</f>
        <v>0.0186791730936246</v>
      </c>
      <c r="O51" s="81" t="n">
        <f aca="false">SUM(O8:O50)</f>
        <v>0.0239744822834504</v>
      </c>
      <c r="P51" s="81" t="n">
        <f aca="false">SUM(P8:P50)</f>
        <v>0.025996662833242</v>
      </c>
      <c r="Q51" s="81" t="n">
        <f aca="false">SUM(Q8:Q50)</f>
        <v>0.0289808185650933</v>
      </c>
      <c r="R51" s="81" t="n">
        <f aca="false">SUM(R8:R50)</f>
        <v>0.0236094918305659</v>
      </c>
      <c r="S51" s="81" t="n">
        <f aca="false">SUM(S8:S50)</f>
        <v>0.0278886338206019</v>
      </c>
      <c r="T51" s="81" t="n">
        <f aca="false">SUM(T8:T50)</f>
        <v>0.0286413447548046</v>
      </c>
      <c r="U51" s="81" t="n">
        <f aca="false">SUM(U8:U50)</f>
        <v>0.0286413447548046</v>
      </c>
      <c r="V51" s="81" t="n">
        <f aca="false">SUM(V8:V50)</f>
        <v>0.0286413447548046</v>
      </c>
      <c r="W51" s="81" t="n">
        <f aca="false">SUM(W8:W50)</f>
        <v>0.0286413447548046</v>
      </c>
      <c r="X51" s="81" t="n">
        <f aca="false">SUM(X8:X50)</f>
        <v>0.0286413447548046</v>
      </c>
      <c r="Y51" s="81" t="n">
        <f aca="false">SUM(Y8:Y50)</f>
        <v>0.0201438781291813</v>
      </c>
      <c r="Z51" s="81" t="n">
        <f aca="false">SUM(Z8:Z50)</f>
        <v>0.0220766876251272</v>
      </c>
      <c r="AA51" s="81" t="n">
        <f aca="false">SUM(AA8:AA50)</f>
        <v>0.0269869203547137</v>
      </c>
      <c r="AB51" s="81" t="n">
        <f aca="false">SUM(AB8:AB50)</f>
        <v>0.0258311186251594</v>
      </c>
      <c r="AC51" s="81" t="n">
        <f aca="false">SUM(AC8:AC50)</f>
        <v>0.0297634140158541</v>
      </c>
      <c r="AD51" s="81" t="n">
        <f aca="false">SUM(AD8:AD50)</f>
        <v>0.0380831737186137</v>
      </c>
      <c r="AE51" s="81" t="n">
        <f aca="false">SUM(AE8:AE50)</f>
        <v>0.0380831737186137</v>
      </c>
      <c r="AF51" s="81" t="n">
        <f aca="false">SUM(AF8:AF50)</f>
        <v>0.0352714877096708</v>
      </c>
      <c r="AG51" s="81" t="n">
        <f aca="false">SUM(AG8:AG50)</f>
        <v>0.0336031308856752</v>
      </c>
      <c r="AH51" s="81" t="n">
        <f aca="false">SUM(AH8:AH50)</f>
        <v>0.0358378430720824</v>
      </c>
      <c r="AI51" s="81" t="n">
        <f aca="false">SUM(AI8:AI50)</f>
        <v>0.03501092473961</v>
      </c>
      <c r="AJ51" s="81" t="n">
        <f aca="false">SUM(AJ8:AJ50)</f>
        <v>0.0361192491890694</v>
      </c>
      <c r="AK51" s="81" t="n">
        <f aca="false">SUM(AK8:AK50)</f>
        <v>0.0372801129286406</v>
      </c>
      <c r="AL51" s="81" t="n">
        <f aca="false">SUM(AL8:AL50)</f>
        <v>0.0372801129286406</v>
      </c>
      <c r="AM51" s="81" t="n">
        <f aca="false">SUM(AM8:AM50)</f>
        <v>0.0371749425454701</v>
      </c>
      <c r="AN51" s="81" t="n">
        <f aca="false">SUM(AN8:AN50)</f>
        <v>0.0293372050504218</v>
      </c>
      <c r="AO51" s="81" t="n">
        <f aca="false">SUM(AO8:AO50)</f>
        <v>0.0254049096597271</v>
      </c>
      <c r="AP51" s="81" t="n">
        <f aca="false">SUM(AP8:AP50)</f>
        <v>0.0214844643234559</v>
      </c>
      <c r="AQ51" s="81" t="n">
        <f aca="false">SUM(AQ8:AQ50)</f>
        <v>0.0208399068821793</v>
      </c>
      <c r="AR51" s="81" t="n">
        <f aca="false">SUM(AR8:AR50)</f>
        <v>0.0191004012118218</v>
      </c>
      <c r="AS51" s="81" t="n">
        <f aca="false">SUM(AS8:AS50)</f>
        <v>0.0134471053296634</v>
      </c>
      <c r="AT51" s="81" t="n">
        <f aca="false">SUM(AT8:AT50)</f>
        <v>0.00767239700299569</v>
      </c>
      <c r="AU51" s="81" t="n">
        <f aca="false">SUM(AU8:AU50)</f>
        <v>0.000441676519966323</v>
      </c>
      <c r="AV51" s="81" t="n">
        <f aca="false">SUM(AV8:AV50)</f>
        <v>0.000441676519966323</v>
      </c>
      <c r="AW51" s="81" t="n">
        <f aca="false">SUM(AW8:AW50)</f>
        <v>0.000441676519966323</v>
      </c>
    </row>
    <row r="52" customFormat="false" ht="15" hidden="false" customHeight="false" outlineLevel="0" collapsed="false">
      <c r="B52" s="69" t="s">
        <v>2295</v>
      </c>
      <c r="G52" s="81" t="n">
        <f aca="false">SUM($G51:G51)</f>
        <v>0.000441676519966323</v>
      </c>
      <c r="H52" s="81" t="n">
        <f aca="false">SUM($G51:H51)</f>
        <v>0.00937241954232352</v>
      </c>
      <c r="I52" s="81" t="n">
        <f aca="false">SUM($G51:I51)</f>
        <v>0.0183031625646807</v>
      </c>
      <c r="J52" s="81" t="n">
        <f aca="false">SUM($G51:J51)</f>
        <v>0.0272339055870379</v>
      </c>
      <c r="K52" s="81" t="n">
        <f aca="false">SUM($G51:K51)</f>
        <v>0.0446621152350184</v>
      </c>
      <c r="L52" s="81" t="n">
        <f aca="false">SUM($G51:L51)</f>
        <v>0.0625842699140655</v>
      </c>
      <c r="M52" s="81" t="n">
        <f aca="false">SUM($G51:M51)</f>
        <v>0.0805064245931126</v>
      </c>
      <c r="N52" s="81" t="n">
        <f aca="false">SUM($G51:N51)</f>
        <v>0.0991855976867372</v>
      </c>
      <c r="O52" s="81" t="n">
        <f aca="false">SUM($G51:O51)</f>
        <v>0.123160079970188</v>
      </c>
      <c r="P52" s="81" t="n">
        <f aca="false">SUM($G51:P51)</f>
        <v>0.14915674280343</v>
      </c>
      <c r="Q52" s="81" t="n">
        <f aca="false">SUM($G51:Q51)</f>
        <v>0.178137561368523</v>
      </c>
      <c r="R52" s="81" t="n">
        <f aca="false">SUM($G51:R51)</f>
        <v>0.201747053199089</v>
      </c>
      <c r="S52" s="81" t="n">
        <f aca="false">SUM($G51:S51)</f>
        <v>0.229635687019691</v>
      </c>
      <c r="T52" s="81" t="n">
        <f aca="false">SUM($G51:T51)</f>
        <v>0.258277031774495</v>
      </c>
      <c r="U52" s="81" t="n">
        <f aca="false">SUM($G51:U51)</f>
        <v>0.2869183765293</v>
      </c>
      <c r="V52" s="81" t="n">
        <f aca="false">SUM($G51:V51)</f>
        <v>0.315559721284105</v>
      </c>
      <c r="W52" s="81" t="n">
        <f aca="false">SUM($G51:W51)</f>
        <v>0.344201066038909</v>
      </c>
      <c r="X52" s="81" t="n">
        <f aca="false">SUM($G51:X51)</f>
        <v>0.372842410793714</v>
      </c>
      <c r="Y52" s="81" t="n">
        <f aca="false">SUM($G51:Y51)</f>
        <v>0.392986288922895</v>
      </c>
      <c r="Z52" s="81" t="n">
        <f aca="false">SUM($G51:Z51)</f>
        <v>0.415062976548022</v>
      </c>
      <c r="AA52" s="81" t="n">
        <f aca="false">SUM($G51:AA51)</f>
        <v>0.442049896902736</v>
      </c>
      <c r="AB52" s="81" t="n">
        <f aca="false">SUM($G51:AB51)</f>
        <v>0.467881015527895</v>
      </c>
      <c r="AC52" s="81" t="n">
        <f aca="false">SUM($G51:AC51)</f>
        <v>0.49764442954375</v>
      </c>
      <c r="AD52" s="81" t="n">
        <f aca="false">SUM($G51:AD51)</f>
        <v>0.535727603262363</v>
      </c>
      <c r="AE52" s="81" t="n">
        <f aca="false">SUM($G51:AE51)</f>
        <v>0.573810776980977</v>
      </c>
      <c r="AF52" s="81" t="n">
        <f aca="false">SUM($G51:AF51)</f>
        <v>0.609082264690648</v>
      </c>
      <c r="AG52" s="81" t="n">
        <f aca="false">SUM($G51:AG51)</f>
        <v>0.642685395576323</v>
      </c>
      <c r="AH52" s="81" t="n">
        <f aca="false">SUM($G51:AH51)</f>
        <v>0.678523238648405</v>
      </c>
      <c r="AI52" s="81" t="n">
        <f aca="false">SUM($G51:AI51)</f>
        <v>0.713534163388015</v>
      </c>
      <c r="AJ52" s="81" t="n">
        <f aca="false">SUM($G51:AJ51)</f>
        <v>0.749653412577085</v>
      </c>
      <c r="AK52" s="81" t="n">
        <f aca="false">SUM($G51:AK51)</f>
        <v>0.786933525505725</v>
      </c>
      <c r="AL52" s="81" t="n">
        <f aca="false">SUM($G51:AL51)</f>
        <v>0.824213638434366</v>
      </c>
      <c r="AM52" s="81" t="n">
        <f aca="false">SUM($G51:AM51)</f>
        <v>0.861388580979836</v>
      </c>
      <c r="AN52" s="81" t="n">
        <f aca="false">SUM($G51:AN51)</f>
        <v>0.890725786030258</v>
      </c>
      <c r="AO52" s="81" t="n">
        <f aca="false">SUM($G51:AO51)</f>
        <v>0.916130695689985</v>
      </c>
      <c r="AP52" s="81" t="n">
        <f aca="false">SUM($G51:AP51)</f>
        <v>0.937615160013441</v>
      </c>
      <c r="AQ52" s="81" t="n">
        <f aca="false">SUM($G51:AQ51)</f>
        <v>0.95845506689562</v>
      </c>
      <c r="AR52" s="81" t="n">
        <f aca="false">SUM($G51:AR51)</f>
        <v>0.977555468107442</v>
      </c>
      <c r="AS52" s="81" t="n">
        <f aca="false">SUM($G51:AS51)</f>
        <v>0.991002573437105</v>
      </c>
      <c r="AT52" s="81" t="n">
        <f aca="false">SUM($G51:AT51)</f>
        <v>0.998674970440101</v>
      </c>
      <c r="AU52" s="81" t="n">
        <f aca="false">SUM($G51:AU51)</f>
        <v>0.999116646960067</v>
      </c>
      <c r="AV52" s="81" t="n">
        <f aca="false">SUM($G51:AV51)</f>
        <v>0.999558323480034</v>
      </c>
      <c r="AW52" s="81" t="n">
        <f aca="false">SUM($G51:AW51)</f>
        <v>1</v>
      </c>
    </row>
    <row r="53" customFormat="false" ht="15" hidden="false" customHeight="false" outlineLevel="0" collapsed="false">
      <c r="B53" s="2" t="s">
        <v>2296</v>
      </c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</row>
    <row r="54" customFormat="false" ht="15" hidden="false" customHeight="false" outlineLevel="0" collapsed="false">
      <c r="B54" s="2" t="s">
        <v>2297</v>
      </c>
      <c r="G54" s="83" t="str">
        <f aca="false">IF(G53="","",G53-G52)</f>
        <v/>
      </c>
      <c r="H54" s="83" t="str">
        <f aca="false">IF(H53="","",H53-H52)</f>
        <v/>
      </c>
      <c r="I54" s="83" t="str">
        <f aca="false">IF(I53="","",I53-I52)</f>
        <v/>
      </c>
      <c r="J54" s="83" t="str">
        <f aca="false">IF(J53="","",J53-J52)</f>
        <v/>
      </c>
      <c r="K54" s="83" t="str">
        <f aca="false">IF(K53="","",K53-K52)</f>
        <v/>
      </c>
      <c r="L54" s="83" t="str">
        <f aca="false">IF(L53="","",L53-L52)</f>
        <v/>
      </c>
      <c r="M54" s="83" t="str">
        <f aca="false">IF(M53="","",M53-M52)</f>
        <v/>
      </c>
      <c r="N54" s="83" t="str">
        <f aca="false">IF(N53="","",N53-N52)</f>
        <v/>
      </c>
      <c r="O54" s="83" t="str">
        <f aca="false">IF(O53="","",O53-O52)</f>
        <v/>
      </c>
      <c r="P54" s="83" t="str">
        <f aca="false">IF(P53="","",P53-P52)</f>
        <v/>
      </c>
      <c r="Q54" s="83" t="str">
        <f aca="false">IF(Q53="","",Q53-Q52)</f>
        <v/>
      </c>
      <c r="R54" s="83" t="str">
        <f aca="false">IF(R53="","",R53-R52)</f>
        <v/>
      </c>
      <c r="S54" s="83" t="str">
        <f aca="false">IF(S53="","",S53-S52)</f>
        <v/>
      </c>
      <c r="T54" s="83" t="str">
        <f aca="false">IF(T53="","",T53-T52)</f>
        <v/>
      </c>
      <c r="U54" s="83" t="str">
        <f aca="false">IF(U53="","",U53-U52)</f>
        <v/>
      </c>
      <c r="V54" s="83" t="str">
        <f aca="false">IF(V53="","",V53-V52)</f>
        <v/>
      </c>
      <c r="W54" s="83" t="str">
        <f aca="false">IF(W53="","",W53-W52)</f>
        <v/>
      </c>
      <c r="X54" s="83" t="str">
        <f aca="false">IF(X53="","",X53-X52)</f>
        <v/>
      </c>
      <c r="Y54" s="83" t="str">
        <f aca="false">IF(Y53="","",Y53-Y52)</f>
        <v/>
      </c>
      <c r="Z54" s="83" t="str">
        <f aca="false">IF(Z53="","",Z53-Z52)</f>
        <v/>
      </c>
      <c r="AA54" s="83" t="str">
        <f aca="false">IF(AA53="","",AA53-AA52)</f>
        <v/>
      </c>
      <c r="AB54" s="83" t="str">
        <f aca="false">IF(AB53="","",AB53-AB52)</f>
        <v/>
      </c>
      <c r="AC54" s="83" t="str">
        <f aca="false">IF(AC53="","",AC53-AC52)</f>
        <v/>
      </c>
      <c r="AD54" s="83" t="str">
        <f aca="false">IF(AD53="","",AD53-AD52)</f>
        <v/>
      </c>
      <c r="AE54" s="83" t="str">
        <f aca="false">IF(AE53="","",AE53-AE52)</f>
        <v/>
      </c>
      <c r="AF54" s="83" t="str">
        <f aca="false">IF(AF53="","",AF53-AF52)</f>
        <v/>
      </c>
      <c r="AG54" s="83" t="str">
        <f aca="false">IF(AG53="","",AG53-AG52)</f>
        <v/>
      </c>
      <c r="AH54" s="83" t="str">
        <f aca="false">IF(AH53="","",AH53-AH52)</f>
        <v/>
      </c>
      <c r="AI54" s="83" t="str">
        <f aca="false">IF(AI53="","",AI53-AI52)</f>
        <v/>
      </c>
      <c r="AJ54" s="83" t="str">
        <f aca="false">IF(AJ53="","",AJ53-AJ52)</f>
        <v/>
      </c>
      <c r="AK54" s="83" t="str">
        <f aca="false">IF(AK53="","",AK53-AK52)</f>
        <v/>
      </c>
      <c r="AL54" s="83" t="str">
        <f aca="false">IF(AL53="","",AL53-AL52)</f>
        <v/>
      </c>
      <c r="AM54" s="83" t="str">
        <f aca="false">IF(AM53="","",AM53-AM52)</f>
        <v/>
      </c>
      <c r="AN54" s="83" t="str">
        <f aca="false">IF(AN53="","",AN53-AN52)</f>
        <v/>
      </c>
      <c r="AO54" s="83" t="str">
        <f aca="false">IF(AO53="","",AO53-AO52)</f>
        <v/>
      </c>
      <c r="AP54" s="83" t="str">
        <f aca="false">IF(AP53="","",AP53-AP52)</f>
        <v/>
      </c>
      <c r="AQ54" s="83" t="str">
        <f aca="false">IF(AQ53="","",AQ53-AQ52)</f>
        <v/>
      </c>
      <c r="AR54" s="83" t="str">
        <f aca="false">IF(AR53="","",AR53-AR52)</f>
        <v/>
      </c>
      <c r="AS54" s="83" t="str">
        <f aca="false">IF(AS53="","",AS53-AS52)</f>
        <v/>
      </c>
      <c r="AT54" s="83" t="str">
        <f aca="false">IF(AT53="","",AT53-AT52)</f>
        <v/>
      </c>
      <c r="AU54" s="83" t="str">
        <f aca="false">IF(AU53="","",AU53-AU52)</f>
        <v/>
      </c>
      <c r="AV54" s="83" t="str">
        <f aca="false">IF(AV53="","",AV53-AV52)</f>
        <v/>
      </c>
      <c r="AW54" s="83" t="str">
        <f aca="false">IF(AW53="","",AW53-AW52)</f>
        <v/>
      </c>
    </row>
    <row r="55" customFormat="false" ht="15" hidden="false" customHeight="false" outlineLevel="0" collapsed="false">
      <c r="B55" s="2" t="s">
        <v>2298</v>
      </c>
      <c r="G55" s="84" t="n">
        <f aca="false">G52*Rekap!$C$69</f>
        <v>24892820.9302326</v>
      </c>
      <c r="H55" s="84" t="n">
        <f aca="false">H52*Rekap!$C$69</f>
        <v>528228128.060465</v>
      </c>
      <c r="I55" s="84" t="n">
        <f aca="false">I52*Rekap!$C$69</f>
        <v>1031563435.1907</v>
      </c>
      <c r="J55" s="84" t="n">
        <f aca="false">J52*Rekap!$C$69</f>
        <v>1534898742.32093</v>
      </c>
      <c r="K55" s="84" t="n">
        <f aca="false">K52*Rekap!$C$69</f>
        <v>2517149965.30831</v>
      </c>
      <c r="L55" s="84" t="n">
        <f aca="false">L52*Rekap!$C$69</f>
        <v>3527239854.49568</v>
      </c>
      <c r="M55" s="84" t="n">
        <f aca="false">M52*Rekap!$C$69</f>
        <v>4537329743.68306</v>
      </c>
      <c r="N55" s="84" t="n">
        <f aca="false">N52*Rekap!$C$69</f>
        <v>5590085074.62043</v>
      </c>
      <c r="O55" s="84" t="n">
        <f aca="false">O52*Rekap!$C$69</f>
        <v>6941283219.41307</v>
      </c>
      <c r="P55" s="84" t="n">
        <f aca="false">P52*Rekap!$C$69</f>
        <v>8406451149.87238</v>
      </c>
      <c r="Q55" s="84" t="n">
        <f aca="false">Q52*Rekap!$C$69</f>
        <v>10039805639.7317</v>
      </c>
      <c r="R55" s="84" t="n">
        <f aca="false">R52*Rekap!$C$69</f>
        <v>11370432978.5743</v>
      </c>
      <c r="S55" s="84" t="n">
        <f aca="false">S52*Rekap!$C$69</f>
        <v>12942232103.7305</v>
      </c>
      <c r="T55" s="84" t="n">
        <f aca="false">T52*Rekap!$C$69</f>
        <v>14556453901.7032</v>
      </c>
      <c r="U55" s="84" t="n">
        <f aca="false">U52*Rekap!$C$69</f>
        <v>16170675699.676</v>
      </c>
      <c r="V55" s="84" t="n">
        <f aca="false">V52*Rekap!$C$69</f>
        <v>17784897497.6488</v>
      </c>
      <c r="W55" s="84" t="n">
        <f aca="false">W52*Rekap!$C$69</f>
        <v>19399119295.6216</v>
      </c>
      <c r="X55" s="84" t="n">
        <f aca="false">X52*Rekap!$C$69</f>
        <v>21013341093.5944</v>
      </c>
      <c r="Y55" s="84" t="n">
        <f aca="false">Y52*Rekap!$C$69</f>
        <v>22148646975.7101</v>
      </c>
      <c r="Z55" s="84" t="n">
        <f aca="false">Z52*Rekap!$C$69</f>
        <v>23392885704.6035</v>
      </c>
      <c r="AA55" s="84" t="n">
        <f aca="false">AA52*Rekap!$C$69</f>
        <v>24913864397.1081</v>
      </c>
      <c r="AB55" s="84" t="n">
        <f aca="false">AB52*Rekap!$C$69</f>
        <v>26369702281.3875</v>
      </c>
      <c r="AC55" s="84" t="n">
        <f aca="false">AC52*Rekap!$C$69</f>
        <v>28047163730.8337</v>
      </c>
      <c r="AD55" s="84" t="n">
        <f aca="false">AD52*Rekap!$C$69</f>
        <v>30193525561.2173</v>
      </c>
      <c r="AE55" s="84" t="n">
        <f aca="false">AE52*Rekap!$C$69</f>
        <v>32339887391.6009</v>
      </c>
      <c r="AF55" s="84" t="n">
        <f aca="false">AF52*Rekap!$C$69</f>
        <v>34327783029.7179</v>
      </c>
      <c r="AG55" s="84" t="n">
        <f aca="false">AG52*Rekap!$C$69</f>
        <v>36221650333.092</v>
      </c>
      <c r="AH55" s="84" t="n">
        <f aca="false">AH52*Rekap!$C$69</f>
        <v>38241465672.5788</v>
      </c>
      <c r="AI55" s="84" t="n">
        <f aca="false">AI52*Rekap!$C$69</f>
        <v>40214676021.6628</v>
      </c>
      <c r="AJ55" s="84" t="n">
        <f aca="false">AJ52*Rekap!$C$69</f>
        <v>42250351366.7468</v>
      </c>
      <c r="AK55" s="84" t="n">
        <f aca="false">AK52*Rekap!$C$69</f>
        <v>44351452814.1642</v>
      </c>
      <c r="AL55" s="84" t="n">
        <f aca="false">AL52*Rekap!$C$69</f>
        <v>46452554261.5815</v>
      </c>
      <c r="AM55" s="84" t="n">
        <f aca="false">AM52*Rekap!$C$69</f>
        <v>48547728322.3322</v>
      </c>
      <c r="AN55" s="84" t="n">
        <f aca="false">AN52*Rekap!$C$69</f>
        <v>50201168699.8495</v>
      </c>
      <c r="AO55" s="84" t="n">
        <f aca="false">AO52*Rekap!$C$69</f>
        <v>51632985512.2002</v>
      </c>
      <c r="AP55" s="84" t="n">
        <f aca="false">AP52*Rekap!$C$69</f>
        <v>52843846626.6342</v>
      </c>
      <c r="AQ55" s="84" t="n">
        <f aca="false">AQ52*Rekap!$C$69</f>
        <v>54018380582.5265</v>
      </c>
      <c r="AR55" s="84" t="n">
        <f aca="false">AR52*Rekap!$C$69</f>
        <v>55094876265.6064</v>
      </c>
      <c r="AS55" s="84" t="n">
        <f aca="false">AS52*Rekap!$C$69</f>
        <v>55852753059.7516</v>
      </c>
      <c r="AT55" s="84" t="n">
        <f aca="false">AT52*Rekap!$C$69</f>
        <v>56285168178.2093</v>
      </c>
      <c r="AU55" s="84" t="n">
        <f aca="false">AU52*Rekap!$C$69</f>
        <v>56310060999.1395</v>
      </c>
      <c r="AV55" s="84" t="n">
        <f aca="false">AV52*Rekap!$C$69</f>
        <v>56334953820.0698</v>
      </c>
      <c r="AW55" s="84" t="n">
        <f aca="false">AW52*Rekap!$C$69</f>
        <v>56359846641</v>
      </c>
    </row>
  </sheetData>
  <conditionalFormatting sqref="G8:AW50">
    <cfRule type="expression" priority="2" aboveAverage="0" equalAverage="0" bottom="0" percent="0" rank="0" text="" dxfId="10">
      <formula>AND(G$6&gt;=$D8,G$6&lt;=$F8)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2026-10-15T06:01:19Z</dcterms:created>
  <dc:creator>openpyxl</dc:creator>
  <dc:description/>
  <dc:language>en-US</dc:language>
  <cp:lastModifiedBy/>
  <dcterms:modified xsi:type="dcterms:W3CDTF">2026-10-15T06:01:23Z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