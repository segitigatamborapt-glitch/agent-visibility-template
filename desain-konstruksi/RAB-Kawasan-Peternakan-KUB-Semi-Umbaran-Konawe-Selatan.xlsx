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Rekap" sheetId="2" state="visible" r:id="rId2"/>
    <sheet name="Harga Dasar" sheetId="3" state="visible" r:id="rId3"/>
    <sheet name="AHSP" sheetId="4" state="visible" r:id="rId4"/>
    <sheet name="RAB Kandang" sheetId="5" state="visible" r:id="rId5"/>
    <sheet name="RAB Fasilitas" sheetId="6" state="visible" r:id="rId6"/>
    <sheet name="RAB Pagar Umbaran" sheetId="7" state="visible" r:id="rId7"/>
    <sheet name="RAB Utilitas Lah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#,##0.0000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B5E4B"/>
      </patternFill>
    </fill>
    <fill>
      <patternFill patternType="solid">
        <fgColor rgb="00DCEBE4"/>
      </patternFill>
    </fill>
    <fill>
      <patternFill patternType="solid">
        <fgColor rgb="00F3E9C6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9" fontId="5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pivotButton="0" quotePrefix="0" xfId="0"/>
    <xf numFmtId="1" fontId="4" fillId="0" borderId="1" applyAlignment="1" pivotButton="0" quotePrefix="0" xfId="0">
      <alignment horizontal="center" vertical="top"/>
    </xf>
    <xf numFmtId="164" fontId="7" fillId="0" borderId="1" pivotButton="0" quotePrefix="0" xfId="0"/>
    <xf numFmtId="164" fontId="4" fillId="0" borderId="1" pivotButton="0" quotePrefix="0" xfId="0"/>
    <xf numFmtId="166" fontId="4" fillId="0" borderId="1" pivotButton="0" quotePrefix="0" xfId="0"/>
    <xf numFmtId="0" fontId="4" fillId="4" borderId="1" pivotButton="0" quotePrefix="0" xfId="0"/>
    <xf numFmtId="0" fontId="3" fillId="4" borderId="1" pivotButton="0" quotePrefix="0" xfId="0"/>
    <xf numFmtId="164" fontId="3" fillId="4" borderId="1" pivotButton="0" quotePrefix="0" xfId="0"/>
    <xf numFmtId="9" fontId="4" fillId="0" borderId="1" pivotButton="0" quotePrefix="0" xfId="0"/>
    <xf numFmtId="0" fontId="4" fillId="5" borderId="1" pivotButton="0" quotePrefix="0" xfId="0"/>
    <xf numFmtId="0" fontId="3" fillId="5" borderId="1" pivotButton="0" quotePrefix="0" xfId="0"/>
    <xf numFmtId="164" fontId="3" fillId="5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3" borderId="0" pivotButton="0" quotePrefix="0" xfId="0"/>
    <xf numFmtId="0" fontId="4" fillId="3" borderId="0" pivotButton="0" quotePrefix="0" xfId="0"/>
    <xf numFmtId="164" fontId="5" fillId="0" borderId="1" pivotButton="0" quotePrefix="0" xfId="0"/>
    <xf numFmtId="0" fontId="6" fillId="2" borderId="1" pivotButton="0" quotePrefix="0" xfId="0"/>
    <xf numFmtId="0" fontId="6" fillId="2" borderId="1" applyAlignment="1" pivotButton="0" quotePrefix="0" xfId="0">
      <alignment horizontal="center" vertical="top"/>
    </xf>
    <xf numFmtId="165" fontId="5" fillId="0" borderId="1" pivotButton="0" quotePrefix="0" xfId="0"/>
    <xf numFmtId="0" fontId="4" fillId="3" borderId="1" pivotButton="0" quotePrefix="0" xfId="0"/>
    <xf numFmtId="0" fontId="3" fillId="3" borderId="1" pivotButton="0" quotePrefix="0" xfId="0"/>
    <xf numFmtId="0" fontId="4" fillId="0" borderId="1" applyAlignment="1" pivotButton="0" quotePrefix="0" xfId="0">
      <alignment vertical="top" wrapText="1"/>
    </xf>
    <xf numFmtId="4" fontId="4" fillId="0" borderId="1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  <col width="10" customWidth="1" min="3" max="3"/>
  </cols>
  <sheetData>
    <row r="1">
      <c r="A1" s="1" t="inlineStr">
        <is>
          <t>RAB Kawasan Peternakan Ayam KUB Semi Umbaran 10.000 Ekor - Adeva Farm, Konawe Selatan</t>
        </is>
      </c>
    </row>
    <row r="2">
      <c r="A2" s="2" t="inlineStr">
        <is>
          <t>Rencana Anggaran Biaya untuk gambar teknik GT-01 (kandang), GT-02 (kawasan, pagar), GT-03 (fasilitas). Oktober 2026.</t>
        </is>
      </c>
    </row>
    <row r="4">
      <c r="A4" s="3" t="inlineStr">
        <is>
          <t>CARA MEMAKAI</t>
        </is>
      </c>
    </row>
    <row r="5" ht="30" customHeight="1">
      <c r="A5" s="4" t="inlineStr">
        <is>
          <t>1</t>
        </is>
      </c>
      <c r="B5" s="5" t="inlineStr">
        <is>
          <t>Sel berwarna BIRU adalah input: harga dasar (sheet Harga Dasar), koefisien analisa (sheet AHSP), dan persentase di bawah.</t>
        </is>
      </c>
    </row>
    <row r="6" ht="16" customHeight="1">
      <c r="A6" s="4" t="inlineStr">
        <is>
          <t>2</t>
        </is>
      </c>
      <c r="B6" s="5" t="inlineStr">
        <is>
          <t>Sel HIJAU mengambil angka dari sheet lain. Sel HITAM adalah rumus. Jangan menimpa rumus.</t>
        </is>
      </c>
    </row>
    <row r="7" ht="30" customHeight="1">
      <c r="A7" s="4" t="inlineStr">
        <is>
          <t>3</t>
        </is>
      </c>
      <c r="B7" s="5" t="inlineStr">
        <is>
          <t>Ganti harga dasar dengan harga toko/penawaran setempat atau HSPK Kabupaten Konawe Selatan terbaru; seluruh RAB otomatis berubah.</t>
        </is>
      </c>
    </row>
    <row r="8" ht="16" customHeight="1">
      <c r="A8" s="4" t="inlineStr">
        <is>
          <t>4</t>
        </is>
      </c>
      <c r="B8" s="5" t="inlineStr">
        <is>
          <t>Volume dihitung dari ukuran gambar (rumus di kolom Volume menunjukkan cara hitungnya).</t>
        </is>
      </c>
    </row>
    <row r="9">
      <c r="A9" s="3" t="inlineStr">
        <is>
          <t>DASAR PERHITUNGAN</t>
        </is>
      </c>
    </row>
    <row r="10" ht="30" customHeight="1">
      <c r="A10" s="4" t="inlineStr">
        <is>
          <t>•</t>
        </is>
      </c>
      <c r="B10" s="5" t="inlineStr">
        <is>
          <t>Koefisien analisa mengikuti pola AHSP Bidang Cipta Karya (Permen PUPR No. 8 Tahun 2023 dan SNI analisa harga satuan) untuk pekerjaan manual, disederhanakan untuk bangunan kandang. Item yang tidak ada di AHSP (baja ringan, kawat, tirai, perlengkapan kandang) memakai analisa pasar.</t>
        </is>
      </c>
    </row>
    <row r="11" ht="30" customHeight="1">
      <c r="A11" s="4" t="inlineStr">
        <is>
          <t>•</t>
        </is>
      </c>
      <c r="B11" s="5" t="inlineStr">
        <is>
          <t>Harga dasar upah dan bahan adalah PERKIRAAN Konawe Selatan/Kendari 2026, karena HSPK resmi Konawe Selatan 2026 tidak dapat diakses saat penyusunan. Rujukan: Perbup Konawe Selatan No. 85/2024 (HSPK), UMK Sultra 2026 Rp 3.306.496, Indeks Kemahalan Konstruksi Konawe Selatan 2025 = 91,52.</t>
        </is>
      </c>
    </row>
    <row r="12" ht="16" customHeight="1">
      <c r="A12" s="4" t="inlineStr">
        <is>
          <t>•</t>
        </is>
      </c>
      <c r="B12" s="5" t="inlineStr">
        <is>
          <t>Bekisting dihitung dengan kayu dipakai ulang sekitar 3 kali (koefisien kayu lebih kecil dari AHSP standar).</t>
        </is>
      </c>
    </row>
    <row r="13" ht="30" customHeight="1">
      <c r="A13" s="4" t="inlineStr">
        <is>
          <t>•</t>
        </is>
      </c>
      <c r="B13" s="5" t="inlineStr">
        <is>
          <t>Belum termasuk: pembelian lahan, perizinan (PBG/SLF, izin usaha), PPN, pengawasan konsultan, dan pengangkutan khusus ke lokasi yang sulit.</t>
        </is>
      </c>
    </row>
    <row r="14">
      <c r="A14" s="3" t="inlineStr">
        <is>
          <t>KOMPONEN TAMBAHAN</t>
        </is>
      </c>
    </row>
    <row r="15">
      <c r="A15" s="4" t="inlineStr"/>
      <c r="B15" s="4" t="inlineStr">
        <is>
          <t>Biaya umum dan keuntungan pemborong (isi 0% bila swakelola/upah harian)</t>
        </is>
      </c>
      <c r="C15" s="6" t="n">
        <v>0.1</v>
      </c>
    </row>
    <row r="16">
      <c r="A16" s="4" t="inlineStr"/>
      <c r="B16" s="4" t="inlineStr">
        <is>
          <t>Biaya tak terduga (dihitung di Rekap)</t>
        </is>
      </c>
      <c r="C16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0" customWidth="1" min="3" max="3"/>
    <col width="18" customWidth="1" min="4" max="4"/>
    <col width="20" customWidth="1" min="5" max="5"/>
    <col width="12" customWidth="1" min="6" max="6"/>
  </cols>
  <sheetData>
    <row r="1">
      <c r="A1" s="1" t="inlineStr">
        <is>
          <t>REKAPITULASI RAB KAWASAN PETERNAKAN AYAM KUB SEMI UMBARAN 10.000 EKOR</t>
        </is>
      </c>
    </row>
    <row r="2">
      <c r="A2" s="2" t="inlineStr">
        <is>
          <t>Adeva Farm, Kabupaten Konawe Selatan · Oktober 2026 · harga perkiraan, wajib dicek dengan harga setempat</t>
        </is>
      </c>
    </row>
    <row r="4">
      <c r="A4" s="7" t="inlineStr">
        <is>
          <t>No</t>
        </is>
      </c>
      <c r="B4" s="7" t="inlineStr">
        <is>
          <t>Uraian</t>
        </is>
      </c>
      <c r="C4" s="7" t="inlineStr">
        <is>
          <t>Jumlah unit</t>
        </is>
      </c>
      <c r="D4" s="7" t="inlineStr">
        <is>
          <t>Harga per unit (Rp)</t>
        </is>
      </c>
      <c r="E4" s="7" t="inlineStr">
        <is>
          <t>Jumlah (Rp)</t>
        </is>
      </c>
      <c r="F4" s="7" t="inlineStr">
        <is>
          <t>Porsi</t>
        </is>
      </c>
    </row>
    <row r="5">
      <c r="A5" s="8" t="n">
        <v>1</v>
      </c>
      <c r="B5" s="9" t="inlineStr">
        <is>
          <t>Kandang postal semi umbaran 10 x 40 m (5 layer + 1 starter)</t>
        </is>
      </c>
      <c r="C5" s="10" t="n">
        <v>6</v>
      </c>
      <c r="D5" s="11">
        <f>'RAB Kandang'!$F$63</f>
        <v/>
      </c>
      <c r="E5" s="12">
        <f>C5*D5</f>
        <v/>
      </c>
      <c r="F5" s="13">
        <f>E5/E$19</f>
        <v/>
      </c>
    </row>
    <row r="6">
      <c r="A6" s="8" t="n">
        <v>2</v>
      </c>
      <c r="B6" s="9" t="inlineStr">
        <is>
          <t>Pos jaga</t>
        </is>
      </c>
      <c r="C6" s="10" t="n">
        <v>1</v>
      </c>
      <c r="D6" s="11">
        <f>'RAB Fasilitas'!$F$41</f>
        <v/>
      </c>
      <c r="E6" s="12">
        <f>C6*D6</f>
        <v/>
      </c>
      <c r="F6" s="13">
        <f>E6/E$19</f>
        <v/>
      </c>
    </row>
    <row r="7">
      <c r="A7" s="8" t="n">
        <v>3</v>
      </c>
      <c r="B7" s="9" t="inlineStr">
        <is>
          <t>Kantor</t>
        </is>
      </c>
      <c r="C7" s="10" t="n">
        <v>1</v>
      </c>
      <c r="D7" s="11">
        <f>'RAB Fasilitas'!$F$81</f>
        <v/>
      </c>
      <c r="E7" s="12">
        <f>C7*D7</f>
        <v/>
      </c>
      <c r="F7" s="13">
        <f>E7/E$19</f>
        <v/>
      </c>
    </row>
    <row r="8">
      <c r="A8" s="8" t="n">
        <v>4</v>
      </c>
      <c r="B8" s="9" t="inlineStr">
        <is>
          <t>Mes anak kandang</t>
        </is>
      </c>
      <c r="C8" s="10" t="n">
        <v>1</v>
      </c>
      <c r="D8" s="11">
        <f>'RAB Fasilitas'!$F$121</f>
        <v/>
      </c>
      <c r="E8" s="12">
        <f>C8*D8</f>
        <v/>
      </c>
      <c r="F8" s="13">
        <f>E8/E$19</f>
        <v/>
      </c>
    </row>
    <row r="9">
      <c r="A9" s="8" t="n">
        <v>5</v>
      </c>
      <c r="B9" s="9" t="inlineStr">
        <is>
          <t>Rumah telur (sortir &amp; simpan)</t>
        </is>
      </c>
      <c r="C9" s="10" t="n">
        <v>1</v>
      </c>
      <c r="D9" s="11">
        <f>'RAB Fasilitas'!$F$159</f>
        <v/>
      </c>
      <c r="E9" s="12">
        <f>C9*D9</f>
        <v/>
      </c>
      <c r="F9" s="13">
        <f>E9/E$19</f>
        <v/>
      </c>
    </row>
    <row r="10">
      <c r="A10" s="8" t="n">
        <v>6</v>
      </c>
      <c r="B10" s="9" t="inlineStr">
        <is>
          <t>Rumah pakan (olah &amp; campur)</t>
        </is>
      </c>
      <c r="C10" s="10" t="n">
        <v>1</v>
      </c>
      <c r="D10" s="11">
        <f>'RAB Fasilitas'!$F$199</f>
        <v/>
      </c>
      <c r="E10" s="12">
        <f>C10*D10</f>
        <v/>
      </c>
      <c r="F10" s="13">
        <f>E10/E$19</f>
        <v/>
      </c>
    </row>
    <row r="11">
      <c r="A11" s="8" t="n">
        <v>7</v>
      </c>
      <c r="B11" s="9" t="inlineStr">
        <is>
          <t>Gudang pakan jadi</t>
        </is>
      </c>
      <c r="C11" s="10" t="n">
        <v>1</v>
      </c>
      <c r="D11" s="11">
        <f>'RAB Fasilitas'!$F$233</f>
        <v/>
      </c>
      <c r="E11" s="12">
        <f>C11*D11</f>
        <v/>
      </c>
      <c r="F11" s="13">
        <f>E11/E$19</f>
        <v/>
      </c>
    </row>
    <row r="12">
      <c r="A12" s="8" t="n">
        <v>8</v>
      </c>
      <c r="B12" s="9" t="inlineStr">
        <is>
          <t>Gudang jagung</t>
        </is>
      </c>
      <c r="C12" s="10" t="n">
        <v>1</v>
      </c>
      <c r="D12" s="11">
        <f>'RAB Fasilitas'!$F$267</f>
        <v/>
      </c>
      <c r="E12" s="12">
        <f>C12*D12</f>
        <v/>
      </c>
      <c r="F12" s="13">
        <f>E12/E$19</f>
        <v/>
      </c>
    </row>
    <row r="13">
      <c r="A13" s="8" t="n">
        <v>9</v>
      </c>
      <c r="B13" s="9" t="inlineStr">
        <is>
          <t>Ruang ganti + celup kaki</t>
        </is>
      </c>
      <c r="C13" s="10" t="n">
        <v>1</v>
      </c>
      <c r="D13" s="11">
        <f>'RAB Fasilitas'!$F$305</f>
        <v/>
      </c>
      <c r="E13" s="12">
        <f>C13*D13</f>
        <v/>
      </c>
      <c r="F13" s="13">
        <f>E13/E$19</f>
        <v/>
      </c>
    </row>
    <row r="14">
      <c r="A14" s="8" t="n">
        <v>10</v>
      </c>
      <c r="B14" s="9" t="inlineStr">
        <is>
          <t>Rumah kompos</t>
        </is>
      </c>
      <c r="C14" s="10" t="n">
        <v>1</v>
      </c>
      <c r="D14" s="11">
        <f>'RAB Fasilitas'!$F$339</f>
        <v/>
      </c>
      <c r="E14" s="12">
        <f>C14*D14</f>
        <v/>
      </c>
      <c r="F14" s="13">
        <f>E14/E$19</f>
        <v/>
      </c>
    </row>
    <row r="15">
      <c r="A15" s="8" t="n">
        <v>11</v>
      </c>
      <c r="B15" s="9" t="inlineStr">
        <is>
          <t>Rumah maggot BSF</t>
        </is>
      </c>
      <c r="C15" s="10" t="n">
        <v>1</v>
      </c>
      <c r="D15" s="11">
        <f>'RAB Fasilitas'!$F$375</f>
        <v/>
      </c>
      <c r="E15" s="12">
        <f>C15*D15</f>
        <v/>
      </c>
      <c r="F15" s="13">
        <f>E15/E$19</f>
        <v/>
      </c>
    </row>
    <row r="16">
      <c r="A16" s="8" t="n">
        <v>12</v>
      </c>
      <c r="B16" s="9" t="inlineStr">
        <is>
          <t>Kandang karantina</t>
        </is>
      </c>
      <c r="C16" s="10" t="n">
        <v>1</v>
      </c>
      <c r="D16" s="11">
        <f>'RAB Fasilitas'!$F$413</f>
        <v/>
      </c>
      <c r="E16" s="12">
        <f>C16*D16</f>
        <v/>
      </c>
      <c r="F16" s="13">
        <f>E16/E$19</f>
        <v/>
      </c>
    </row>
    <row r="17">
      <c r="A17" s="8" t="n">
        <v>13</v>
      </c>
      <c r="B17" s="9" t="inlineStr">
        <is>
          <t>Pagar harmonika, gerbang, bak celup, umbaran</t>
        </is>
      </c>
      <c r="C17" s="10" t="n">
        <v>1</v>
      </c>
      <c r="D17" s="11">
        <f>'RAB Pagar Umbaran'!$F$33</f>
        <v/>
      </c>
      <c r="E17" s="12">
        <f>C17*D17</f>
        <v/>
      </c>
      <c r="F17" s="13">
        <f>E17/E$19</f>
        <v/>
      </c>
    </row>
    <row r="18">
      <c r="A18" s="8" t="n">
        <v>14</v>
      </c>
      <c r="B18" s="9" t="inlineStr">
        <is>
          <t>Utilitas: lahan, jalan, lantai jemur, air, embung, listrik</t>
        </is>
      </c>
      <c r="C18" s="10" t="n">
        <v>1</v>
      </c>
      <c r="D18" s="11">
        <f>'RAB Utilitas Lahan'!$F$41</f>
        <v/>
      </c>
      <c r="E18" s="12">
        <f>C18*D18</f>
        <v/>
      </c>
      <c r="F18" s="13">
        <f>E18/E$19</f>
        <v/>
      </c>
    </row>
    <row r="19">
      <c r="A19" s="14" t="inlineStr"/>
      <c r="B19" s="15" t="inlineStr">
        <is>
          <t>JUMLAH</t>
        </is>
      </c>
      <c r="C19" s="14" t="inlineStr"/>
      <c r="D19" s="14" t="inlineStr"/>
      <c r="E19" s="16">
        <f>SUM(E5:E18)</f>
        <v/>
      </c>
      <c r="F19" s="14" t="inlineStr"/>
    </row>
    <row r="20">
      <c r="B20" s="9" t="inlineStr">
        <is>
          <t>Biaya tak terduga</t>
        </is>
      </c>
      <c r="C20" s="17">
        <f>Petunjuk!$C$16</f>
        <v/>
      </c>
      <c r="E20" s="12">
        <f>E19*C20</f>
        <v/>
      </c>
    </row>
    <row r="21">
      <c r="A21" s="18" t="inlineStr"/>
      <c r="B21" s="19" t="inlineStr">
        <is>
          <t>TOTAL BIAYA PEMBANGUNAN</t>
        </is>
      </c>
      <c r="C21" s="18" t="inlineStr"/>
      <c r="D21" s="18" t="inlineStr"/>
      <c r="E21" s="20">
        <f>E19+E20</f>
        <v/>
      </c>
      <c r="F21" s="18" t="inlineStr"/>
    </row>
    <row r="22">
      <c r="B22" s="21" t="inlineStr">
        <is>
          <t>Dibulatkan</t>
        </is>
      </c>
      <c r="E22" s="22">
        <f>ROUNDUP(E21,-6)</f>
        <v/>
      </c>
    </row>
    <row r="23">
      <c r="B23" s="9" t="inlineStr">
        <is>
          <t>Opsional, tidak termasuk total: jembatan titian kayu 20 m ke lahan seberang sungai</t>
        </is>
      </c>
      <c r="E23" s="12">
        <f>20*ROUND('Harga Dasar'!$D$73*(1+Petunjuk!$C$15),-2)</f>
        <v/>
      </c>
    </row>
    <row r="24">
      <c r="B24" s="9" t="inlineStr">
        <is>
          <t>Biaya bangunan per ekor (10.000 ekor)</t>
        </is>
      </c>
      <c r="E24" s="12">
        <f>E21/10000</f>
        <v/>
      </c>
    </row>
    <row r="25">
      <c r="B25" s="9" t="inlineStr">
        <is>
          <t>Kandang saja per ekor (6 unit / 12.000 kapasitas)</t>
        </is>
      </c>
      <c r="E25" s="12">
        <f>6*'RAB Kandang'!$F$63/12000</f>
        <v/>
      </c>
    </row>
    <row r="27">
      <c r="B27" s="3" t="inlineStr">
        <is>
          <t>PILIHAN PENGHEMATAN (bila dana terbatas)</t>
        </is>
      </c>
    </row>
    <row r="28" ht="28" customHeight="1">
      <c r="B28" s="5" t="inlineStr">
        <is>
          <t>1. Bangun bertahap: tahap 1 = 3 kandang + gudang pakan + ruang ganti + pagar zona; tahap 2 = 3 kandang + fasilitas lain.</t>
        </is>
      </c>
    </row>
    <row r="29" ht="28" customHeight="1">
      <c r="B29" s="5" t="inlineStr">
        <is>
          <t>2. Lantai kandang tanah dipadatkan + kapur + sekam tebal (tanpa rabat beton) menghemat ±Rp 45 juta per kandang, tetapi lebih sulit dibersihkan.</t>
        </is>
      </c>
    </row>
    <row r="30" ht="28" customHeight="1">
      <c r="B30" s="5" t="inlineStr">
        <is>
          <t>3. Overstek atap 60 cm (bukan 100 cm) memangkas bidang atap ±8%.</t>
        </is>
      </c>
    </row>
    <row r="31" ht="28" customHeight="1">
      <c r="B31" s="5" t="inlineStr">
        <is>
          <t>4. Tiang pagar sekat umbaran memakai kayu ulin bekas / bambu awetan (umur 3-5 tahun) bila dana belum cukup.</t>
        </is>
      </c>
    </row>
    <row r="32" ht="28" customHeight="1">
      <c r="B32" s="5" t="inlineStr">
        <is>
          <t>5. Biaya umum &amp; keuntungan 10% dapat menjadi 0% bila dikerjakan swakelola dengan tukang harian dan pengawasan sendiri.</t>
        </is>
      </c>
    </row>
  </sheetData>
  <mergeCells count="5">
    <mergeCell ref="B30:F30"/>
    <mergeCell ref="B29:F29"/>
    <mergeCell ref="B28:F28"/>
    <mergeCell ref="B31:F31"/>
    <mergeCell ref="B32:F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8" customWidth="1" min="3" max="3"/>
    <col width="16" customWidth="1" min="4" max="4"/>
    <col width="60" customWidth="1" min="5" max="5"/>
  </cols>
  <sheetData>
    <row r="1">
      <c r="A1" s="1" t="inlineStr">
        <is>
          <t>Harga Satuan Dasar Upah, Bahan dan Alat - perkiraan Kab. Konawe Selatan 2026</t>
        </is>
      </c>
    </row>
    <row r="2">
      <c r="A2" s="2" t="inlineStr">
        <is>
          <t>Kolom Harga (biru) WAJIB dicek ke toko bangunan Andoolo/Kendari, pemasok, atau HSPK Kabupaten terbaru sebelum dipakai.</t>
        </is>
      </c>
    </row>
    <row r="4">
      <c r="A4" s="7" t="inlineStr">
        <is>
          <t>Kode</t>
        </is>
      </c>
      <c r="B4" s="7" t="inlineStr">
        <is>
          <t>Uraian</t>
        </is>
      </c>
      <c r="C4" s="7" t="inlineStr">
        <is>
          <t>Satuan</t>
        </is>
      </c>
      <c r="D4" s="7" t="inlineStr">
        <is>
          <t>Harga (Rp)</t>
        </is>
      </c>
      <c r="E4" s="7" t="inlineStr">
        <is>
          <t>Catatan</t>
        </is>
      </c>
    </row>
    <row r="5">
      <c r="A5" s="23" t="inlineStr">
        <is>
          <t>A. UPAH TENAGA KERJA (per orang-hari)</t>
        </is>
      </c>
      <c r="B5" s="24" t="inlineStr"/>
      <c r="C5" s="24" t="inlineStr"/>
      <c r="D5" s="24" t="inlineStr"/>
      <c r="E5" s="24" t="inlineStr"/>
    </row>
    <row r="6">
      <c r="A6" s="9" t="inlineStr">
        <is>
          <t>L01</t>
        </is>
      </c>
      <c r="B6" s="9" t="inlineStr">
        <is>
          <t>Pekerja</t>
        </is>
      </c>
      <c r="C6" s="8" t="inlineStr">
        <is>
          <t>OH</t>
        </is>
      </c>
      <c r="D6" s="25" t="n">
        <v>130000</v>
      </c>
      <c r="E6" s="9" t="inlineStr">
        <is>
          <t>UMK Sultra 2026 Rp 3.306.496 / ±25 hari kerja</t>
        </is>
      </c>
    </row>
    <row r="7">
      <c r="A7" s="9" t="inlineStr">
        <is>
          <t>L02</t>
        </is>
      </c>
      <c r="B7" s="9" t="inlineStr">
        <is>
          <t>Tukang (batu/kayu/besi/las)</t>
        </is>
      </c>
      <c r="C7" s="8" t="inlineStr">
        <is>
          <t>OH</t>
        </is>
      </c>
      <c r="D7" s="25" t="n">
        <v>165000</v>
      </c>
      <c r="E7" s="9" t="inlineStr">
        <is>
          <t>perkiraan ±1,25 x pekerja</t>
        </is>
      </c>
    </row>
    <row r="8">
      <c r="A8" s="9" t="inlineStr">
        <is>
          <t>L03</t>
        </is>
      </c>
      <c r="B8" s="9" t="inlineStr">
        <is>
          <t>Kepala tukang</t>
        </is>
      </c>
      <c r="C8" s="8" t="inlineStr">
        <is>
          <t>OH</t>
        </is>
      </c>
      <c r="D8" s="25" t="n">
        <v>180000</v>
      </c>
      <c r="E8" s="9" t="inlineStr">
        <is>
          <t>perkiraan</t>
        </is>
      </c>
    </row>
    <row r="9">
      <c r="A9" s="9" t="inlineStr">
        <is>
          <t>L04</t>
        </is>
      </c>
      <c r="B9" s="9" t="inlineStr">
        <is>
          <t>Mandor</t>
        </is>
      </c>
      <c r="C9" s="8" t="inlineStr">
        <is>
          <t>OH</t>
        </is>
      </c>
      <c r="D9" s="25" t="n">
        <v>195000</v>
      </c>
      <c r="E9" s="9" t="inlineStr">
        <is>
          <t>perkiraan</t>
        </is>
      </c>
    </row>
    <row r="10">
      <c r="A10" s="23" t="inlineStr">
        <is>
          <t>B. BAHAN BANGUNAN</t>
        </is>
      </c>
      <c r="B10" s="24" t="inlineStr"/>
      <c r="C10" s="24" t="inlineStr"/>
      <c r="D10" s="24" t="inlineStr"/>
      <c r="E10" s="24" t="inlineStr"/>
    </row>
    <row r="11">
      <c r="A11" s="9" t="inlineStr">
        <is>
          <t>M01</t>
        </is>
      </c>
      <c r="B11" s="9" t="inlineStr">
        <is>
          <t>Semen Portland (zak 40 kg = Rp 62.000)</t>
        </is>
      </c>
      <c r="C11" s="8" t="inlineStr">
        <is>
          <t>kg</t>
        </is>
      </c>
      <c r="D11" s="25" t="n">
        <v>1550</v>
      </c>
      <c r="E11" s="9" t="inlineStr">
        <is>
          <t>Tonasa/Bosowa, harga toko</t>
        </is>
      </c>
    </row>
    <row r="12">
      <c r="A12" s="9" t="inlineStr">
        <is>
          <t>M02</t>
        </is>
      </c>
      <c r="B12" s="9" t="inlineStr">
        <is>
          <t>Pasir pasang / pasir beton</t>
        </is>
      </c>
      <c r="C12" s="8" t="inlineStr">
        <is>
          <t>m³</t>
        </is>
      </c>
      <c r="D12" s="25" t="n">
        <v>250000</v>
      </c>
      <c r="E12" s="9" t="inlineStr">
        <is>
          <t>franco lokasi</t>
        </is>
      </c>
    </row>
    <row r="13">
      <c r="A13" s="9" t="inlineStr">
        <is>
          <t>M03</t>
        </is>
      </c>
      <c r="B13" s="9" t="inlineStr">
        <is>
          <t>Pasir urug</t>
        </is>
      </c>
      <c r="C13" s="8" t="inlineStr">
        <is>
          <t>m³</t>
        </is>
      </c>
      <c r="D13" s="25" t="n">
        <v>200000</v>
      </c>
      <c r="E13" s="9" t="inlineStr"/>
    </row>
    <row r="14">
      <c r="A14" s="9" t="inlineStr">
        <is>
          <t>M04</t>
        </is>
      </c>
      <c r="B14" s="9" t="inlineStr">
        <is>
          <t>Kerikil / batu pecah 2/3</t>
        </is>
      </c>
      <c r="C14" s="8" t="inlineStr">
        <is>
          <t>m³</t>
        </is>
      </c>
      <c r="D14" s="25" t="n">
        <v>400000</v>
      </c>
      <c r="E14" s="9" t="inlineStr"/>
    </row>
    <row r="15">
      <c r="A15" s="9" t="inlineStr">
        <is>
          <t>M05</t>
        </is>
      </c>
      <c r="B15" s="9" t="inlineStr">
        <is>
          <t>Sirtu (pasir batu)</t>
        </is>
      </c>
      <c r="C15" s="8" t="inlineStr">
        <is>
          <t>m³</t>
        </is>
      </c>
      <c r="D15" s="25" t="n">
        <v>180000</v>
      </c>
      <c r="E15" s="9" t="inlineStr">
        <is>
          <t>untuk jalan dan lantai kerja</t>
        </is>
      </c>
    </row>
    <row r="16">
      <c r="A16" s="9" t="inlineStr">
        <is>
          <t>M06</t>
        </is>
      </c>
      <c r="B16" s="9" t="inlineStr">
        <is>
          <t>Tanah urug (termasuk angkut)</t>
        </is>
      </c>
      <c r="C16" s="8" t="inlineStr">
        <is>
          <t>m³</t>
        </is>
      </c>
      <c r="D16" s="25" t="n">
        <v>80000</v>
      </c>
      <c r="E16" s="9" t="inlineStr">
        <is>
          <t>bisa memakai tanah galian embung</t>
        </is>
      </c>
    </row>
    <row r="17">
      <c r="A17" s="9" t="inlineStr">
        <is>
          <t>M07</t>
        </is>
      </c>
      <c r="B17" s="9" t="inlineStr">
        <is>
          <t>Batu bata merah</t>
        </is>
      </c>
      <c r="C17" s="8" t="inlineStr">
        <is>
          <t>bh</t>
        </is>
      </c>
      <c r="D17" s="25" t="n">
        <v>1000</v>
      </c>
      <c r="E17" s="9" t="inlineStr"/>
    </row>
    <row r="18">
      <c r="A18" s="9" t="inlineStr">
        <is>
          <t>M08</t>
        </is>
      </c>
      <c r="B18" s="9" t="inlineStr">
        <is>
          <t>Besi beton polos/ulir</t>
        </is>
      </c>
      <c r="C18" s="8" t="inlineStr">
        <is>
          <t>kg</t>
        </is>
      </c>
      <c r="D18" s="25" t="n">
        <v>14000</v>
      </c>
      <c r="E18" s="9" t="inlineStr"/>
    </row>
    <row r="19">
      <c r="A19" s="9" t="inlineStr">
        <is>
          <t>M09</t>
        </is>
      </c>
      <c r="B19" s="9" t="inlineStr">
        <is>
          <t>Kawat bendrat</t>
        </is>
      </c>
      <c r="C19" s="8" t="inlineStr">
        <is>
          <t>kg</t>
        </is>
      </c>
      <c r="D19" s="25" t="n">
        <v>22000</v>
      </c>
      <c r="E19" s="9" t="inlineStr"/>
    </row>
    <row r="20">
      <c r="A20" s="9" t="inlineStr">
        <is>
          <t>M10</t>
        </is>
      </c>
      <c r="B20" s="9" t="inlineStr">
        <is>
          <t>Kayu kelas III (bekisting, papan)</t>
        </is>
      </c>
      <c r="C20" s="8" t="inlineStr">
        <is>
          <t>m³</t>
        </is>
      </c>
      <c r="D20" s="25" t="n">
        <v>3500000</v>
      </c>
      <c r="E20" s="9" t="inlineStr"/>
    </row>
    <row r="21">
      <c r="A21" s="9" t="inlineStr">
        <is>
          <t>M11</t>
        </is>
      </c>
      <c r="B21" s="9" t="inlineStr">
        <is>
          <t>Kayu kelas II (kusen, rangka pintu kecil)</t>
        </is>
      </c>
      <c r="C21" s="8" t="inlineStr">
        <is>
          <t>m³</t>
        </is>
      </c>
      <c r="D21" s="25" t="n">
        <v>5500000</v>
      </c>
      <c r="E21" s="9" t="inlineStr"/>
    </row>
    <row r="22">
      <c r="A22" s="9" t="inlineStr">
        <is>
          <t>M12</t>
        </is>
      </c>
      <c r="B22" s="9" t="inlineStr">
        <is>
          <t>Paku campur</t>
        </is>
      </c>
      <c r="C22" s="8" t="inlineStr">
        <is>
          <t>kg</t>
        </is>
      </c>
      <c r="D22" s="25" t="n">
        <v>24000</v>
      </c>
      <c r="E22" s="9" t="inlineStr"/>
    </row>
    <row r="23">
      <c r="A23" s="9" t="inlineStr">
        <is>
          <t>M13</t>
        </is>
      </c>
      <c r="B23" s="9" t="inlineStr">
        <is>
          <t>Minyak bekisting</t>
        </is>
      </c>
      <c r="C23" s="8" t="inlineStr">
        <is>
          <t>liter</t>
        </is>
      </c>
      <c r="D23" s="25" t="n">
        <v>10000</v>
      </c>
      <c r="E23" s="9" t="inlineStr"/>
    </row>
    <row r="24">
      <c r="A24" s="9" t="inlineStr">
        <is>
          <t>M14</t>
        </is>
      </c>
      <c r="B24" s="9" t="inlineStr">
        <is>
          <t>Kawat harmonika galvanis 1" BWG 16 (dinding kandang)</t>
        </is>
      </c>
      <c r="C24" s="8" t="inlineStr">
        <is>
          <t>m²</t>
        </is>
      </c>
      <c r="D24" s="25" t="n">
        <v>35000</v>
      </c>
      <c r="E24" s="9" t="inlineStr">
        <is>
          <t>anti burung liar</t>
        </is>
      </c>
    </row>
    <row r="25">
      <c r="A25" s="9" t="inlineStr">
        <is>
          <t>M15</t>
        </is>
      </c>
      <c r="B25" s="9" t="inlineStr">
        <is>
          <t>Kawat harmonika galvanis 2" BWG 12 (pagar)</t>
        </is>
      </c>
      <c r="C25" s="8" t="inlineStr">
        <is>
          <t>m²</t>
        </is>
      </c>
      <c r="D25" s="25" t="n">
        <v>30000</v>
      </c>
      <c r="E25" s="9" t="inlineStr"/>
    </row>
    <row r="26">
      <c r="A26" s="9" t="inlineStr">
        <is>
          <t>M16</t>
        </is>
      </c>
      <c r="B26" s="9" t="inlineStr">
        <is>
          <t>Kawat seling / besi Ø3 mm</t>
        </is>
      </c>
      <c r="C26" s="8" t="inlineStr">
        <is>
          <t>m</t>
        </is>
      </c>
      <c r="D26" s="25" t="n">
        <v>4000</v>
      </c>
      <c r="E26" s="9" t="inlineStr"/>
    </row>
    <row r="27">
      <c r="A27" s="9" t="inlineStr">
        <is>
          <t>M17</t>
        </is>
      </c>
      <c r="B27" s="9" t="inlineStr">
        <is>
          <t>Terpal A5 tirai</t>
        </is>
      </c>
      <c r="C27" s="8" t="inlineStr">
        <is>
          <t>m²</t>
        </is>
      </c>
      <c r="D27" s="25" t="n">
        <v>12000</v>
      </c>
      <c r="E27" s="9" t="inlineStr"/>
    </row>
    <row r="28">
      <c r="A28" s="9" t="inlineStr">
        <is>
          <t>M18</t>
        </is>
      </c>
      <c r="B28" s="9" t="inlineStr">
        <is>
          <t>Tali nilon 6 mm</t>
        </is>
      </c>
      <c r="C28" s="8" t="inlineStr">
        <is>
          <t>m</t>
        </is>
      </c>
      <c r="D28" s="25" t="n">
        <v>2500</v>
      </c>
      <c r="E28" s="9" t="inlineStr"/>
    </row>
    <row r="29">
      <c r="A29" s="9" t="inlineStr">
        <is>
          <t>M19</t>
        </is>
      </c>
      <c r="B29" s="9" t="inlineStr">
        <is>
          <t>Katrol tirai</t>
        </is>
      </c>
      <c r="C29" s="8" t="inlineStr">
        <is>
          <t>bh</t>
        </is>
      </c>
      <c r="D29" s="25" t="n">
        <v>25000</v>
      </c>
      <c r="E29" s="9" t="inlineStr"/>
    </row>
    <row r="30">
      <c r="A30" s="9" t="inlineStr">
        <is>
          <t>M20</t>
        </is>
      </c>
      <c r="B30" s="9" t="inlineStr">
        <is>
          <t>Pipa PVC 3/4" (4 m)</t>
        </is>
      </c>
      <c r="C30" s="8" t="inlineStr">
        <is>
          <t>btg</t>
        </is>
      </c>
      <c r="D30" s="25" t="n">
        <v>25000</v>
      </c>
      <c r="E30" s="9" t="inlineStr"/>
    </row>
    <row r="31">
      <c r="A31" s="9" t="inlineStr">
        <is>
          <t>M21</t>
        </is>
      </c>
      <c r="B31" s="9" t="inlineStr">
        <is>
          <t>Hollow galvanis 40x40x1,2 (6 m)</t>
        </is>
      </c>
      <c r="C31" s="8" t="inlineStr">
        <is>
          <t>btg</t>
        </is>
      </c>
      <c r="D31" s="25" t="n">
        <v>140000</v>
      </c>
      <c r="E31" s="9" t="inlineStr"/>
    </row>
    <row r="32">
      <c r="A32" s="9" t="inlineStr">
        <is>
          <t>M22</t>
        </is>
      </c>
      <c r="B32" s="9" t="inlineStr">
        <is>
          <t>Hollow galvanis 50x50x1,6 (6 m)</t>
        </is>
      </c>
      <c r="C32" s="8" t="inlineStr">
        <is>
          <t>btg</t>
        </is>
      </c>
      <c r="D32" s="25" t="n">
        <v>230000</v>
      </c>
      <c r="E32" s="9" t="inlineStr">
        <is>
          <t>gerbang</t>
        </is>
      </c>
    </row>
    <row r="33">
      <c r="A33" s="9" t="inlineStr">
        <is>
          <t>M23</t>
        </is>
      </c>
      <c r="B33" s="9" t="inlineStr">
        <is>
          <t>Plat galvalum 0,4 mm</t>
        </is>
      </c>
      <c r="C33" s="8" t="inlineStr">
        <is>
          <t>m²</t>
        </is>
      </c>
      <c r="D33" s="25" t="n">
        <v>75000</v>
      </c>
      <c r="E33" s="9" t="inlineStr"/>
    </row>
    <row r="34">
      <c r="A34" s="9" t="inlineStr">
        <is>
          <t>M24</t>
        </is>
      </c>
      <c r="B34" s="9" t="inlineStr">
        <is>
          <t>Engsel 4"</t>
        </is>
      </c>
      <c r="C34" s="8" t="inlineStr">
        <is>
          <t>bh</t>
        </is>
      </c>
      <c r="D34" s="25" t="n">
        <v>35000</v>
      </c>
      <c r="E34" s="9" t="inlineStr"/>
    </row>
    <row r="35">
      <c r="A35" s="9" t="inlineStr">
        <is>
          <t>M25</t>
        </is>
      </c>
      <c r="B35" s="9" t="inlineStr">
        <is>
          <t>Grendel + kunci</t>
        </is>
      </c>
      <c r="C35" s="8" t="inlineStr">
        <is>
          <t>bh</t>
        </is>
      </c>
      <c r="D35" s="25" t="n">
        <v>30000</v>
      </c>
      <c r="E35" s="9" t="inlineStr"/>
    </row>
    <row r="36">
      <c r="A36" s="9" t="inlineStr">
        <is>
          <t>M26</t>
        </is>
      </c>
      <c r="B36" s="9" t="inlineStr">
        <is>
          <t>Cat besi / meni</t>
        </is>
      </c>
      <c r="C36" s="8" t="inlineStr">
        <is>
          <t>kg</t>
        </is>
      </c>
      <c r="D36" s="25" t="n">
        <v>70000</v>
      </c>
      <c r="E36" s="9" t="inlineStr"/>
    </row>
    <row r="37">
      <c r="A37" s="9" t="inlineStr">
        <is>
          <t>M27</t>
        </is>
      </c>
      <c r="B37" s="9" t="inlineStr">
        <is>
          <t>Cat dasar tembok</t>
        </is>
      </c>
      <c r="C37" s="8" t="inlineStr">
        <is>
          <t>kg</t>
        </is>
      </c>
      <c r="D37" s="25" t="n">
        <v>30000</v>
      </c>
      <c r="E37" s="9" t="inlineStr"/>
    </row>
    <row r="38">
      <c r="A38" s="9" t="inlineStr">
        <is>
          <t>M28</t>
        </is>
      </c>
      <c r="B38" s="9" t="inlineStr">
        <is>
          <t>Cat tembok eksterior</t>
        </is>
      </c>
      <c r="C38" s="8" t="inlineStr">
        <is>
          <t>kg</t>
        </is>
      </c>
      <c r="D38" s="25" t="n">
        <v>35000</v>
      </c>
      <c r="E38" s="9" t="inlineStr"/>
    </row>
    <row r="39">
      <c r="A39" s="9" t="inlineStr">
        <is>
          <t>M29</t>
        </is>
      </c>
      <c r="B39" s="9" t="inlineStr">
        <is>
          <t>Baja ringan C75.75 (6 m)</t>
        </is>
      </c>
      <c r="C39" s="8" t="inlineStr">
        <is>
          <t>btg</t>
        </is>
      </c>
      <c r="D39" s="25" t="n">
        <v>105000</v>
      </c>
      <c r="E39" s="9" t="inlineStr">
        <is>
          <t>G550 AZ100</t>
        </is>
      </c>
    </row>
    <row r="40">
      <c r="A40" s="9" t="inlineStr">
        <is>
          <t>M30</t>
        </is>
      </c>
      <c r="B40" s="9" t="inlineStr">
        <is>
          <t>Reng baja ringan U30.45 (6 m)</t>
        </is>
      </c>
      <c r="C40" s="8" t="inlineStr">
        <is>
          <t>btg</t>
        </is>
      </c>
      <c r="D40" s="25" t="n">
        <v>50000</v>
      </c>
      <c r="E40" s="9" t="inlineStr"/>
    </row>
    <row r="41">
      <c r="A41" s="9" t="inlineStr">
        <is>
          <t>M31</t>
        </is>
      </c>
      <c r="B41" s="9" t="inlineStr">
        <is>
          <t>Sekrup baja ringan / atap</t>
        </is>
      </c>
      <c r="C41" s="8" t="inlineStr">
        <is>
          <t>bh</t>
        </is>
      </c>
      <c r="D41" s="25" t="n">
        <v>300</v>
      </c>
      <c r="E41" s="9" t="inlineStr"/>
    </row>
    <row r="42">
      <c r="A42" s="9" t="inlineStr">
        <is>
          <t>M32</t>
        </is>
      </c>
      <c r="B42" s="9" t="inlineStr">
        <is>
          <t>Dynabolt M10</t>
        </is>
      </c>
      <c r="C42" s="8" t="inlineStr">
        <is>
          <t>bh</t>
        </is>
      </c>
      <c r="D42" s="25" t="n">
        <v>8000</v>
      </c>
      <c r="E42" s="9" t="inlineStr"/>
    </row>
    <row r="43">
      <c r="A43" s="9" t="inlineStr">
        <is>
          <t>M33</t>
        </is>
      </c>
      <c r="B43" s="9" t="inlineStr">
        <is>
          <t>Galvalum spandek 0,30 TCT AZ100</t>
        </is>
      </c>
      <c r="C43" s="8" t="inlineStr">
        <is>
          <t>m²</t>
        </is>
      </c>
      <c r="D43" s="25" t="n">
        <v>70000</v>
      </c>
      <c r="E43" s="9" t="inlineStr"/>
    </row>
    <row r="44">
      <c r="A44" s="9" t="inlineStr">
        <is>
          <t>M34</t>
        </is>
      </c>
      <c r="B44" s="9" t="inlineStr">
        <is>
          <t>Nok / bubungan galvalum</t>
        </is>
      </c>
      <c r="C44" s="8" t="inlineStr">
        <is>
          <t>m</t>
        </is>
      </c>
      <c r="D44" s="25" t="n">
        <v>45000</v>
      </c>
      <c r="E44" s="9" t="inlineStr"/>
    </row>
    <row r="45">
      <c r="A45" s="9" t="inlineStr">
        <is>
          <t>M35</t>
        </is>
      </c>
      <c r="B45" s="9" t="inlineStr">
        <is>
          <t>Flashing / lisplang galvalum</t>
        </is>
      </c>
      <c r="C45" s="8" t="inlineStr">
        <is>
          <t>m</t>
        </is>
      </c>
      <c r="D45" s="25" t="n">
        <v>40000</v>
      </c>
      <c r="E45" s="9" t="inlineStr"/>
    </row>
    <row r="46">
      <c r="A46" s="9" t="inlineStr">
        <is>
          <t>M36</t>
        </is>
      </c>
      <c r="B46" s="9" t="inlineStr">
        <is>
          <t>Papan GRC 4 mm 120x240</t>
        </is>
      </c>
      <c r="C46" s="8" t="inlineStr">
        <is>
          <t>lbr</t>
        </is>
      </c>
      <c r="D46" s="25" t="n">
        <v>75000</v>
      </c>
      <c r="E46" s="9" t="inlineStr">
        <is>
          <t>plafon kantor</t>
        </is>
      </c>
    </row>
    <row r="47">
      <c r="A47" s="9" t="inlineStr">
        <is>
          <t>M37</t>
        </is>
      </c>
      <c r="B47" s="9" t="inlineStr">
        <is>
          <t>Keramik 40x40</t>
        </is>
      </c>
      <c r="C47" s="8" t="inlineStr">
        <is>
          <t>bh</t>
        </is>
      </c>
      <c r="D47" s="25" t="n">
        <v>9200</v>
      </c>
      <c r="E47" s="9" t="inlineStr">
        <is>
          <t>±Rp 55.000 per dus 1 m²</t>
        </is>
      </c>
    </row>
    <row r="48">
      <c r="A48" s="9" t="inlineStr">
        <is>
          <t>M38</t>
        </is>
      </c>
      <c r="B48" s="9" t="inlineStr">
        <is>
          <t>Semen warna / nat</t>
        </is>
      </c>
      <c r="C48" s="8" t="inlineStr">
        <is>
          <t>kg</t>
        </is>
      </c>
      <c r="D48" s="25" t="n">
        <v>15000</v>
      </c>
      <c r="E48" s="9" t="inlineStr"/>
    </row>
    <row r="49">
      <c r="A49" s="9" t="inlineStr">
        <is>
          <t>M39</t>
        </is>
      </c>
      <c r="B49" s="9" t="inlineStr">
        <is>
          <t>Tiang beton pracetak 10x10x240, 4Ø6</t>
        </is>
      </c>
      <c r="C49" s="8" t="inlineStr">
        <is>
          <t>bh</t>
        </is>
      </c>
      <c r="D49" s="25" t="n">
        <v>85000</v>
      </c>
      <c r="E49" s="9" t="inlineStr">
        <is>
          <t>boleh dicor sendiri</t>
        </is>
      </c>
    </row>
    <row r="50">
      <c r="A50" s="9" t="inlineStr">
        <is>
          <t>M40</t>
        </is>
      </c>
      <c r="B50" s="9" t="inlineStr">
        <is>
          <t>Wiremesh M8 (2,1 x 5,4 m)</t>
        </is>
      </c>
      <c r="C50" s="8" t="inlineStr">
        <is>
          <t>lbr</t>
        </is>
      </c>
      <c r="D50" s="25" t="n">
        <v>650000</v>
      </c>
      <c r="E50" s="9" t="inlineStr"/>
    </row>
    <row r="51">
      <c r="A51" s="9" t="inlineStr">
        <is>
          <t>M41</t>
        </is>
      </c>
      <c r="B51" s="9" t="inlineStr">
        <is>
          <t>Pipa PVC 3" (4 m)</t>
        </is>
      </c>
      <c r="C51" s="8" t="inlineStr">
        <is>
          <t>btg</t>
        </is>
      </c>
      <c r="D51" s="25" t="n">
        <v>175000</v>
      </c>
      <c r="E51" s="9" t="inlineStr"/>
    </row>
    <row r="52">
      <c r="A52" s="9" t="inlineStr">
        <is>
          <t>M42</t>
        </is>
      </c>
      <c r="B52" s="9" t="inlineStr">
        <is>
          <t>Kasa nyamuk</t>
        </is>
      </c>
      <c r="C52" s="8" t="inlineStr">
        <is>
          <t>m²</t>
        </is>
      </c>
      <c r="D52" s="25" t="n">
        <v>15000</v>
      </c>
      <c r="E52" s="9" t="inlineStr">
        <is>
          <t>unit BSF</t>
        </is>
      </c>
    </row>
    <row r="53">
      <c r="A53" s="9" t="inlineStr">
        <is>
          <t>M43</t>
        </is>
      </c>
      <c r="B53" s="9" t="inlineStr">
        <is>
          <t>Bibit pohon peneduh (lamtoro/indigofera/gamal/mangga)</t>
        </is>
      </c>
      <c r="C53" s="8" t="inlineStr">
        <is>
          <t>bh</t>
        </is>
      </c>
      <c r="D53" s="25" t="n">
        <v>15000</v>
      </c>
      <c r="E53" s="9" t="inlineStr"/>
    </row>
    <row r="54">
      <c r="A54" s="9" t="inlineStr">
        <is>
          <t>M44</t>
        </is>
      </c>
      <c r="B54" s="9" t="inlineStr">
        <is>
          <t>Bronjong bambu pelindung bibit</t>
        </is>
      </c>
      <c r="C54" s="8" t="inlineStr">
        <is>
          <t>bh</t>
        </is>
      </c>
      <c r="D54" s="25" t="n">
        <v>10000</v>
      </c>
      <c r="E54" s="9" t="inlineStr"/>
    </row>
    <row r="55">
      <c r="A55" s="9" t="inlineStr">
        <is>
          <t>M45</t>
        </is>
      </c>
      <c r="B55" s="9" t="inlineStr">
        <is>
          <t>Bibit rumput / stek per m²</t>
        </is>
      </c>
      <c r="C55" s="8" t="inlineStr">
        <is>
          <t>m²</t>
        </is>
      </c>
      <c r="D55" s="25" t="n">
        <v>1500</v>
      </c>
      <c r="E55" s="9" t="inlineStr"/>
    </row>
    <row r="56">
      <c r="A56" s="9" t="inlineStr">
        <is>
          <t>M46</t>
        </is>
      </c>
      <c r="B56" s="9" t="inlineStr">
        <is>
          <t>Stek lamtoro/gamal pagar hidup</t>
        </is>
      </c>
      <c r="C56" s="8" t="inlineStr">
        <is>
          <t>bh</t>
        </is>
      </c>
      <c r="D56" s="25" t="n">
        <v>500</v>
      </c>
      <c r="E56" s="9" t="inlineStr"/>
    </row>
    <row r="57">
      <c r="A57" s="23" t="inlineStr">
        <is>
          <t>C. PERLENGKAPAN DAN PEKERJAAN BORONGAN (bahan + pasang)</t>
        </is>
      </c>
      <c r="B57" s="24" t="inlineStr"/>
      <c r="C57" s="24" t="inlineStr"/>
      <c r="D57" s="24" t="inlineStr"/>
      <c r="E57" s="24" t="inlineStr"/>
    </row>
    <row r="58">
      <c r="A58" s="9" t="inlineStr">
        <is>
          <t>P01</t>
        </is>
      </c>
      <c r="B58" s="9" t="inlineStr">
        <is>
          <t>Tempat pakan gantung 8 kg</t>
        </is>
      </c>
      <c r="C58" s="8" t="inlineStr">
        <is>
          <t>bh</t>
        </is>
      </c>
      <c r="D58" s="25" t="n">
        <v>45000</v>
      </c>
      <c r="E58" s="9" t="inlineStr"/>
    </row>
    <row r="59">
      <c r="A59" s="9" t="inlineStr">
        <is>
          <t>P02</t>
        </is>
      </c>
      <c r="B59" s="9" t="inlineStr">
        <is>
          <t>Tempat minum galon 5 liter</t>
        </is>
      </c>
      <c r="C59" s="8" t="inlineStr">
        <is>
          <t>bh</t>
        </is>
      </c>
      <c r="D59" s="25" t="n">
        <v>35000</v>
      </c>
      <c r="E59" s="9" t="inlineStr"/>
    </row>
    <row r="60">
      <c r="A60" s="9" t="inlineStr">
        <is>
          <t>P03</t>
        </is>
      </c>
      <c r="B60" s="9" t="inlineStr">
        <is>
          <t>Titik lampu LED 15 W + kabel + saklar</t>
        </is>
      </c>
      <c r="C60" s="8" t="inlineStr">
        <is>
          <t>titik</t>
        </is>
      </c>
      <c r="D60" s="25" t="n">
        <v>275000</v>
      </c>
      <c r="E60" s="9" t="inlineStr"/>
    </row>
    <row r="61">
      <c r="A61" s="9" t="inlineStr">
        <is>
          <t>P04</t>
        </is>
      </c>
      <c r="B61" s="9" t="inlineStr">
        <is>
          <t>Titik stop kontak / daya mesin</t>
        </is>
      </c>
      <c r="C61" s="8" t="inlineStr">
        <is>
          <t>titik</t>
        </is>
      </c>
      <c r="D61" s="25" t="n">
        <v>350000</v>
      </c>
      <c r="E61" s="9" t="inlineStr"/>
    </row>
    <row r="62">
      <c r="A62" s="9" t="inlineStr">
        <is>
          <t>P05</t>
        </is>
      </c>
      <c r="B62" s="9" t="inlineStr">
        <is>
          <t>Pintu panel kayu + kusen 90x210 terpasang</t>
        </is>
      </c>
      <c r="C62" s="8" t="inlineStr">
        <is>
          <t>unit</t>
        </is>
      </c>
      <c r="D62" s="25" t="n">
        <v>1750000</v>
      </c>
      <c r="E62" s="9" t="inlineStr"/>
    </row>
    <row r="63">
      <c r="A63" s="9" t="inlineStr">
        <is>
          <t>P06</t>
        </is>
      </c>
      <c r="B63" s="9" t="inlineStr">
        <is>
          <t>Jendela kusen aluminium + kaca</t>
        </is>
      </c>
      <c r="C63" s="8" t="inlineStr">
        <is>
          <t>m²</t>
        </is>
      </c>
      <c r="D63" s="25" t="n">
        <v>450000</v>
      </c>
      <c r="E63" s="9" t="inlineStr"/>
    </row>
    <row r="64">
      <c r="A64" s="9" t="inlineStr">
        <is>
          <t>P07</t>
        </is>
      </c>
      <c r="B64" s="9" t="inlineStr">
        <is>
          <t>Kloset jongkok + perlengkapan KM</t>
        </is>
      </c>
      <c r="C64" s="8" t="inlineStr">
        <is>
          <t>unit</t>
        </is>
      </c>
      <c r="D64" s="25" t="n">
        <v>650000</v>
      </c>
      <c r="E64" s="9" t="inlineStr"/>
    </row>
    <row r="65">
      <c r="A65" s="9" t="inlineStr">
        <is>
          <t>P08</t>
        </is>
      </c>
      <c r="B65" s="9" t="inlineStr">
        <is>
          <t>Septic tank biofil 1 m³ terpasang</t>
        </is>
      </c>
      <c r="C65" s="8" t="inlineStr">
        <is>
          <t>unit</t>
        </is>
      </c>
      <c r="D65" s="25" t="n">
        <v>3500000</v>
      </c>
      <c r="E65" s="9" t="inlineStr"/>
    </row>
    <row r="66">
      <c r="A66" s="9" t="inlineStr">
        <is>
          <t>P09</t>
        </is>
      </c>
      <c r="B66" s="9" t="inlineStr">
        <is>
          <t>Tandon air 2.200 liter</t>
        </is>
      </c>
      <c r="C66" s="8" t="inlineStr">
        <is>
          <t>bh</t>
        </is>
      </c>
      <c r="D66" s="25" t="n">
        <v>3200000</v>
      </c>
      <c r="E66" s="9" t="inlineStr"/>
    </row>
    <row r="67">
      <c r="A67" s="9" t="inlineStr">
        <is>
          <t>P10</t>
        </is>
      </c>
      <c r="B67" s="9" t="inlineStr">
        <is>
          <t>Pengeboran sumur Ø4" termasuk casing PVC</t>
        </is>
      </c>
      <c r="C67" s="8" t="inlineStr">
        <is>
          <t>m</t>
        </is>
      </c>
      <c r="D67" s="25" t="n">
        <v>300000</v>
      </c>
      <c r="E67" s="9" t="inlineStr"/>
    </row>
    <row r="68">
      <c r="A68" s="9" t="inlineStr">
        <is>
          <t>P11</t>
        </is>
      </c>
      <c r="B68" s="9" t="inlineStr">
        <is>
          <t>Pompa submersible 1 HP + panel</t>
        </is>
      </c>
      <c r="C68" s="8" t="inlineStr">
        <is>
          <t>unit</t>
        </is>
      </c>
      <c r="D68" s="25" t="n">
        <v>7500000</v>
      </c>
      <c r="E68" s="9" t="inlineStr"/>
    </row>
    <row r="69">
      <c r="A69" s="9" t="inlineStr">
        <is>
          <t>P12</t>
        </is>
      </c>
      <c r="B69" s="9" t="inlineStr">
        <is>
          <t>Pompa air sungai 3" mesin 6,5 HP</t>
        </is>
      </c>
      <c r="C69" s="8" t="inlineStr">
        <is>
          <t>unit</t>
        </is>
      </c>
      <c r="D69" s="25" t="n">
        <v>4500000</v>
      </c>
      <c r="E69" s="9" t="inlineStr"/>
    </row>
    <row r="70">
      <c r="A70" s="9" t="inlineStr">
        <is>
          <t>P13</t>
        </is>
      </c>
      <c r="B70" s="9" t="inlineStr">
        <is>
          <t>Pasang baru PLN 3.500 VA + SLO + panel</t>
        </is>
      </c>
      <c r="C70" s="8" t="inlineStr">
        <is>
          <t>ls</t>
        </is>
      </c>
      <c r="D70" s="25" t="n">
        <v>6500000</v>
      </c>
      <c r="E70" s="9" t="inlineStr"/>
    </row>
    <row r="71">
      <c r="A71" s="9" t="inlineStr">
        <is>
          <t>P14</t>
        </is>
      </c>
      <c r="B71" s="9" t="inlineStr">
        <is>
          <t>Kabel NYY 4x6 mm² tanam + galian</t>
        </is>
      </c>
      <c r="C71" s="8" t="inlineStr">
        <is>
          <t>m</t>
        </is>
      </c>
      <c r="D71" s="25" t="n">
        <v>60000</v>
      </c>
      <c r="E71" s="9" t="inlineStr"/>
    </row>
    <row r="72">
      <c r="A72" s="9" t="inlineStr">
        <is>
          <t>P15</t>
        </is>
      </c>
      <c r="B72" s="9" t="inlineStr">
        <is>
          <t>Biopond maggot BSF bata 100x150 terpasang</t>
        </is>
      </c>
      <c r="C72" s="8" t="inlineStr">
        <is>
          <t>unit</t>
        </is>
      </c>
      <c r="D72" s="25" t="n">
        <v>350000</v>
      </c>
      <c r="E72" s="9" t="inlineStr"/>
    </row>
    <row r="73">
      <c r="A73" s="9" t="inlineStr">
        <is>
          <t>P16</t>
        </is>
      </c>
      <c r="B73" s="9" t="inlineStr">
        <is>
          <t>Jembatan titian kayu lebar 1,5 m (opsional)</t>
        </is>
      </c>
      <c r="C73" s="8" t="inlineStr">
        <is>
          <t>m</t>
        </is>
      </c>
      <c r="D73" s="25" t="n">
        <v>1250000</v>
      </c>
      <c r="E73" s="9" t="inlineStr"/>
    </row>
    <row r="74">
      <c r="A74" s="9" t="inlineStr">
        <is>
          <t>P17</t>
        </is>
      </c>
      <c r="B74" s="9" t="inlineStr">
        <is>
          <t>Bangunan rumah pompa sederhana (bata, atap galvalum, lantai beton)</t>
        </is>
      </c>
      <c r="C74" s="8" t="inlineStr">
        <is>
          <t>m²</t>
        </is>
      </c>
      <c r="D74" s="25" t="n">
        <v>2200000</v>
      </c>
      <c r="E74" s="9" t="inlineStr">
        <is>
          <t>perkiraan per m² lantai</t>
        </is>
      </c>
    </row>
    <row r="75">
      <c r="A75" s="23" t="inlineStr">
        <is>
          <t>D. ALAT</t>
        </is>
      </c>
      <c r="B75" s="24" t="inlineStr"/>
      <c r="C75" s="24" t="inlineStr"/>
      <c r="D75" s="24" t="inlineStr"/>
      <c r="E75" s="24" t="inlineStr"/>
    </row>
    <row r="76">
      <c r="A76" s="9" t="inlineStr">
        <is>
          <t>E01</t>
        </is>
      </c>
      <c r="B76" s="9" t="inlineStr">
        <is>
          <t>Sewa excavator PC-100 termasuk operator dan BBM</t>
        </is>
      </c>
      <c r="C76" s="8" t="inlineStr">
        <is>
          <t>jam</t>
        </is>
      </c>
      <c r="D76" s="25" t="n">
        <v>450000</v>
      </c>
      <c r="E76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8" customWidth="1" min="3" max="3"/>
    <col width="11" customWidth="1" min="4" max="4"/>
    <col width="15" customWidth="1" min="5" max="5"/>
    <col width="16" customWidth="1" min="6" max="6"/>
  </cols>
  <sheetData>
    <row r="1">
      <c r="A1" s="1" t="inlineStr">
        <is>
          <t>Analisa Harga Satuan Pekerjaan (pola AHSP PUPR)</t>
        </is>
      </c>
    </row>
    <row r="2">
      <c r="A2" s="2" t="inlineStr">
        <is>
          <t>Koefisien biru boleh disesuaikan. Harga satuan = (upah + bahan + alat) x (1 + biaya umum &amp; keuntungan di sheet Petunjuk).</t>
        </is>
      </c>
    </row>
    <row r="4">
      <c r="A4" s="26" t="inlineStr">
        <is>
          <t>A.1</t>
        </is>
      </c>
      <c r="B4" s="26" t="inlineStr">
        <is>
          <t>Perataan lokasi bangunan dan peil</t>
        </is>
      </c>
      <c r="C4" s="27" t="inlineStr">
        <is>
          <t>m²</t>
        </is>
      </c>
      <c r="D4" s="26" t="inlineStr">
        <is>
          <t>Koefisien</t>
        </is>
      </c>
      <c r="E4" s="26" t="inlineStr">
        <is>
          <t>Harga dasar</t>
        </is>
      </c>
      <c r="F4" s="26" t="inlineStr">
        <is>
          <t>Jumlah (Rp)</t>
        </is>
      </c>
    </row>
    <row r="5">
      <c r="A5" s="9" t="inlineStr">
        <is>
          <t>L01</t>
        </is>
      </c>
      <c r="B5" s="9" t="inlineStr">
        <is>
          <t>Pekerja</t>
        </is>
      </c>
      <c r="C5" s="8" t="inlineStr">
        <is>
          <t>OH</t>
        </is>
      </c>
      <c r="D5" s="28" t="n">
        <v>0.05</v>
      </c>
      <c r="E5" s="11">
        <f>'Harga Dasar'!$D$6</f>
        <v/>
      </c>
      <c r="F5" s="12">
        <f>D5*E5</f>
        <v/>
      </c>
    </row>
    <row r="6">
      <c r="A6" s="9" t="inlineStr">
        <is>
          <t>L04</t>
        </is>
      </c>
      <c r="B6" s="9" t="inlineStr">
        <is>
          <t>Mandor</t>
        </is>
      </c>
      <c r="C6" s="8" t="inlineStr">
        <is>
          <t>OH</t>
        </is>
      </c>
      <c r="D6" s="28" t="n">
        <v>0.005</v>
      </c>
      <c r="E6" s="11">
        <f>'Harga Dasar'!$D$9</f>
        <v/>
      </c>
      <c r="F6" s="12">
        <f>D6*E6</f>
        <v/>
      </c>
    </row>
    <row r="7">
      <c r="B7" s="9" t="inlineStr">
        <is>
          <t>Jumlah upah + bahan + alat</t>
        </is>
      </c>
      <c r="F7" s="12">
        <f>SUM(F5:F6)</f>
        <v/>
      </c>
    </row>
    <row r="8">
      <c r="B8" s="9" t="inlineStr">
        <is>
          <t>Biaya umum dan keuntungan</t>
        </is>
      </c>
      <c r="F8" s="12">
        <f>F7*Petunjuk!$C$15</f>
        <v/>
      </c>
    </row>
    <row r="9">
      <c r="A9" s="14" t="inlineStr"/>
      <c r="B9" s="15" t="inlineStr">
        <is>
          <t>HARGA SATUAN PEKERJAAN per m²</t>
        </is>
      </c>
      <c r="C9" s="14" t="inlineStr"/>
      <c r="D9" s="14" t="inlineStr"/>
      <c r="E9" s="14" t="inlineStr"/>
      <c r="F9" s="16">
        <f>ROUND(F7+F8,-2)</f>
        <v/>
      </c>
    </row>
    <row r="11">
      <c r="A11" s="26" t="inlineStr">
        <is>
          <t>A.2</t>
        </is>
      </c>
      <c r="B11" s="26" t="inlineStr">
        <is>
          <t>Pengukuran dan pemasangan bouwplank</t>
        </is>
      </c>
      <c r="C11" s="27" t="inlineStr">
        <is>
          <t>m'</t>
        </is>
      </c>
      <c r="D11" s="26" t="inlineStr">
        <is>
          <t>Koefisien</t>
        </is>
      </c>
      <c r="E11" s="26" t="inlineStr">
        <is>
          <t>Harga dasar</t>
        </is>
      </c>
      <c r="F11" s="26" t="inlineStr">
        <is>
          <t>Jumlah (Rp)</t>
        </is>
      </c>
    </row>
    <row r="12">
      <c r="A12" s="9" t="inlineStr">
        <is>
          <t>L01</t>
        </is>
      </c>
      <c r="B12" s="9" t="inlineStr">
        <is>
          <t>Pekerja</t>
        </is>
      </c>
      <c r="C12" s="8" t="inlineStr">
        <is>
          <t>OH</t>
        </is>
      </c>
      <c r="D12" s="28" t="n">
        <v>0.1</v>
      </c>
      <c r="E12" s="11">
        <f>'Harga Dasar'!$D$6</f>
        <v/>
      </c>
      <c r="F12" s="12">
        <f>D12*E12</f>
        <v/>
      </c>
    </row>
    <row r="13">
      <c r="A13" s="9" t="inlineStr">
        <is>
          <t>L02</t>
        </is>
      </c>
      <c r="B13" s="9" t="inlineStr">
        <is>
          <t>Tukang (batu/kayu/besi/las)</t>
        </is>
      </c>
      <c r="C13" s="8" t="inlineStr">
        <is>
          <t>OH</t>
        </is>
      </c>
      <c r="D13" s="28" t="n">
        <v>0.1</v>
      </c>
      <c r="E13" s="11">
        <f>'Harga Dasar'!$D$7</f>
        <v/>
      </c>
      <c r="F13" s="12">
        <f>D13*E13</f>
        <v/>
      </c>
    </row>
    <row r="14">
      <c r="A14" s="9" t="inlineStr">
        <is>
          <t>L03</t>
        </is>
      </c>
      <c r="B14" s="9" t="inlineStr">
        <is>
          <t>Kepala tukang</t>
        </is>
      </c>
      <c r="C14" s="8" t="inlineStr">
        <is>
          <t>OH</t>
        </is>
      </c>
      <c r="D14" s="28" t="n">
        <v>0.01</v>
      </c>
      <c r="E14" s="11">
        <f>'Harga Dasar'!$D$8</f>
        <v/>
      </c>
      <c r="F14" s="12">
        <f>D14*E14</f>
        <v/>
      </c>
    </row>
    <row r="15">
      <c r="A15" s="9" t="inlineStr">
        <is>
          <t>L04</t>
        </is>
      </c>
      <c r="B15" s="9" t="inlineStr">
        <is>
          <t>Mandor</t>
        </is>
      </c>
      <c r="C15" s="8" t="inlineStr">
        <is>
          <t>OH</t>
        </is>
      </c>
      <c r="D15" s="28" t="n">
        <v>0.005</v>
      </c>
      <c r="E15" s="11">
        <f>'Harga Dasar'!$D$9</f>
        <v/>
      </c>
      <c r="F15" s="12">
        <f>D15*E15</f>
        <v/>
      </c>
    </row>
    <row r="16">
      <c r="A16" s="9" t="inlineStr">
        <is>
          <t>M10</t>
        </is>
      </c>
      <c r="B16" s="9" t="inlineStr">
        <is>
          <t>Kayu kelas III (bekisting, papan)</t>
        </is>
      </c>
      <c r="C16" s="8" t="inlineStr">
        <is>
          <t>m³</t>
        </is>
      </c>
      <c r="D16" s="28" t="n">
        <v>0.012</v>
      </c>
      <c r="E16" s="11">
        <f>'Harga Dasar'!$D$20</f>
        <v/>
      </c>
      <c r="F16" s="12">
        <f>D16*E16</f>
        <v/>
      </c>
    </row>
    <row r="17">
      <c r="A17" s="9" t="inlineStr">
        <is>
          <t>M12</t>
        </is>
      </c>
      <c r="B17" s="9" t="inlineStr">
        <is>
          <t>Paku campur</t>
        </is>
      </c>
      <c r="C17" s="8" t="inlineStr">
        <is>
          <t>kg</t>
        </is>
      </c>
      <c r="D17" s="28" t="n">
        <v>0.02</v>
      </c>
      <c r="E17" s="11">
        <f>'Harga Dasar'!$D$22</f>
        <v/>
      </c>
      <c r="F17" s="12">
        <f>D17*E17</f>
        <v/>
      </c>
    </row>
    <row r="18">
      <c r="B18" s="9" t="inlineStr">
        <is>
          <t>Jumlah upah + bahan + alat</t>
        </is>
      </c>
      <c r="F18" s="12">
        <f>SUM(F12:F17)</f>
        <v/>
      </c>
    </row>
    <row r="19">
      <c r="B19" s="9" t="inlineStr">
        <is>
          <t>Biaya umum dan keuntungan</t>
        </is>
      </c>
      <c r="F19" s="12">
        <f>F18*Petunjuk!$C$15</f>
        <v/>
      </c>
    </row>
    <row r="20">
      <c r="A20" s="14" t="inlineStr"/>
      <c r="B20" s="15" t="inlineStr">
        <is>
          <t>HARGA SATUAN PEKERJAAN per m'</t>
        </is>
      </c>
      <c r="C20" s="14" t="inlineStr"/>
      <c r="D20" s="14" t="inlineStr"/>
      <c r="E20" s="14" t="inlineStr"/>
      <c r="F20" s="16">
        <f>ROUND(F18+F19,-2)</f>
        <v/>
      </c>
    </row>
    <row r="22">
      <c r="A22" s="26" t="inlineStr">
        <is>
          <t>A.3</t>
        </is>
      </c>
      <c r="B22" s="26" t="inlineStr">
        <is>
          <t>Galian tanah biasa sedalam s.d. 1 m</t>
        </is>
      </c>
      <c r="C22" s="27" t="inlineStr">
        <is>
          <t>m³</t>
        </is>
      </c>
      <c r="D22" s="26" t="inlineStr">
        <is>
          <t>Koefisien</t>
        </is>
      </c>
      <c r="E22" s="26" t="inlineStr">
        <is>
          <t>Harga dasar</t>
        </is>
      </c>
      <c r="F22" s="26" t="inlineStr">
        <is>
          <t>Jumlah (Rp)</t>
        </is>
      </c>
    </row>
    <row r="23">
      <c r="A23" s="9" t="inlineStr">
        <is>
          <t>L01</t>
        </is>
      </c>
      <c r="B23" s="9" t="inlineStr">
        <is>
          <t>Pekerja</t>
        </is>
      </c>
      <c r="C23" s="8" t="inlineStr">
        <is>
          <t>OH</t>
        </is>
      </c>
      <c r="D23" s="28" t="n">
        <v>0.75</v>
      </c>
      <c r="E23" s="11">
        <f>'Harga Dasar'!$D$6</f>
        <v/>
      </c>
      <c r="F23" s="12">
        <f>D23*E23</f>
        <v/>
      </c>
    </row>
    <row r="24">
      <c r="A24" s="9" t="inlineStr">
        <is>
          <t>L04</t>
        </is>
      </c>
      <c r="B24" s="9" t="inlineStr">
        <is>
          <t>Mandor</t>
        </is>
      </c>
      <c r="C24" s="8" t="inlineStr">
        <is>
          <t>OH</t>
        </is>
      </c>
      <c r="D24" s="28" t="n">
        <v>0.025</v>
      </c>
      <c r="E24" s="11">
        <f>'Harga Dasar'!$D$9</f>
        <v/>
      </c>
      <c r="F24" s="12">
        <f>D24*E24</f>
        <v/>
      </c>
    </row>
    <row r="25">
      <c r="B25" s="9" t="inlineStr">
        <is>
          <t>Jumlah upah + bahan + alat</t>
        </is>
      </c>
      <c r="F25" s="12">
        <f>SUM(F23:F24)</f>
        <v/>
      </c>
    </row>
    <row r="26">
      <c r="B26" s="9" t="inlineStr">
        <is>
          <t>Biaya umum dan keuntungan</t>
        </is>
      </c>
      <c r="F26" s="12">
        <f>F25*Petunjuk!$C$15</f>
        <v/>
      </c>
    </row>
    <row r="27">
      <c r="A27" s="14" t="inlineStr"/>
      <c r="B27" s="15" t="inlineStr">
        <is>
          <t>HARGA SATUAN PEKERJAAN per m³</t>
        </is>
      </c>
      <c r="C27" s="14" t="inlineStr"/>
      <c r="D27" s="14" t="inlineStr"/>
      <c r="E27" s="14" t="inlineStr"/>
      <c r="F27" s="16">
        <f>ROUND(F25+F26,-2)</f>
        <v/>
      </c>
    </row>
    <row r="29">
      <c r="A29" s="26" t="inlineStr">
        <is>
          <t>A.4</t>
        </is>
      </c>
      <c r="B29" s="26" t="inlineStr">
        <is>
          <t>Urugan kembali galian</t>
        </is>
      </c>
      <c r="C29" s="27" t="inlineStr">
        <is>
          <t>m³</t>
        </is>
      </c>
      <c r="D29" s="26" t="inlineStr">
        <is>
          <t>Koefisien</t>
        </is>
      </c>
      <c r="E29" s="26" t="inlineStr">
        <is>
          <t>Harga dasar</t>
        </is>
      </c>
      <c r="F29" s="26" t="inlineStr">
        <is>
          <t>Jumlah (Rp)</t>
        </is>
      </c>
    </row>
    <row r="30">
      <c r="A30" s="9" t="inlineStr">
        <is>
          <t>L01</t>
        </is>
      </c>
      <c r="B30" s="9" t="inlineStr">
        <is>
          <t>Pekerja</t>
        </is>
      </c>
      <c r="C30" s="8" t="inlineStr">
        <is>
          <t>OH</t>
        </is>
      </c>
      <c r="D30" s="28" t="n">
        <v>0.25</v>
      </c>
      <c r="E30" s="11">
        <f>'Harga Dasar'!$D$6</f>
        <v/>
      </c>
      <c r="F30" s="12">
        <f>D30*E30</f>
        <v/>
      </c>
    </row>
    <row r="31">
      <c r="A31" s="9" t="inlineStr">
        <is>
          <t>L04</t>
        </is>
      </c>
      <c r="B31" s="9" t="inlineStr">
        <is>
          <t>Mandor</t>
        </is>
      </c>
      <c r="C31" s="8" t="inlineStr">
        <is>
          <t>OH</t>
        </is>
      </c>
      <c r="D31" s="28" t="n">
        <v>0.008</v>
      </c>
      <c r="E31" s="11">
        <f>'Harga Dasar'!$D$9</f>
        <v/>
      </c>
      <c r="F31" s="12">
        <f>D31*E31</f>
        <v/>
      </c>
    </row>
    <row r="32">
      <c r="B32" s="9" t="inlineStr">
        <is>
          <t>Jumlah upah + bahan + alat</t>
        </is>
      </c>
      <c r="F32" s="12">
        <f>SUM(F30:F31)</f>
        <v/>
      </c>
    </row>
    <row r="33">
      <c r="B33" s="9" t="inlineStr">
        <is>
          <t>Biaya umum dan keuntungan</t>
        </is>
      </c>
      <c r="F33" s="12">
        <f>F32*Petunjuk!$C$15</f>
        <v/>
      </c>
    </row>
    <row r="34">
      <c r="A34" s="14" t="inlineStr"/>
      <c r="B34" s="15" t="inlineStr">
        <is>
          <t>HARGA SATUAN PEKERJAAN per m³</t>
        </is>
      </c>
      <c r="C34" s="14" t="inlineStr"/>
      <c r="D34" s="14" t="inlineStr"/>
      <c r="E34" s="14" t="inlineStr"/>
      <c r="F34" s="16">
        <f>ROUND(F32+F33,-2)</f>
        <v/>
      </c>
    </row>
    <row r="36">
      <c r="A36" s="26" t="inlineStr">
        <is>
          <t>A.5</t>
        </is>
      </c>
      <c r="B36" s="26" t="inlineStr">
        <is>
          <t>Urugan tanah peninggian dipadatkan</t>
        </is>
      </c>
      <c r="C36" s="27" t="inlineStr">
        <is>
          <t>m³</t>
        </is>
      </c>
      <c r="D36" s="26" t="inlineStr">
        <is>
          <t>Koefisien</t>
        </is>
      </c>
      <c r="E36" s="26" t="inlineStr">
        <is>
          <t>Harga dasar</t>
        </is>
      </c>
      <c r="F36" s="26" t="inlineStr">
        <is>
          <t>Jumlah (Rp)</t>
        </is>
      </c>
    </row>
    <row r="37">
      <c r="A37" s="9" t="inlineStr">
        <is>
          <t>M06</t>
        </is>
      </c>
      <c r="B37" s="9" t="inlineStr">
        <is>
          <t>Tanah urug (termasuk angkut)</t>
        </is>
      </c>
      <c r="C37" s="8" t="inlineStr">
        <is>
          <t>m³</t>
        </is>
      </c>
      <c r="D37" s="28" t="n">
        <v>1.2</v>
      </c>
      <c r="E37" s="11">
        <f>'Harga Dasar'!$D$16</f>
        <v/>
      </c>
      <c r="F37" s="12">
        <f>D37*E37</f>
        <v/>
      </c>
    </row>
    <row r="38">
      <c r="A38" s="9" t="inlineStr">
        <is>
          <t>L01</t>
        </is>
      </c>
      <c r="B38" s="9" t="inlineStr">
        <is>
          <t>Pekerja</t>
        </is>
      </c>
      <c r="C38" s="8" t="inlineStr">
        <is>
          <t>OH</t>
        </is>
      </c>
      <c r="D38" s="28" t="n">
        <v>0.5</v>
      </c>
      <c r="E38" s="11">
        <f>'Harga Dasar'!$D$6</f>
        <v/>
      </c>
      <c r="F38" s="12">
        <f>D38*E38</f>
        <v/>
      </c>
    </row>
    <row r="39">
      <c r="A39" s="9" t="inlineStr">
        <is>
          <t>L04</t>
        </is>
      </c>
      <c r="B39" s="9" t="inlineStr">
        <is>
          <t>Mandor</t>
        </is>
      </c>
      <c r="C39" s="8" t="inlineStr">
        <is>
          <t>OH</t>
        </is>
      </c>
      <c r="D39" s="28" t="n">
        <v>0.05</v>
      </c>
      <c r="E39" s="11">
        <f>'Harga Dasar'!$D$9</f>
        <v/>
      </c>
      <c r="F39" s="12">
        <f>D39*E39</f>
        <v/>
      </c>
    </row>
    <row r="40">
      <c r="B40" s="9" t="inlineStr">
        <is>
          <t>Jumlah upah + bahan + alat</t>
        </is>
      </c>
      <c r="F40" s="12">
        <f>SUM(F37:F39)</f>
        <v/>
      </c>
    </row>
    <row r="41">
      <c r="B41" s="9" t="inlineStr">
        <is>
          <t>Biaya umum dan keuntungan</t>
        </is>
      </c>
      <c r="F41" s="12">
        <f>F40*Petunjuk!$C$15</f>
        <v/>
      </c>
    </row>
    <row r="42">
      <c r="A42" s="14" t="inlineStr"/>
      <c r="B42" s="15" t="inlineStr">
        <is>
          <t>HARGA SATUAN PEKERJAAN per m³</t>
        </is>
      </c>
      <c r="C42" s="14" t="inlineStr"/>
      <c r="D42" s="14" t="inlineStr"/>
      <c r="E42" s="14" t="inlineStr"/>
      <c r="F42" s="16">
        <f>ROUND(F40+F41,-2)</f>
        <v/>
      </c>
    </row>
    <row r="44">
      <c r="A44" s="26" t="inlineStr">
        <is>
          <t>A.6</t>
        </is>
      </c>
      <c r="B44" s="26" t="inlineStr">
        <is>
          <t>Urugan pasir</t>
        </is>
      </c>
      <c r="C44" s="27" t="inlineStr">
        <is>
          <t>m³</t>
        </is>
      </c>
      <c r="D44" s="26" t="inlineStr">
        <is>
          <t>Koefisien</t>
        </is>
      </c>
      <c r="E44" s="26" t="inlineStr">
        <is>
          <t>Harga dasar</t>
        </is>
      </c>
      <c r="F44" s="26" t="inlineStr">
        <is>
          <t>Jumlah (Rp)</t>
        </is>
      </c>
    </row>
    <row r="45">
      <c r="A45" s="9" t="inlineStr">
        <is>
          <t>M03</t>
        </is>
      </c>
      <c r="B45" s="9" t="inlineStr">
        <is>
          <t>Pasir urug</t>
        </is>
      </c>
      <c r="C45" s="8" t="inlineStr">
        <is>
          <t>m³</t>
        </is>
      </c>
      <c r="D45" s="28" t="n">
        <v>1.2</v>
      </c>
      <c r="E45" s="11">
        <f>'Harga Dasar'!$D$13</f>
        <v/>
      </c>
      <c r="F45" s="12">
        <f>D45*E45</f>
        <v/>
      </c>
    </row>
    <row r="46">
      <c r="A46" s="9" t="inlineStr">
        <is>
          <t>L01</t>
        </is>
      </c>
      <c r="B46" s="9" t="inlineStr">
        <is>
          <t>Pekerja</t>
        </is>
      </c>
      <c r="C46" s="8" t="inlineStr">
        <is>
          <t>OH</t>
        </is>
      </c>
      <c r="D46" s="28" t="n">
        <v>0.3</v>
      </c>
      <c r="E46" s="11">
        <f>'Harga Dasar'!$D$6</f>
        <v/>
      </c>
      <c r="F46" s="12">
        <f>D46*E46</f>
        <v/>
      </c>
    </row>
    <row r="47">
      <c r="A47" s="9" t="inlineStr">
        <is>
          <t>L04</t>
        </is>
      </c>
      <c r="B47" s="9" t="inlineStr">
        <is>
          <t>Mandor</t>
        </is>
      </c>
      <c r="C47" s="8" t="inlineStr">
        <is>
          <t>OH</t>
        </is>
      </c>
      <c r="D47" s="28" t="n">
        <v>0.01</v>
      </c>
      <c r="E47" s="11">
        <f>'Harga Dasar'!$D$9</f>
        <v/>
      </c>
      <c r="F47" s="12">
        <f>D47*E47</f>
        <v/>
      </c>
    </row>
    <row r="48">
      <c r="B48" s="9" t="inlineStr">
        <is>
          <t>Jumlah upah + bahan + alat</t>
        </is>
      </c>
      <c r="F48" s="12">
        <f>SUM(F45:F47)</f>
        <v/>
      </c>
    </row>
    <row r="49">
      <c r="B49" s="9" t="inlineStr">
        <is>
          <t>Biaya umum dan keuntungan</t>
        </is>
      </c>
      <c r="F49" s="12">
        <f>F48*Petunjuk!$C$15</f>
        <v/>
      </c>
    </row>
    <row r="50">
      <c r="A50" s="14" t="inlineStr"/>
      <c r="B50" s="15" t="inlineStr">
        <is>
          <t>HARGA SATUAN PEKERJAAN per m³</t>
        </is>
      </c>
      <c r="C50" s="14" t="inlineStr"/>
      <c r="D50" s="14" t="inlineStr"/>
      <c r="E50" s="14" t="inlineStr"/>
      <c r="F50" s="16">
        <f>ROUND(F48+F49,-2)</f>
        <v/>
      </c>
    </row>
    <row r="52">
      <c r="A52" s="26" t="inlineStr">
        <is>
          <t>A.7</t>
        </is>
      </c>
      <c r="B52" s="26" t="inlineStr">
        <is>
          <t>Lapis sirtu dipadatkan</t>
        </is>
      </c>
      <c r="C52" s="27" t="inlineStr">
        <is>
          <t>m³</t>
        </is>
      </c>
      <c r="D52" s="26" t="inlineStr">
        <is>
          <t>Koefisien</t>
        </is>
      </c>
      <c r="E52" s="26" t="inlineStr">
        <is>
          <t>Harga dasar</t>
        </is>
      </c>
      <c r="F52" s="26" t="inlineStr">
        <is>
          <t>Jumlah (Rp)</t>
        </is>
      </c>
    </row>
    <row r="53">
      <c r="A53" s="9" t="inlineStr">
        <is>
          <t>M05</t>
        </is>
      </c>
      <c r="B53" s="9" t="inlineStr">
        <is>
          <t>Sirtu (pasir batu)</t>
        </is>
      </c>
      <c r="C53" s="8" t="inlineStr">
        <is>
          <t>m³</t>
        </is>
      </c>
      <c r="D53" s="28" t="n">
        <v>1.2</v>
      </c>
      <c r="E53" s="11">
        <f>'Harga Dasar'!$D$15</f>
        <v/>
      </c>
      <c r="F53" s="12">
        <f>D53*E53</f>
        <v/>
      </c>
    </row>
    <row r="54">
      <c r="A54" s="9" t="inlineStr">
        <is>
          <t>L01</t>
        </is>
      </c>
      <c r="B54" s="9" t="inlineStr">
        <is>
          <t>Pekerja</t>
        </is>
      </c>
      <c r="C54" s="8" t="inlineStr">
        <is>
          <t>OH</t>
        </is>
      </c>
      <c r="D54" s="28" t="n">
        <v>0.25</v>
      </c>
      <c r="E54" s="11">
        <f>'Harga Dasar'!$D$6</f>
        <v/>
      </c>
      <c r="F54" s="12">
        <f>D54*E54</f>
        <v/>
      </c>
    </row>
    <row r="55">
      <c r="A55" s="9" t="inlineStr">
        <is>
          <t>L04</t>
        </is>
      </c>
      <c r="B55" s="9" t="inlineStr">
        <is>
          <t>Mandor</t>
        </is>
      </c>
      <c r="C55" s="8" t="inlineStr">
        <is>
          <t>OH</t>
        </is>
      </c>
      <c r="D55" s="28" t="n">
        <v>0.025</v>
      </c>
      <c r="E55" s="11">
        <f>'Harga Dasar'!$D$9</f>
        <v/>
      </c>
      <c r="F55" s="12">
        <f>D55*E55</f>
        <v/>
      </c>
    </row>
    <row r="56">
      <c r="B56" s="9" t="inlineStr">
        <is>
          <t>Jumlah upah + bahan + alat</t>
        </is>
      </c>
      <c r="F56" s="12">
        <f>SUM(F53:F55)</f>
        <v/>
      </c>
    </row>
    <row r="57">
      <c r="B57" s="9" t="inlineStr">
        <is>
          <t>Biaya umum dan keuntungan</t>
        </is>
      </c>
      <c r="F57" s="12">
        <f>F56*Petunjuk!$C$15</f>
        <v/>
      </c>
    </row>
    <row r="58">
      <c r="A58" s="14" t="inlineStr"/>
      <c r="B58" s="15" t="inlineStr">
        <is>
          <t>HARGA SATUAN PEKERJAAN per m³</t>
        </is>
      </c>
      <c r="C58" s="14" t="inlineStr"/>
      <c r="D58" s="14" t="inlineStr"/>
      <c r="E58" s="14" t="inlineStr"/>
      <c r="F58" s="16">
        <f>ROUND(F56+F57,-2)</f>
        <v/>
      </c>
    </row>
    <row r="60">
      <c r="A60" s="26" t="inlineStr">
        <is>
          <t>A.8</t>
        </is>
      </c>
      <c r="B60" s="26" t="inlineStr">
        <is>
          <t>Pembersihan dan perataan lahan dengan excavator</t>
        </is>
      </c>
      <c r="C60" s="27" t="inlineStr">
        <is>
          <t>m²</t>
        </is>
      </c>
      <c r="D60" s="26" t="inlineStr">
        <is>
          <t>Koefisien</t>
        </is>
      </c>
      <c r="E60" s="26" t="inlineStr">
        <is>
          <t>Harga dasar</t>
        </is>
      </c>
      <c r="F60" s="26" t="inlineStr">
        <is>
          <t>Jumlah (Rp)</t>
        </is>
      </c>
    </row>
    <row r="61">
      <c r="A61" s="9" t="inlineStr">
        <is>
          <t>E01</t>
        </is>
      </c>
      <c r="B61" s="9" t="inlineStr">
        <is>
          <t>Sewa excavator PC-100 termasuk operator dan BBM</t>
        </is>
      </c>
      <c r="C61" s="8" t="inlineStr">
        <is>
          <t>jam</t>
        </is>
      </c>
      <c r="D61" s="28" t="n">
        <v>0.004</v>
      </c>
      <c r="E61" s="11">
        <f>'Harga Dasar'!$D$76</f>
        <v/>
      </c>
      <c r="F61" s="12">
        <f>D61*E61</f>
        <v/>
      </c>
    </row>
    <row r="62">
      <c r="A62" s="9" t="inlineStr">
        <is>
          <t>L01</t>
        </is>
      </c>
      <c r="B62" s="9" t="inlineStr">
        <is>
          <t>Pekerja</t>
        </is>
      </c>
      <c r="C62" s="8" t="inlineStr">
        <is>
          <t>OH</t>
        </is>
      </c>
      <c r="D62" s="28" t="n">
        <v>0.005</v>
      </c>
      <c r="E62" s="11">
        <f>'Harga Dasar'!$D$6</f>
        <v/>
      </c>
      <c r="F62" s="12">
        <f>D62*E62</f>
        <v/>
      </c>
    </row>
    <row r="63">
      <c r="B63" s="9" t="inlineStr">
        <is>
          <t>Jumlah upah + bahan + alat</t>
        </is>
      </c>
      <c r="F63" s="12">
        <f>SUM(F61:F62)</f>
        <v/>
      </c>
    </row>
    <row r="64">
      <c r="B64" s="9" t="inlineStr">
        <is>
          <t>Biaya umum dan keuntungan</t>
        </is>
      </c>
      <c r="F64" s="12">
        <f>F63*Petunjuk!$C$15</f>
        <v/>
      </c>
    </row>
    <row r="65">
      <c r="A65" s="14" t="inlineStr"/>
      <c r="B65" s="15" t="inlineStr">
        <is>
          <t>HARGA SATUAN PEKERJAAN per m²</t>
        </is>
      </c>
      <c r="C65" s="14" t="inlineStr"/>
      <c r="D65" s="14" t="inlineStr"/>
      <c r="E65" s="14" t="inlineStr"/>
      <c r="F65" s="16">
        <f>ROUND(F63+F64,-2)</f>
        <v/>
      </c>
    </row>
    <row r="67">
      <c r="A67" s="26" t="inlineStr">
        <is>
          <t>A.9</t>
        </is>
      </c>
      <c r="B67" s="26" t="inlineStr">
        <is>
          <t>Galian embung dengan excavator</t>
        </is>
      </c>
      <c r="C67" s="27" t="inlineStr">
        <is>
          <t>m³</t>
        </is>
      </c>
      <c r="D67" s="26" t="inlineStr">
        <is>
          <t>Koefisien</t>
        </is>
      </c>
      <c r="E67" s="26" t="inlineStr">
        <is>
          <t>Harga dasar</t>
        </is>
      </c>
      <c r="F67" s="26" t="inlineStr">
        <is>
          <t>Jumlah (Rp)</t>
        </is>
      </c>
    </row>
    <row r="68">
      <c r="A68" s="9" t="inlineStr">
        <is>
          <t>E01</t>
        </is>
      </c>
      <c r="B68" s="9" t="inlineStr">
        <is>
          <t>Sewa excavator PC-100 termasuk operator dan BBM</t>
        </is>
      </c>
      <c r="C68" s="8" t="inlineStr">
        <is>
          <t>jam</t>
        </is>
      </c>
      <c r="D68" s="28" t="n">
        <v>0.025</v>
      </c>
      <c r="E68" s="11">
        <f>'Harga Dasar'!$D$76</f>
        <v/>
      </c>
      <c r="F68" s="12">
        <f>D68*E68</f>
        <v/>
      </c>
    </row>
    <row r="69">
      <c r="A69" s="9" t="inlineStr">
        <is>
          <t>L01</t>
        </is>
      </c>
      <c r="B69" s="9" t="inlineStr">
        <is>
          <t>Pekerja</t>
        </is>
      </c>
      <c r="C69" s="8" t="inlineStr">
        <is>
          <t>OH</t>
        </is>
      </c>
      <c r="D69" s="28" t="n">
        <v>0.02</v>
      </c>
      <c r="E69" s="11">
        <f>'Harga Dasar'!$D$6</f>
        <v/>
      </c>
      <c r="F69" s="12">
        <f>D69*E69</f>
        <v/>
      </c>
    </row>
    <row r="70">
      <c r="A70" s="9" t="inlineStr">
        <is>
          <t>L04</t>
        </is>
      </c>
      <c r="B70" s="9" t="inlineStr">
        <is>
          <t>Mandor</t>
        </is>
      </c>
      <c r="C70" s="8" t="inlineStr">
        <is>
          <t>OH</t>
        </is>
      </c>
      <c r="D70" s="28" t="n">
        <v>0.002</v>
      </c>
      <c r="E70" s="11">
        <f>'Harga Dasar'!$D$9</f>
        <v/>
      </c>
      <c r="F70" s="12">
        <f>D70*E70</f>
        <v/>
      </c>
    </row>
    <row r="71">
      <c r="B71" s="9" t="inlineStr">
        <is>
          <t>Jumlah upah + bahan + alat</t>
        </is>
      </c>
      <c r="F71" s="12">
        <f>SUM(F68:F70)</f>
        <v/>
      </c>
    </row>
    <row r="72">
      <c r="B72" s="9" t="inlineStr">
        <is>
          <t>Biaya umum dan keuntungan</t>
        </is>
      </c>
      <c r="F72" s="12">
        <f>F71*Petunjuk!$C$15</f>
        <v/>
      </c>
    </row>
    <row r="73">
      <c r="A73" s="14" t="inlineStr"/>
      <c r="B73" s="15" t="inlineStr">
        <is>
          <t>HARGA SATUAN PEKERJAAN per m³</t>
        </is>
      </c>
      <c r="C73" s="14" t="inlineStr"/>
      <c r="D73" s="14" t="inlineStr"/>
      <c r="E73" s="14" t="inlineStr"/>
      <c r="F73" s="16">
        <f>ROUND(F71+F72,-2)</f>
        <v/>
      </c>
    </row>
    <row r="75">
      <c r="A75" s="26" t="inlineStr">
        <is>
          <t>A.10</t>
        </is>
      </c>
      <c r="B75" s="26" t="inlineStr">
        <is>
          <t>Lapis kerikil garis tetesan atap / drainase</t>
        </is>
      </c>
      <c r="C75" s="27" t="inlineStr">
        <is>
          <t>m³</t>
        </is>
      </c>
      <c r="D75" s="26" t="inlineStr">
        <is>
          <t>Koefisien</t>
        </is>
      </c>
      <c r="E75" s="26" t="inlineStr">
        <is>
          <t>Harga dasar</t>
        </is>
      </c>
      <c r="F75" s="26" t="inlineStr">
        <is>
          <t>Jumlah (Rp)</t>
        </is>
      </c>
    </row>
    <row r="76">
      <c r="A76" s="9" t="inlineStr">
        <is>
          <t>M04</t>
        </is>
      </c>
      <c r="B76" s="9" t="inlineStr">
        <is>
          <t>Kerikil / batu pecah 2/3</t>
        </is>
      </c>
      <c r="C76" s="8" t="inlineStr">
        <is>
          <t>m³</t>
        </is>
      </c>
      <c r="D76" s="28" t="n">
        <v>1.2</v>
      </c>
      <c r="E76" s="11">
        <f>'Harga Dasar'!$D$14</f>
        <v/>
      </c>
      <c r="F76" s="12">
        <f>D76*E76</f>
        <v/>
      </c>
    </row>
    <row r="77">
      <c r="A77" s="9" t="inlineStr">
        <is>
          <t>L01</t>
        </is>
      </c>
      <c r="B77" s="9" t="inlineStr">
        <is>
          <t>Pekerja</t>
        </is>
      </c>
      <c r="C77" s="8" t="inlineStr">
        <is>
          <t>OH</t>
        </is>
      </c>
      <c r="D77" s="28" t="n">
        <v>0.3</v>
      </c>
      <c r="E77" s="11">
        <f>'Harga Dasar'!$D$6</f>
        <v/>
      </c>
      <c r="F77" s="12">
        <f>D77*E77</f>
        <v/>
      </c>
    </row>
    <row r="78">
      <c r="A78" s="9" t="inlineStr">
        <is>
          <t>L04</t>
        </is>
      </c>
      <c r="B78" s="9" t="inlineStr">
        <is>
          <t>Mandor</t>
        </is>
      </c>
      <c r="C78" s="8" t="inlineStr">
        <is>
          <t>OH</t>
        </is>
      </c>
      <c r="D78" s="28" t="n">
        <v>0.01</v>
      </c>
      <c r="E78" s="11">
        <f>'Harga Dasar'!$D$9</f>
        <v/>
      </c>
      <c r="F78" s="12">
        <f>D78*E78</f>
        <v/>
      </c>
    </row>
    <row r="79">
      <c r="B79" s="9" t="inlineStr">
        <is>
          <t>Jumlah upah + bahan + alat</t>
        </is>
      </c>
      <c r="F79" s="12">
        <f>SUM(F76:F78)</f>
        <v/>
      </c>
    </row>
    <row r="80">
      <c r="B80" s="9" t="inlineStr">
        <is>
          <t>Biaya umum dan keuntungan</t>
        </is>
      </c>
      <c r="F80" s="12">
        <f>F79*Petunjuk!$C$15</f>
        <v/>
      </c>
    </row>
    <row r="81">
      <c r="A81" s="14" t="inlineStr"/>
      <c r="B81" s="15" t="inlineStr">
        <is>
          <t>HARGA SATUAN PEKERJAAN per m³</t>
        </is>
      </c>
      <c r="C81" s="14" t="inlineStr"/>
      <c r="D81" s="14" t="inlineStr"/>
      <c r="E81" s="14" t="inlineStr"/>
      <c r="F81" s="16">
        <f>ROUND(F79+F80,-2)</f>
        <v/>
      </c>
    </row>
    <row r="83">
      <c r="A83" s="26" t="inlineStr">
        <is>
          <t>B.1</t>
        </is>
      </c>
      <c r="B83" s="26" t="inlineStr">
        <is>
          <t>Beton K-100 (lantai kerja)</t>
        </is>
      </c>
      <c r="C83" s="27" t="inlineStr">
        <is>
          <t>m³</t>
        </is>
      </c>
      <c r="D83" s="26" t="inlineStr">
        <is>
          <t>Koefisien</t>
        </is>
      </c>
      <c r="E83" s="26" t="inlineStr">
        <is>
          <t>Harga dasar</t>
        </is>
      </c>
      <c r="F83" s="26" t="inlineStr">
        <is>
          <t>Jumlah (Rp)</t>
        </is>
      </c>
    </row>
    <row r="84">
      <c r="A84" s="9" t="inlineStr">
        <is>
          <t>M01</t>
        </is>
      </c>
      <c r="B84" s="9" t="inlineStr">
        <is>
          <t>Semen Portland (zak 40 kg = Rp 62.000)</t>
        </is>
      </c>
      <c r="C84" s="8" t="inlineStr">
        <is>
          <t>kg</t>
        </is>
      </c>
      <c r="D84" s="28" t="n">
        <v>247</v>
      </c>
      <c r="E84" s="11">
        <f>'Harga Dasar'!$D$11</f>
        <v/>
      </c>
      <c r="F84" s="12">
        <f>D84*E84</f>
        <v/>
      </c>
    </row>
    <row r="85">
      <c r="A85" s="9" t="inlineStr">
        <is>
          <t>M02</t>
        </is>
      </c>
      <c r="B85" s="9" t="inlineStr">
        <is>
          <t>Pasir pasang / pasir beton</t>
        </is>
      </c>
      <c r="C85" s="8" t="inlineStr">
        <is>
          <t>m³</t>
        </is>
      </c>
      <c r="D85" s="28" t="n">
        <v>0.621</v>
      </c>
      <c r="E85" s="11">
        <f>'Harga Dasar'!$D$12</f>
        <v/>
      </c>
      <c r="F85" s="12">
        <f>D85*E85</f>
        <v/>
      </c>
    </row>
    <row r="86">
      <c r="A86" s="9" t="inlineStr">
        <is>
          <t>M04</t>
        </is>
      </c>
      <c r="B86" s="9" t="inlineStr">
        <is>
          <t>Kerikil / batu pecah 2/3</t>
        </is>
      </c>
      <c r="C86" s="8" t="inlineStr">
        <is>
          <t>m³</t>
        </is>
      </c>
      <c r="D86" s="28" t="n">
        <v>0.74</v>
      </c>
      <c r="E86" s="11">
        <f>'Harga Dasar'!$D$14</f>
        <v/>
      </c>
      <c r="F86" s="12">
        <f>D86*E86</f>
        <v/>
      </c>
    </row>
    <row r="87">
      <c r="A87" s="9" t="inlineStr">
        <is>
          <t>L01</t>
        </is>
      </c>
      <c r="B87" s="9" t="inlineStr">
        <is>
          <t>Pekerja</t>
        </is>
      </c>
      <c r="C87" s="8" t="inlineStr">
        <is>
          <t>OH</t>
        </is>
      </c>
      <c r="D87" s="28" t="n">
        <v>1.65</v>
      </c>
      <c r="E87" s="11">
        <f>'Harga Dasar'!$D$6</f>
        <v/>
      </c>
      <c r="F87" s="12">
        <f>D87*E87</f>
        <v/>
      </c>
    </row>
    <row r="88">
      <c r="A88" s="9" t="inlineStr">
        <is>
          <t>L02</t>
        </is>
      </c>
      <c r="B88" s="9" t="inlineStr">
        <is>
          <t>Tukang (batu/kayu/besi/las)</t>
        </is>
      </c>
      <c r="C88" s="8" t="inlineStr">
        <is>
          <t>OH</t>
        </is>
      </c>
      <c r="D88" s="28" t="n">
        <v>0.275</v>
      </c>
      <c r="E88" s="11">
        <f>'Harga Dasar'!$D$7</f>
        <v/>
      </c>
      <c r="F88" s="12">
        <f>D88*E88</f>
        <v/>
      </c>
    </row>
    <row r="89">
      <c r="A89" s="9" t="inlineStr">
        <is>
          <t>L03</t>
        </is>
      </c>
      <c r="B89" s="9" t="inlineStr">
        <is>
          <t>Kepala tukang</t>
        </is>
      </c>
      <c r="C89" s="8" t="inlineStr">
        <is>
          <t>OH</t>
        </is>
      </c>
      <c r="D89" s="28" t="n">
        <v>0.028</v>
      </c>
      <c r="E89" s="11">
        <f>'Harga Dasar'!$D$8</f>
        <v/>
      </c>
      <c r="F89" s="12">
        <f>D89*E89</f>
        <v/>
      </c>
    </row>
    <row r="90">
      <c r="A90" s="9" t="inlineStr">
        <is>
          <t>L04</t>
        </is>
      </c>
      <c r="B90" s="9" t="inlineStr">
        <is>
          <t>Mandor</t>
        </is>
      </c>
      <c r="C90" s="8" t="inlineStr">
        <is>
          <t>OH</t>
        </is>
      </c>
      <c r="D90" s="28" t="n">
        <v>0.083</v>
      </c>
      <c r="E90" s="11">
        <f>'Harga Dasar'!$D$9</f>
        <v/>
      </c>
      <c r="F90" s="12">
        <f>D90*E90</f>
        <v/>
      </c>
    </row>
    <row r="91">
      <c r="B91" s="9" t="inlineStr">
        <is>
          <t>Jumlah upah + bahan + alat</t>
        </is>
      </c>
      <c r="F91" s="12">
        <f>SUM(F84:F90)</f>
        <v/>
      </c>
    </row>
    <row r="92">
      <c r="B92" s="9" t="inlineStr">
        <is>
          <t>Biaya umum dan keuntungan</t>
        </is>
      </c>
      <c r="F92" s="12">
        <f>F91*Petunjuk!$C$15</f>
        <v/>
      </c>
    </row>
    <row r="93">
      <c r="A93" s="14" t="inlineStr"/>
      <c r="B93" s="15" t="inlineStr">
        <is>
          <t>HARGA SATUAN PEKERJAAN per m³</t>
        </is>
      </c>
      <c r="C93" s="14" t="inlineStr"/>
      <c r="D93" s="14" t="inlineStr"/>
      <c r="E93" s="14" t="inlineStr"/>
      <c r="F93" s="16">
        <f>ROUND(F91+F92,-2)</f>
        <v/>
      </c>
    </row>
    <row r="95">
      <c r="A95" s="26" t="inlineStr">
        <is>
          <t>B.2</t>
        </is>
      </c>
      <c r="B95" s="26" t="inlineStr">
        <is>
          <t>Beton K-175 (lantai)</t>
        </is>
      </c>
      <c r="C95" s="27" t="inlineStr">
        <is>
          <t>m³</t>
        </is>
      </c>
      <c r="D95" s="26" t="inlineStr">
        <is>
          <t>Koefisien</t>
        </is>
      </c>
      <c r="E95" s="26" t="inlineStr">
        <is>
          <t>Harga dasar</t>
        </is>
      </c>
      <c r="F95" s="26" t="inlineStr">
        <is>
          <t>Jumlah (Rp)</t>
        </is>
      </c>
    </row>
    <row r="96">
      <c r="A96" s="9" t="inlineStr">
        <is>
          <t>M01</t>
        </is>
      </c>
      <c r="B96" s="9" t="inlineStr">
        <is>
          <t>Semen Portland (zak 40 kg = Rp 62.000)</t>
        </is>
      </c>
      <c r="C96" s="8" t="inlineStr">
        <is>
          <t>kg</t>
        </is>
      </c>
      <c r="D96" s="28" t="n">
        <v>326</v>
      </c>
      <c r="E96" s="11">
        <f>'Harga Dasar'!$D$11</f>
        <v/>
      </c>
      <c r="F96" s="12">
        <f>D96*E96</f>
        <v/>
      </c>
    </row>
    <row r="97">
      <c r="A97" s="9" t="inlineStr">
        <is>
          <t>M02</t>
        </is>
      </c>
      <c r="B97" s="9" t="inlineStr">
        <is>
          <t>Pasir pasang / pasir beton</t>
        </is>
      </c>
      <c r="C97" s="8" t="inlineStr">
        <is>
          <t>m³</t>
        </is>
      </c>
      <c r="D97" s="28" t="n">
        <v>0.543</v>
      </c>
      <c r="E97" s="11">
        <f>'Harga Dasar'!$D$12</f>
        <v/>
      </c>
      <c r="F97" s="12">
        <f>D97*E97</f>
        <v/>
      </c>
    </row>
    <row r="98">
      <c r="A98" s="9" t="inlineStr">
        <is>
          <t>M04</t>
        </is>
      </c>
      <c r="B98" s="9" t="inlineStr">
        <is>
          <t>Kerikil / batu pecah 2/3</t>
        </is>
      </c>
      <c r="C98" s="8" t="inlineStr">
        <is>
          <t>m³</t>
        </is>
      </c>
      <c r="D98" s="28" t="n">
        <v>0.762</v>
      </c>
      <c r="E98" s="11">
        <f>'Harga Dasar'!$D$14</f>
        <v/>
      </c>
      <c r="F98" s="12">
        <f>D98*E98</f>
        <v/>
      </c>
    </row>
    <row r="99">
      <c r="A99" s="9" t="inlineStr">
        <is>
          <t>L01</t>
        </is>
      </c>
      <c r="B99" s="9" t="inlineStr">
        <is>
          <t>Pekerja</t>
        </is>
      </c>
      <c r="C99" s="8" t="inlineStr">
        <is>
          <t>OH</t>
        </is>
      </c>
      <c r="D99" s="28" t="n">
        <v>1.65</v>
      </c>
      <c r="E99" s="11">
        <f>'Harga Dasar'!$D$6</f>
        <v/>
      </c>
      <c r="F99" s="12">
        <f>D99*E99</f>
        <v/>
      </c>
    </row>
    <row r="100">
      <c r="A100" s="9" t="inlineStr">
        <is>
          <t>L02</t>
        </is>
      </c>
      <c r="B100" s="9" t="inlineStr">
        <is>
          <t>Tukang (batu/kayu/besi/las)</t>
        </is>
      </c>
      <c r="C100" s="8" t="inlineStr">
        <is>
          <t>OH</t>
        </is>
      </c>
      <c r="D100" s="28" t="n">
        <v>0.275</v>
      </c>
      <c r="E100" s="11">
        <f>'Harga Dasar'!$D$7</f>
        <v/>
      </c>
      <c r="F100" s="12">
        <f>D100*E100</f>
        <v/>
      </c>
    </row>
    <row r="101">
      <c r="A101" s="9" t="inlineStr">
        <is>
          <t>L03</t>
        </is>
      </c>
      <c r="B101" s="9" t="inlineStr">
        <is>
          <t>Kepala tukang</t>
        </is>
      </c>
      <c r="C101" s="8" t="inlineStr">
        <is>
          <t>OH</t>
        </is>
      </c>
      <c r="D101" s="28" t="n">
        <v>0.028</v>
      </c>
      <c r="E101" s="11">
        <f>'Harga Dasar'!$D$8</f>
        <v/>
      </c>
      <c r="F101" s="12">
        <f>D101*E101</f>
        <v/>
      </c>
    </row>
    <row r="102">
      <c r="A102" s="9" t="inlineStr">
        <is>
          <t>L04</t>
        </is>
      </c>
      <c r="B102" s="9" t="inlineStr">
        <is>
          <t>Mandor</t>
        </is>
      </c>
      <c r="C102" s="8" t="inlineStr">
        <is>
          <t>OH</t>
        </is>
      </c>
      <c r="D102" s="28" t="n">
        <v>0.083</v>
      </c>
      <c r="E102" s="11">
        <f>'Harga Dasar'!$D$9</f>
        <v/>
      </c>
      <c r="F102" s="12">
        <f>D102*E102</f>
        <v/>
      </c>
    </row>
    <row r="103">
      <c r="B103" s="9" t="inlineStr">
        <is>
          <t>Jumlah upah + bahan + alat</t>
        </is>
      </c>
      <c r="F103" s="12">
        <f>SUM(F96:F102)</f>
        <v/>
      </c>
    </row>
    <row r="104">
      <c r="B104" s="9" t="inlineStr">
        <is>
          <t>Biaya umum dan keuntungan</t>
        </is>
      </c>
      <c r="F104" s="12">
        <f>F103*Petunjuk!$C$15</f>
        <v/>
      </c>
    </row>
    <row r="105">
      <c r="A105" s="14" t="inlineStr"/>
      <c r="B105" s="15" t="inlineStr">
        <is>
          <t>HARGA SATUAN PEKERJAAN per m³</t>
        </is>
      </c>
      <c r="C105" s="14" t="inlineStr"/>
      <c r="D105" s="14" t="inlineStr"/>
      <c r="E105" s="14" t="inlineStr"/>
      <c r="F105" s="16">
        <f>ROUND(F103+F104,-2)</f>
        <v/>
      </c>
    </row>
    <row r="107">
      <c r="A107" s="26" t="inlineStr">
        <is>
          <t>B.3</t>
        </is>
      </c>
      <c r="B107" s="26" t="inlineStr">
        <is>
          <t>Beton K-225 (footplat, kolom, sloof, ring balk)</t>
        </is>
      </c>
      <c r="C107" s="27" t="inlineStr">
        <is>
          <t>m³</t>
        </is>
      </c>
      <c r="D107" s="26" t="inlineStr">
        <is>
          <t>Koefisien</t>
        </is>
      </c>
      <c r="E107" s="26" t="inlineStr">
        <is>
          <t>Harga dasar</t>
        </is>
      </c>
      <c r="F107" s="26" t="inlineStr">
        <is>
          <t>Jumlah (Rp)</t>
        </is>
      </c>
    </row>
    <row r="108">
      <c r="A108" s="9" t="inlineStr">
        <is>
          <t>M01</t>
        </is>
      </c>
      <c r="B108" s="9" t="inlineStr">
        <is>
          <t>Semen Portland (zak 40 kg = Rp 62.000)</t>
        </is>
      </c>
      <c r="C108" s="8" t="inlineStr">
        <is>
          <t>kg</t>
        </is>
      </c>
      <c r="D108" s="28" t="n">
        <v>371</v>
      </c>
      <c r="E108" s="11">
        <f>'Harga Dasar'!$D$11</f>
        <v/>
      </c>
      <c r="F108" s="12">
        <f>D108*E108</f>
        <v/>
      </c>
    </row>
    <row r="109">
      <c r="A109" s="9" t="inlineStr">
        <is>
          <t>M02</t>
        </is>
      </c>
      <c r="B109" s="9" t="inlineStr">
        <is>
          <t>Pasir pasang / pasir beton</t>
        </is>
      </c>
      <c r="C109" s="8" t="inlineStr">
        <is>
          <t>m³</t>
        </is>
      </c>
      <c r="D109" s="28" t="n">
        <v>0.499</v>
      </c>
      <c r="E109" s="11">
        <f>'Harga Dasar'!$D$12</f>
        <v/>
      </c>
      <c r="F109" s="12">
        <f>D109*E109</f>
        <v/>
      </c>
    </row>
    <row r="110">
      <c r="A110" s="9" t="inlineStr">
        <is>
          <t>M04</t>
        </is>
      </c>
      <c r="B110" s="9" t="inlineStr">
        <is>
          <t>Kerikil / batu pecah 2/3</t>
        </is>
      </c>
      <c r="C110" s="8" t="inlineStr">
        <is>
          <t>m³</t>
        </is>
      </c>
      <c r="D110" s="28" t="n">
        <v>0.776</v>
      </c>
      <c r="E110" s="11">
        <f>'Harga Dasar'!$D$14</f>
        <v/>
      </c>
      <c r="F110" s="12">
        <f>D110*E110</f>
        <v/>
      </c>
    </row>
    <row r="111">
      <c r="A111" s="9" t="inlineStr">
        <is>
          <t>L01</t>
        </is>
      </c>
      <c r="B111" s="9" t="inlineStr">
        <is>
          <t>Pekerja</t>
        </is>
      </c>
      <c r="C111" s="8" t="inlineStr">
        <is>
          <t>OH</t>
        </is>
      </c>
      <c r="D111" s="28" t="n">
        <v>1.65</v>
      </c>
      <c r="E111" s="11">
        <f>'Harga Dasar'!$D$6</f>
        <v/>
      </c>
      <c r="F111" s="12">
        <f>D111*E111</f>
        <v/>
      </c>
    </row>
    <row r="112">
      <c r="A112" s="9" t="inlineStr">
        <is>
          <t>L02</t>
        </is>
      </c>
      <c r="B112" s="9" t="inlineStr">
        <is>
          <t>Tukang (batu/kayu/besi/las)</t>
        </is>
      </c>
      <c r="C112" s="8" t="inlineStr">
        <is>
          <t>OH</t>
        </is>
      </c>
      <c r="D112" s="28" t="n">
        <v>0.275</v>
      </c>
      <c r="E112" s="11">
        <f>'Harga Dasar'!$D$7</f>
        <v/>
      </c>
      <c r="F112" s="12">
        <f>D112*E112</f>
        <v/>
      </c>
    </row>
    <row r="113">
      <c r="A113" s="9" t="inlineStr">
        <is>
          <t>L03</t>
        </is>
      </c>
      <c r="B113" s="9" t="inlineStr">
        <is>
          <t>Kepala tukang</t>
        </is>
      </c>
      <c r="C113" s="8" t="inlineStr">
        <is>
          <t>OH</t>
        </is>
      </c>
      <c r="D113" s="28" t="n">
        <v>0.028</v>
      </c>
      <c r="E113" s="11">
        <f>'Harga Dasar'!$D$8</f>
        <v/>
      </c>
      <c r="F113" s="12">
        <f>D113*E113</f>
        <v/>
      </c>
    </row>
    <row r="114">
      <c r="A114" s="9" t="inlineStr">
        <is>
          <t>L04</t>
        </is>
      </c>
      <c r="B114" s="9" t="inlineStr">
        <is>
          <t>Mandor</t>
        </is>
      </c>
      <c r="C114" s="8" t="inlineStr">
        <is>
          <t>OH</t>
        </is>
      </c>
      <c r="D114" s="28" t="n">
        <v>0.083</v>
      </c>
      <c r="E114" s="11">
        <f>'Harga Dasar'!$D$9</f>
        <v/>
      </c>
      <c r="F114" s="12">
        <f>D114*E114</f>
        <v/>
      </c>
    </row>
    <row r="115">
      <c r="B115" s="9" t="inlineStr">
        <is>
          <t>Jumlah upah + bahan + alat</t>
        </is>
      </c>
      <c r="F115" s="12">
        <f>SUM(F108:F114)</f>
        <v/>
      </c>
    </row>
    <row r="116">
      <c r="B116" s="9" t="inlineStr">
        <is>
          <t>Biaya umum dan keuntungan</t>
        </is>
      </c>
      <c r="F116" s="12">
        <f>F115*Petunjuk!$C$15</f>
        <v/>
      </c>
    </row>
    <row r="117">
      <c r="A117" s="14" t="inlineStr"/>
      <c r="B117" s="15" t="inlineStr">
        <is>
          <t>HARGA SATUAN PEKERJAAN per m³</t>
        </is>
      </c>
      <c r="C117" s="14" t="inlineStr"/>
      <c r="D117" s="14" t="inlineStr"/>
      <c r="E117" s="14" t="inlineStr"/>
      <c r="F117" s="16">
        <f>ROUND(F115+F116,-2)</f>
        <v/>
      </c>
    </row>
    <row r="119">
      <c r="A119" s="26" t="inlineStr">
        <is>
          <t>B.4</t>
        </is>
      </c>
      <c r="B119" s="26" t="inlineStr">
        <is>
          <t>Pembesian besi polos/ulir</t>
        </is>
      </c>
      <c r="C119" s="27" t="inlineStr">
        <is>
          <t>kg</t>
        </is>
      </c>
      <c r="D119" s="26" t="inlineStr">
        <is>
          <t>Koefisien</t>
        </is>
      </c>
      <c r="E119" s="26" t="inlineStr">
        <is>
          <t>Harga dasar</t>
        </is>
      </c>
      <c r="F119" s="26" t="inlineStr">
        <is>
          <t>Jumlah (Rp)</t>
        </is>
      </c>
    </row>
    <row r="120">
      <c r="A120" s="9" t="inlineStr">
        <is>
          <t>M08</t>
        </is>
      </c>
      <c r="B120" s="9" t="inlineStr">
        <is>
          <t>Besi beton polos/ulir</t>
        </is>
      </c>
      <c r="C120" s="8" t="inlineStr">
        <is>
          <t>kg</t>
        </is>
      </c>
      <c r="D120" s="28" t="n">
        <v>1.05</v>
      </c>
      <c r="E120" s="11">
        <f>'Harga Dasar'!$D$18</f>
        <v/>
      </c>
      <c r="F120" s="12">
        <f>D120*E120</f>
        <v/>
      </c>
    </row>
    <row r="121">
      <c r="A121" s="9" t="inlineStr">
        <is>
          <t>M09</t>
        </is>
      </c>
      <c r="B121" s="9" t="inlineStr">
        <is>
          <t>Kawat bendrat</t>
        </is>
      </c>
      <c r="C121" s="8" t="inlineStr">
        <is>
          <t>kg</t>
        </is>
      </c>
      <c r="D121" s="28" t="n">
        <v>0.015</v>
      </c>
      <c r="E121" s="11">
        <f>'Harga Dasar'!$D$19</f>
        <v/>
      </c>
      <c r="F121" s="12">
        <f>D121*E121</f>
        <v/>
      </c>
    </row>
    <row r="122">
      <c r="A122" s="9" t="inlineStr">
        <is>
          <t>L01</t>
        </is>
      </c>
      <c r="B122" s="9" t="inlineStr">
        <is>
          <t>Pekerja</t>
        </is>
      </c>
      <c r="C122" s="8" t="inlineStr">
        <is>
          <t>OH</t>
        </is>
      </c>
      <c r="D122" s="28" t="n">
        <v>0.007</v>
      </c>
      <c r="E122" s="11">
        <f>'Harga Dasar'!$D$6</f>
        <v/>
      </c>
      <c r="F122" s="12">
        <f>D122*E122</f>
        <v/>
      </c>
    </row>
    <row r="123">
      <c r="A123" s="9" t="inlineStr">
        <is>
          <t>L02</t>
        </is>
      </c>
      <c r="B123" s="9" t="inlineStr">
        <is>
          <t>Tukang (batu/kayu/besi/las)</t>
        </is>
      </c>
      <c r="C123" s="8" t="inlineStr">
        <is>
          <t>OH</t>
        </is>
      </c>
      <c r="D123" s="28" t="n">
        <v>0.007</v>
      </c>
      <c r="E123" s="11">
        <f>'Harga Dasar'!$D$7</f>
        <v/>
      </c>
      <c r="F123" s="12">
        <f>D123*E123</f>
        <v/>
      </c>
    </row>
    <row r="124">
      <c r="A124" s="9" t="inlineStr">
        <is>
          <t>L03</t>
        </is>
      </c>
      <c r="B124" s="9" t="inlineStr">
        <is>
          <t>Kepala tukang</t>
        </is>
      </c>
      <c r="C124" s="8" t="inlineStr">
        <is>
          <t>OH</t>
        </is>
      </c>
      <c r="D124" s="28" t="n">
        <v>0.0007</v>
      </c>
      <c r="E124" s="11">
        <f>'Harga Dasar'!$D$8</f>
        <v/>
      </c>
      <c r="F124" s="12">
        <f>D124*E124</f>
        <v/>
      </c>
    </row>
    <row r="125">
      <c r="A125" s="9" t="inlineStr">
        <is>
          <t>L04</t>
        </is>
      </c>
      <c r="B125" s="9" t="inlineStr">
        <is>
          <t>Mandor</t>
        </is>
      </c>
      <c r="C125" s="8" t="inlineStr">
        <is>
          <t>OH</t>
        </is>
      </c>
      <c r="D125" s="28" t="n">
        <v>0.0004</v>
      </c>
      <c r="E125" s="11">
        <f>'Harga Dasar'!$D$9</f>
        <v/>
      </c>
      <c r="F125" s="12">
        <f>D125*E125</f>
        <v/>
      </c>
    </row>
    <row r="126">
      <c r="B126" s="9" t="inlineStr">
        <is>
          <t>Jumlah upah + bahan + alat</t>
        </is>
      </c>
      <c r="F126" s="12">
        <f>SUM(F120:F125)</f>
        <v/>
      </c>
    </row>
    <row r="127">
      <c r="B127" s="9" t="inlineStr">
        <is>
          <t>Biaya umum dan keuntungan</t>
        </is>
      </c>
      <c r="F127" s="12">
        <f>F126*Petunjuk!$C$15</f>
        <v/>
      </c>
    </row>
    <row r="128">
      <c r="A128" s="14" t="inlineStr"/>
      <c r="B128" s="15" t="inlineStr">
        <is>
          <t>HARGA SATUAN PEKERJAAN per kg</t>
        </is>
      </c>
      <c r="C128" s="14" t="inlineStr"/>
      <c r="D128" s="14" t="inlineStr"/>
      <c r="E128" s="14" t="inlineStr"/>
      <c r="F128" s="16">
        <f>ROUND(F126+F127,-2)</f>
        <v/>
      </c>
    </row>
    <row r="130">
      <c r="A130" s="26" t="inlineStr">
        <is>
          <t>B.5</t>
        </is>
      </c>
      <c r="B130" s="26" t="inlineStr">
        <is>
          <t>Bekisting (kayu dipakai ulang ±3 kali)</t>
        </is>
      </c>
      <c r="C130" s="27" t="inlineStr">
        <is>
          <t>m²</t>
        </is>
      </c>
      <c r="D130" s="26" t="inlineStr">
        <is>
          <t>Koefisien</t>
        </is>
      </c>
      <c r="E130" s="26" t="inlineStr">
        <is>
          <t>Harga dasar</t>
        </is>
      </c>
      <c r="F130" s="26" t="inlineStr">
        <is>
          <t>Jumlah (Rp)</t>
        </is>
      </c>
    </row>
    <row r="131">
      <c r="A131" s="9" t="inlineStr">
        <is>
          <t>M10</t>
        </is>
      </c>
      <c r="B131" s="9" t="inlineStr">
        <is>
          <t>Kayu kelas III (bekisting, papan)</t>
        </is>
      </c>
      <c r="C131" s="8" t="inlineStr">
        <is>
          <t>m³</t>
        </is>
      </c>
      <c r="D131" s="28" t="n">
        <v>0.02</v>
      </c>
      <c r="E131" s="11">
        <f>'Harga Dasar'!$D$20</f>
        <v/>
      </c>
      <c r="F131" s="12">
        <f>D131*E131</f>
        <v/>
      </c>
    </row>
    <row r="132">
      <c r="A132" s="9" t="inlineStr">
        <is>
          <t>M12</t>
        </is>
      </c>
      <c r="B132" s="9" t="inlineStr">
        <is>
          <t>Paku campur</t>
        </is>
      </c>
      <c r="C132" s="8" t="inlineStr">
        <is>
          <t>kg</t>
        </is>
      </c>
      <c r="D132" s="28" t="n">
        <v>0.3</v>
      </c>
      <c r="E132" s="11">
        <f>'Harga Dasar'!$D$22</f>
        <v/>
      </c>
      <c r="F132" s="12">
        <f>D132*E132</f>
        <v/>
      </c>
    </row>
    <row r="133">
      <c r="A133" s="9" t="inlineStr">
        <is>
          <t>M13</t>
        </is>
      </c>
      <c r="B133" s="9" t="inlineStr">
        <is>
          <t>Minyak bekisting</t>
        </is>
      </c>
      <c r="C133" s="8" t="inlineStr">
        <is>
          <t>liter</t>
        </is>
      </c>
      <c r="D133" s="28" t="n">
        <v>0.1</v>
      </c>
      <c r="E133" s="11">
        <f>'Harga Dasar'!$D$23</f>
        <v/>
      </c>
      <c r="F133" s="12">
        <f>D133*E133</f>
        <v/>
      </c>
    </row>
    <row r="134">
      <c r="A134" s="9" t="inlineStr">
        <is>
          <t>L01</t>
        </is>
      </c>
      <c r="B134" s="9" t="inlineStr">
        <is>
          <t>Pekerja</t>
        </is>
      </c>
      <c r="C134" s="8" t="inlineStr">
        <is>
          <t>OH</t>
        </is>
      </c>
      <c r="D134" s="28" t="n">
        <v>0.6</v>
      </c>
      <c r="E134" s="11">
        <f>'Harga Dasar'!$D$6</f>
        <v/>
      </c>
      <c r="F134" s="12">
        <f>D134*E134</f>
        <v/>
      </c>
    </row>
    <row r="135">
      <c r="A135" s="9" t="inlineStr">
        <is>
          <t>L02</t>
        </is>
      </c>
      <c r="B135" s="9" t="inlineStr">
        <is>
          <t>Tukang (batu/kayu/besi/las)</t>
        </is>
      </c>
      <c r="C135" s="8" t="inlineStr">
        <is>
          <t>OH</t>
        </is>
      </c>
      <c r="D135" s="28" t="n">
        <v>0.3</v>
      </c>
      <c r="E135" s="11">
        <f>'Harga Dasar'!$D$7</f>
        <v/>
      </c>
      <c r="F135" s="12">
        <f>D135*E135</f>
        <v/>
      </c>
    </row>
    <row r="136">
      <c r="A136" s="9" t="inlineStr">
        <is>
          <t>L03</t>
        </is>
      </c>
      <c r="B136" s="9" t="inlineStr">
        <is>
          <t>Kepala tukang</t>
        </is>
      </c>
      <c r="C136" s="8" t="inlineStr">
        <is>
          <t>OH</t>
        </is>
      </c>
      <c r="D136" s="28" t="n">
        <v>0.03</v>
      </c>
      <c r="E136" s="11">
        <f>'Harga Dasar'!$D$8</f>
        <v/>
      </c>
      <c r="F136" s="12">
        <f>D136*E136</f>
        <v/>
      </c>
    </row>
    <row r="137">
      <c r="A137" s="9" t="inlineStr">
        <is>
          <t>L04</t>
        </is>
      </c>
      <c r="B137" s="9" t="inlineStr">
        <is>
          <t>Mandor</t>
        </is>
      </c>
      <c r="C137" s="8" t="inlineStr">
        <is>
          <t>OH</t>
        </is>
      </c>
      <c r="D137" s="28" t="n">
        <v>0.03</v>
      </c>
      <c r="E137" s="11">
        <f>'Harga Dasar'!$D$9</f>
        <v/>
      </c>
      <c r="F137" s="12">
        <f>D137*E137</f>
        <v/>
      </c>
    </row>
    <row r="138">
      <c r="B138" s="9" t="inlineStr">
        <is>
          <t>Jumlah upah + bahan + alat</t>
        </is>
      </c>
      <c r="F138" s="12">
        <f>SUM(F131:F137)</f>
        <v/>
      </c>
    </row>
    <row r="139">
      <c r="B139" s="9" t="inlineStr">
        <is>
          <t>Biaya umum dan keuntungan</t>
        </is>
      </c>
      <c r="F139" s="12">
        <f>F138*Petunjuk!$C$15</f>
        <v/>
      </c>
    </row>
    <row r="140">
      <c r="A140" s="14" t="inlineStr"/>
      <c r="B140" s="15" t="inlineStr">
        <is>
          <t>HARGA SATUAN PEKERJAAN per m²</t>
        </is>
      </c>
      <c r="C140" s="14" t="inlineStr"/>
      <c r="D140" s="14" t="inlineStr"/>
      <c r="E140" s="14" t="inlineStr"/>
      <c r="F140" s="16">
        <f>ROUND(F138+F139,-2)</f>
        <v/>
      </c>
    </row>
    <row r="142">
      <c r="A142" s="26" t="inlineStr">
        <is>
          <t>C.1</t>
        </is>
      </c>
      <c r="B142" s="26" t="inlineStr">
        <is>
          <t>Pasangan bata merah 1/2 bata, 1PC : 4PP</t>
        </is>
      </c>
      <c r="C142" s="27" t="inlineStr">
        <is>
          <t>m²</t>
        </is>
      </c>
      <c r="D142" s="26" t="inlineStr">
        <is>
          <t>Koefisien</t>
        </is>
      </c>
      <c r="E142" s="26" t="inlineStr">
        <is>
          <t>Harga dasar</t>
        </is>
      </c>
      <c r="F142" s="26" t="inlineStr">
        <is>
          <t>Jumlah (Rp)</t>
        </is>
      </c>
    </row>
    <row r="143">
      <c r="A143" s="9" t="inlineStr">
        <is>
          <t>M07</t>
        </is>
      </c>
      <c r="B143" s="9" t="inlineStr">
        <is>
          <t>Batu bata merah</t>
        </is>
      </c>
      <c r="C143" s="8" t="inlineStr">
        <is>
          <t>bh</t>
        </is>
      </c>
      <c r="D143" s="28" t="n">
        <v>70</v>
      </c>
      <c r="E143" s="11">
        <f>'Harga Dasar'!$D$17</f>
        <v/>
      </c>
      <c r="F143" s="12">
        <f>D143*E143</f>
        <v/>
      </c>
    </row>
    <row r="144">
      <c r="A144" s="9" t="inlineStr">
        <is>
          <t>M01</t>
        </is>
      </c>
      <c r="B144" s="9" t="inlineStr">
        <is>
          <t>Semen Portland (zak 40 kg = Rp 62.000)</t>
        </is>
      </c>
      <c r="C144" s="8" t="inlineStr">
        <is>
          <t>kg</t>
        </is>
      </c>
      <c r="D144" s="28" t="n">
        <v>11.5</v>
      </c>
      <c r="E144" s="11">
        <f>'Harga Dasar'!$D$11</f>
        <v/>
      </c>
      <c r="F144" s="12">
        <f>D144*E144</f>
        <v/>
      </c>
    </row>
    <row r="145">
      <c r="A145" s="9" t="inlineStr">
        <is>
          <t>M02</t>
        </is>
      </c>
      <c r="B145" s="9" t="inlineStr">
        <is>
          <t>Pasir pasang / pasir beton</t>
        </is>
      </c>
      <c r="C145" s="8" t="inlineStr">
        <is>
          <t>m³</t>
        </is>
      </c>
      <c r="D145" s="28" t="n">
        <v>0.043</v>
      </c>
      <c r="E145" s="11">
        <f>'Harga Dasar'!$D$12</f>
        <v/>
      </c>
      <c r="F145" s="12">
        <f>D145*E145</f>
        <v/>
      </c>
    </row>
    <row r="146">
      <c r="A146" s="9" t="inlineStr">
        <is>
          <t>L01</t>
        </is>
      </c>
      <c r="B146" s="9" t="inlineStr">
        <is>
          <t>Pekerja</t>
        </is>
      </c>
      <c r="C146" s="8" t="inlineStr">
        <is>
          <t>OH</t>
        </is>
      </c>
      <c r="D146" s="28" t="n">
        <v>0.3</v>
      </c>
      <c r="E146" s="11">
        <f>'Harga Dasar'!$D$6</f>
        <v/>
      </c>
      <c r="F146" s="12">
        <f>D146*E146</f>
        <v/>
      </c>
    </row>
    <row r="147">
      <c r="A147" s="9" t="inlineStr">
        <is>
          <t>L02</t>
        </is>
      </c>
      <c r="B147" s="9" t="inlineStr">
        <is>
          <t>Tukang (batu/kayu/besi/las)</t>
        </is>
      </c>
      <c r="C147" s="8" t="inlineStr">
        <is>
          <t>OH</t>
        </is>
      </c>
      <c r="D147" s="28" t="n">
        <v>0.1</v>
      </c>
      <c r="E147" s="11">
        <f>'Harga Dasar'!$D$7</f>
        <v/>
      </c>
      <c r="F147" s="12">
        <f>D147*E147</f>
        <v/>
      </c>
    </row>
    <row r="148">
      <c r="A148" s="9" t="inlineStr">
        <is>
          <t>L03</t>
        </is>
      </c>
      <c r="B148" s="9" t="inlineStr">
        <is>
          <t>Kepala tukang</t>
        </is>
      </c>
      <c r="C148" s="8" t="inlineStr">
        <is>
          <t>OH</t>
        </is>
      </c>
      <c r="D148" s="28" t="n">
        <v>0.01</v>
      </c>
      <c r="E148" s="11">
        <f>'Harga Dasar'!$D$8</f>
        <v/>
      </c>
      <c r="F148" s="12">
        <f>D148*E148</f>
        <v/>
      </c>
    </row>
    <row r="149">
      <c r="A149" s="9" t="inlineStr">
        <is>
          <t>L04</t>
        </is>
      </c>
      <c r="B149" s="9" t="inlineStr">
        <is>
          <t>Mandor</t>
        </is>
      </c>
      <c r="C149" s="8" t="inlineStr">
        <is>
          <t>OH</t>
        </is>
      </c>
      <c r="D149" s="28" t="n">
        <v>0.015</v>
      </c>
      <c r="E149" s="11">
        <f>'Harga Dasar'!$D$9</f>
        <v/>
      </c>
      <c r="F149" s="12">
        <f>D149*E149</f>
        <v/>
      </c>
    </row>
    <row r="150">
      <c r="B150" s="9" t="inlineStr">
        <is>
          <t>Jumlah upah + bahan + alat</t>
        </is>
      </c>
      <c r="F150" s="12">
        <f>SUM(F143:F149)</f>
        <v/>
      </c>
    </row>
    <row r="151">
      <c r="B151" s="9" t="inlineStr">
        <is>
          <t>Biaya umum dan keuntungan</t>
        </is>
      </c>
      <c r="F151" s="12">
        <f>F150*Petunjuk!$C$15</f>
        <v/>
      </c>
    </row>
    <row r="152">
      <c r="A152" s="14" t="inlineStr"/>
      <c r="B152" s="15" t="inlineStr">
        <is>
          <t>HARGA SATUAN PEKERJAAN per m²</t>
        </is>
      </c>
      <c r="C152" s="14" t="inlineStr"/>
      <c r="D152" s="14" t="inlineStr"/>
      <c r="E152" s="14" t="inlineStr"/>
      <c r="F152" s="16">
        <f>ROUND(F150+F151,-2)</f>
        <v/>
      </c>
    </row>
    <row r="154">
      <c r="A154" s="26" t="inlineStr">
        <is>
          <t>C.2</t>
        </is>
      </c>
      <c r="B154" s="26" t="inlineStr">
        <is>
          <t>Plesteran 1PC : 4PP tebal 15 mm</t>
        </is>
      </c>
      <c r="C154" s="27" t="inlineStr">
        <is>
          <t>m²</t>
        </is>
      </c>
      <c r="D154" s="26" t="inlineStr">
        <is>
          <t>Koefisien</t>
        </is>
      </c>
      <c r="E154" s="26" t="inlineStr">
        <is>
          <t>Harga dasar</t>
        </is>
      </c>
      <c r="F154" s="26" t="inlineStr">
        <is>
          <t>Jumlah (Rp)</t>
        </is>
      </c>
    </row>
    <row r="155">
      <c r="A155" s="9" t="inlineStr">
        <is>
          <t>M01</t>
        </is>
      </c>
      <c r="B155" s="9" t="inlineStr">
        <is>
          <t>Semen Portland (zak 40 kg = Rp 62.000)</t>
        </is>
      </c>
      <c r="C155" s="8" t="inlineStr">
        <is>
          <t>kg</t>
        </is>
      </c>
      <c r="D155" s="28" t="n">
        <v>6.24</v>
      </c>
      <c r="E155" s="11">
        <f>'Harga Dasar'!$D$11</f>
        <v/>
      </c>
      <c r="F155" s="12">
        <f>D155*E155</f>
        <v/>
      </c>
    </row>
    <row r="156">
      <c r="A156" s="9" t="inlineStr">
        <is>
          <t>M02</t>
        </is>
      </c>
      <c r="B156" s="9" t="inlineStr">
        <is>
          <t>Pasir pasang / pasir beton</t>
        </is>
      </c>
      <c r="C156" s="8" t="inlineStr">
        <is>
          <t>m³</t>
        </is>
      </c>
      <c r="D156" s="28" t="n">
        <v>0.024</v>
      </c>
      <c r="E156" s="11">
        <f>'Harga Dasar'!$D$12</f>
        <v/>
      </c>
      <c r="F156" s="12">
        <f>D156*E156</f>
        <v/>
      </c>
    </row>
    <row r="157">
      <c r="A157" s="9" t="inlineStr">
        <is>
          <t>L01</t>
        </is>
      </c>
      <c r="B157" s="9" t="inlineStr">
        <is>
          <t>Pekerja</t>
        </is>
      </c>
      <c r="C157" s="8" t="inlineStr">
        <is>
          <t>OH</t>
        </is>
      </c>
      <c r="D157" s="28" t="n">
        <v>0.3</v>
      </c>
      <c r="E157" s="11">
        <f>'Harga Dasar'!$D$6</f>
        <v/>
      </c>
      <c r="F157" s="12">
        <f>D157*E157</f>
        <v/>
      </c>
    </row>
    <row r="158">
      <c r="A158" s="9" t="inlineStr">
        <is>
          <t>L02</t>
        </is>
      </c>
      <c r="B158" s="9" t="inlineStr">
        <is>
          <t>Tukang (batu/kayu/besi/las)</t>
        </is>
      </c>
      <c r="C158" s="8" t="inlineStr">
        <is>
          <t>OH</t>
        </is>
      </c>
      <c r="D158" s="28" t="n">
        <v>0.15</v>
      </c>
      <c r="E158" s="11">
        <f>'Harga Dasar'!$D$7</f>
        <v/>
      </c>
      <c r="F158" s="12">
        <f>D158*E158</f>
        <v/>
      </c>
    </row>
    <row r="159">
      <c r="A159" s="9" t="inlineStr">
        <is>
          <t>L03</t>
        </is>
      </c>
      <c r="B159" s="9" t="inlineStr">
        <is>
          <t>Kepala tukang</t>
        </is>
      </c>
      <c r="C159" s="8" t="inlineStr">
        <is>
          <t>OH</t>
        </is>
      </c>
      <c r="D159" s="28" t="n">
        <v>0.015</v>
      </c>
      <c r="E159" s="11">
        <f>'Harga Dasar'!$D$8</f>
        <v/>
      </c>
      <c r="F159" s="12">
        <f>D159*E159</f>
        <v/>
      </c>
    </row>
    <row r="160">
      <c r="A160" s="9" t="inlineStr">
        <is>
          <t>L04</t>
        </is>
      </c>
      <c r="B160" s="9" t="inlineStr">
        <is>
          <t>Mandor</t>
        </is>
      </c>
      <c r="C160" s="8" t="inlineStr">
        <is>
          <t>OH</t>
        </is>
      </c>
      <c r="D160" s="28" t="n">
        <v>0.015</v>
      </c>
      <c r="E160" s="11">
        <f>'Harga Dasar'!$D$9</f>
        <v/>
      </c>
      <c r="F160" s="12">
        <f>D160*E160</f>
        <v/>
      </c>
    </row>
    <row r="161">
      <c r="B161" s="9" t="inlineStr">
        <is>
          <t>Jumlah upah + bahan + alat</t>
        </is>
      </c>
      <c r="F161" s="12">
        <f>SUM(F155:F160)</f>
        <v/>
      </c>
    </row>
    <row r="162">
      <c r="B162" s="9" t="inlineStr">
        <is>
          <t>Biaya umum dan keuntungan</t>
        </is>
      </c>
      <c r="F162" s="12">
        <f>F161*Petunjuk!$C$15</f>
        <v/>
      </c>
    </row>
    <row r="163">
      <c r="A163" s="14" t="inlineStr"/>
      <c r="B163" s="15" t="inlineStr">
        <is>
          <t>HARGA SATUAN PEKERJAAN per m²</t>
        </is>
      </c>
      <c r="C163" s="14" t="inlineStr"/>
      <c r="D163" s="14" t="inlineStr"/>
      <c r="E163" s="14" t="inlineStr"/>
      <c r="F163" s="16">
        <f>ROUND(F161+F162,-2)</f>
        <v/>
      </c>
    </row>
    <row r="165">
      <c r="A165" s="26" t="inlineStr">
        <is>
          <t>C.3</t>
        </is>
      </c>
      <c r="B165" s="26" t="inlineStr">
        <is>
          <t>Acian</t>
        </is>
      </c>
      <c r="C165" s="27" t="inlineStr">
        <is>
          <t>m²</t>
        </is>
      </c>
      <c r="D165" s="26" t="inlineStr">
        <is>
          <t>Koefisien</t>
        </is>
      </c>
      <c r="E165" s="26" t="inlineStr">
        <is>
          <t>Harga dasar</t>
        </is>
      </c>
      <c r="F165" s="26" t="inlineStr">
        <is>
          <t>Jumlah (Rp)</t>
        </is>
      </c>
    </row>
    <row r="166">
      <c r="A166" s="9" t="inlineStr">
        <is>
          <t>M01</t>
        </is>
      </c>
      <c r="B166" s="9" t="inlineStr">
        <is>
          <t>Semen Portland (zak 40 kg = Rp 62.000)</t>
        </is>
      </c>
      <c r="C166" s="8" t="inlineStr">
        <is>
          <t>kg</t>
        </is>
      </c>
      <c r="D166" s="28" t="n">
        <v>3.25</v>
      </c>
      <c r="E166" s="11">
        <f>'Harga Dasar'!$D$11</f>
        <v/>
      </c>
      <c r="F166" s="12">
        <f>D166*E166</f>
        <v/>
      </c>
    </row>
    <row r="167">
      <c r="A167" s="9" t="inlineStr">
        <is>
          <t>L01</t>
        </is>
      </c>
      <c r="B167" s="9" t="inlineStr">
        <is>
          <t>Pekerja</t>
        </is>
      </c>
      <c r="C167" s="8" t="inlineStr">
        <is>
          <t>OH</t>
        </is>
      </c>
      <c r="D167" s="28" t="n">
        <v>0.2</v>
      </c>
      <c r="E167" s="11">
        <f>'Harga Dasar'!$D$6</f>
        <v/>
      </c>
      <c r="F167" s="12">
        <f>D167*E167</f>
        <v/>
      </c>
    </row>
    <row r="168">
      <c r="A168" s="9" t="inlineStr">
        <is>
          <t>L02</t>
        </is>
      </c>
      <c r="B168" s="9" t="inlineStr">
        <is>
          <t>Tukang (batu/kayu/besi/las)</t>
        </is>
      </c>
      <c r="C168" s="8" t="inlineStr">
        <is>
          <t>OH</t>
        </is>
      </c>
      <c r="D168" s="28" t="n">
        <v>0.1</v>
      </c>
      <c r="E168" s="11">
        <f>'Harga Dasar'!$D$7</f>
        <v/>
      </c>
      <c r="F168" s="12">
        <f>D168*E168</f>
        <v/>
      </c>
    </row>
    <row r="169">
      <c r="A169" s="9" t="inlineStr">
        <is>
          <t>L03</t>
        </is>
      </c>
      <c r="B169" s="9" t="inlineStr">
        <is>
          <t>Kepala tukang</t>
        </is>
      </c>
      <c r="C169" s="8" t="inlineStr">
        <is>
          <t>OH</t>
        </is>
      </c>
      <c r="D169" s="28" t="n">
        <v>0.01</v>
      </c>
      <c r="E169" s="11">
        <f>'Harga Dasar'!$D$8</f>
        <v/>
      </c>
      <c r="F169" s="12">
        <f>D169*E169</f>
        <v/>
      </c>
    </row>
    <row r="170">
      <c r="A170" s="9" t="inlineStr">
        <is>
          <t>L04</t>
        </is>
      </c>
      <c r="B170" s="9" t="inlineStr">
        <is>
          <t>Mandor</t>
        </is>
      </c>
      <c r="C170" s="8" t="inlineStr">
        <is>
          <t>OH</t>
        </is>
      </c>
      <c r="D170" s="28" t="n">
        <v>0.01</v>
      </c>
      <c r="E170" s="11">
        <f>'Harga Dasar'!$D$9</f>
        <v/>
      </c>
      <c r="F170" s="12">
        <f>D170*E170</f>
        <v/>
      </c>
    </row>
    <row r="171">
      <c r="B171" s="9" t="inlineStr">
        <is>
          <t>Jumlah upah + bahan + alat</t>
        </is>
      </c>
      <c r="F171" s="12">
        <f>SUM(F166:F170)</f>
        <v/>
      </c>
    </row>
    <row r="172">
      <c r="B172" s="9" t="inlineStr">
        <is>
          <t>Biaya umum dan keuntungan</t>
        </is>
      </c>
      <c r="F172" s="12">
        <f>F171*Petunjuk!$C$15</f>
        <v/>
      </c>
    </row>
    <row r="173">
      <c r="A173" s="14" t="inlineStr"/>
      <c r="B173" s="15" t="inlineStr">
        <is>
          <t>HARGA SATUAN PEKERJAAN per m²</t>
        </is>
      </c>
      <c r="C173" s="14" t="inlineStr"/>
      <c r="D173" s="14" t="inlineStr"/>
      <c r="E173" s="14" t="inlineStr"/>
      <c r="F173" s="16">
        <f>ROUND(F171+F172,-2)</f>
        <v/>
      </c>
    </row>
    <row r="175">
      <c r="A175" s="26" t="inlineStr">
        <is>
          <t>C.4</t>
        </is>
      </c>
      <c r="B175" s="26" t="inlineStr">
        <is>
          <t>Pengecatan tembok (1 dasar + 2 penutup)</t>
        </is>
      </c>
      <c r="C175" s="27" t="inlineStr">
        <is>
          <t>m²</t>
        </is>
      </c>
      <c r="D175" s="26" t="inlineStr">
        <is>
          <t>Koefisien</t>
        </is>
      </c>
      <c r="E175" s="26" t="inlineStr">
        <is>
          <t>Harga dasar</t>
        </is>
      </c>
      <c r="F175" s="26" t="inlineStr">
        <is>
          <t>Jumlah (Rp)</t>
        </is>
      </c>
    </row>
    <row r="176">
      <c r="A176" s="9" t="inlineStr">
        <is>
          <t>M27</t>
        </is>
      </c>
      <c r="B176" s="9" t="inlineStr">
        <is>
          <t>Cat dasar tembok</t>
        </is>
      </c>
      <c r="C176" s="8" t="inlineStr">
        <is>
          <t>kg</t>
        </is>
      </c>
      <c r="D176" s="28" t="n">
        <v>0.1</v>
      </c>
      <c r="E176" s="11">
        <f>'Harga Dasar'!$D$37</f>
        <v/>
      </c>
      <c r="F176" s="12">
        <f>D176*E176</f>
        <v/>
      </c>
    </row>
    <row r="177">
      <c r="A177" s="9" t="inlineStr">
        <is>
          <t>M28</t>
        </is>
      </c>
      <c r="B177" s="9" t="inlineStr">
        <is>
          <t>Cat tembok eksterior</t>
        </is>
      </c>
      <c r="C177" s="8" t="inlineStr">
        <is>
          <t>kg</t>
        </is>
      </c>
      <c r="D177" s="28" t="n">
        <v>0.26</v>
      </c>
      <c r="E177" s="11">
        <f>'Harga Dasar'!$D$38</f>
        <v/>
      </c>
      <c r="F177" s="12">
        <f>D177*E177</f>
        <v/>
      </c>
    </row>
    <row r="178">
      <c r="A178" s="9" t="inlineStr">
        <is>
          <t>L01</t>
        </is>
      </c>
      <c r="B178" s="9" t="inlineStr">
        <is>
          <t>Pekerja</t>
        </is>
      </c>
      <c r="C178" s="8" t="inlineStr">
        <is>
          <t>OH</t>
        </is>
      </c>
      <c r="D178" s="28" t="n">
        <v>0.02</v>
      </c>
      <c r="E178" s="11">
        <f>'Harga Dasar'!$D$6</f>
        <v/>
      </c>
      <c r="F178" s="12">
        <f>D178*E178</f>
        <v/>
      </c>
    </row>
    <row r="179">
      <c r="A179" s="9" t="inlineStr">
        <is>
          <t>L02</t>
        </is>
      </c>
      <c r="B179" s="9" t="inlineStr">
        <is>
          <t>Tukang (batu/kayu/besi/las)</t>
        </is>
      </c>
      <c r="C179" s="8" t="inlineStr">
        <is>
          <t>OH</t>
        </is>
      </c>
      <c r="D179" s="28" t="n">
        <v>0.063</v>
      </c>
      <c r="E179" s="11">
        <f>'Harga Dasar'!$D$7</f>
        <v/>
      </c>
      <c r="F179" s="12">
        <f>D179*E179</f>
        <v/>
      </c>
    </row>
    <row r="180">
      <c r="A180" s="9" t="inlineStr">
        <is>
          <t>L03</t>
        </is>
      </c>
      <c r="B180" s="9" t="inlineStr">
        <is>
          <t>Kepala tukang</t>
        </is>
      </c>
      <c r="C180" s="8" t="inlineStr">
        <is>
          <t>OH</t>
        </is>
      </c>
      <c r="D180" s="28" t="n">
        <v>0.0063</v>
      </c>
      <c r="E180" s="11">
        <f>'Harga Dasar'!$D$8</f>
        <v/>
      </c>
      <c r="F180" s="12">
        <f>D180*E180</f>
        <v/>
      </c>
    </row>
    <row r="181">
      <c r="A181" s="9" t="inlineStr">
        <is>
          <t>L04</t>
        </is>
      </c>
      <c r="B181" s="9" t="inlineStr">
        <is>
          <t>Mandor</t>
        </is>
      </c>
      <c r="C181" s="8" t="inlineStr">
        <is>
          <t>OH</t>
        </is>
      </c>
      <c r="D181" s="28" t="n">
        <v>0.003</v>
      </c>
      <c r="E181" s="11">
        <f>'Harga Dasar'!$D$9</f>
        <v/>
      </c>
      <c r="F181" s="12">
        <f>D181*E181</f>
        <v/>
      </c>
    </row>
    <row r="182">
      <c r="B182" s="9" t="inlineStr">
        <is>
          <t>Jumlah upah + bahan + alat</t>
        </is>
      </c>
      <c r="F182" s="12">
        <f>SUM(F176:F181)</f>
        <v/>
      </c>
    </row>
    <row r="183">
      <c r="B183" s="9" t="inlineStr">
        <is>
          <t>Biaya umum dan keuntungan</t>
        </is>
      </c>
      <c r="F183" s="12">
        <f>F182*Petunjuk!$C$15</f>
        <v/>
      </c>
    </row>
    <row r="184">
      <c r="A184" s="14" t="inlineStr"/>
      <c r="B184" s="15" t="inlineStr">
        <is>
          <t>HARGA SATUAN PEKERJAAN per m²</t>
        </is>
      </c>
      <c r="C184" s="14" t="inlineStr"/>
      <c r="D184" s="14" t="inlineStr"/>
      <c r="E184" s="14" t="inlineStr"/>
      <c r="F184" s="16">
        <f>ROUND(F182+F183,-2)</f>
        <v/>
      </c>
    </row>
    <row r="186">
      <c r="A186" s="26" t="inlineStr">
        <is>
          <t>C.5</t>
        </is>
      </c>
      <c r="B186" s="26" t="inlineStr">
        <is>
          <t>Finishing lantai beton dipel kasar</t>
        </is>
      </c>
      <c r="C186" s="27" t="inlineStr">
        <is>
          <t>m²</t>
        </is>
      </c>
      <c r="D186" s="26" t="inlineStr">
        <is>
          <t>Koefisien</t>
        </is>
      </c>
      <c r="E186" s="26" t="inlineStr">
        <is>
          <t>Harga dasar</t>
        </is>
      </c>
      <c r="F186" s="26" t="inlineStr">
        <is>
          <t>Jumlah (Rp)</t>
        </is>
      </c>
    </row>
    <row r="187">
      <c r="A187" s="9" t="inlineStr">
        <is>
          <t>L01</t>
        </is>
      </c>
      <c r="B187" s="9" t="inlineStr">
        <is>
          <t>Pekerja</t>
        </is>
      </c>
      <c r="C187" s="8" t="inlineStr">
        <is>
          <t>OH</t>
        </is>
      </c>
      <c r="D187" s="28" t="n">
        <v>0.1</v>
      </c>
      <c r="E187" s="11">
        <f>'Harga Dasar'!$D$6</f>
        <v/>
      </c>
      <c r="F187" s="12">
        <f>D187*E187</f>
        <v/>
      </c>
    </row>
    <row r="188">
      <c r="A188" s="9" t="inlineStr">
        <is>
          <t>L02</t>
        </is>
      </c>
      <c r="B188" s="9" t="inlineStr">
        <is>
          <t>Tukang (batu/kayu/besi/las)</t>
        </is>
      </c>
      <c r="C188" s="8" t="inlineStr">
        <is>
          <t>OH</t>
        </is>
      </c>
      <c r="D188" s="28" t="n">
        <v>0.05</v>
      </c>
      <c r="E188" s="11">
        <f>'Harga Dasar'!$D$7</f>
        <v/>
      </c>
      <c r="F188" s="12">
        <f>D188*E188</f>
        <v/>
      </c>
    </row>
    <row r="189">
      <c r="A189" s="9" t="inlineStr">
        <is>
          <t>L04</t>
        </is>
      </c>
      <c r="B189" s="9" t="inlineStr">
        <is>
          <t>Mandor</t>
        </is>
      </c>
      <c r="C189" s="8" t="inlineStr">
        <is>
          <t>OH</t>
        </is>
      </c>
      <c r="D189" s="28" t="n">
        <v>0.005</v>
      </c>
      <c r="E189" s="11">
        <f>'Harga Dasar'!$D$9</f>
        <v/>
      </c>
      <c r="F189" s="12">
        <f>D189*E189</f>
        <v/>
      </c>
    </row>
    <row r="190">
      <c r="B190" s="9" t="inlineStr">
        <is>
          <t>Jumlah upah + bahan + alat</t>
        </is>
      </c>
      <c r="F190" s="12">
        <f>SUM(F187:F189)</f>
        <v/>
      </c>
    </row>
    <row r="191">
      <c r="B191" s="9" t="inlineStr">
        <is>
          <t>Biaya umum dan keuntungan</t>
        </is>
      </c>
      <c r="F191" s="12">
        <f>F190*Petunjuk!$C$15</f>
        <v/>
      </c>
    </row>
    <row r="192">
      <c r="A192" s="14" t="inlineStr"/>
      <c r="B192" s="15" t="inlineStr">
        <is>
          <t>HARGA SATUAN PEKERJAAN per m²</t>
        </is>
      </c>
      <c r="C192" s="14" t="inlineStr"/>
      <c r="D192" s="14" t="inlineStr"/>
      <c r="E192" s="14" t="inlineStr"/>
      <c r="F192" s="16">
        <f>ROUND(F190+F191,-2)</f>
        <v/>
      </c>
    </row>
    <row r="194">
      <c r="A194" s="26" t="inlineStr">
        <is>
          <t>C.6</t>
        </is>
      </c>
      <c r="B194" s="26" t="inlineStr">
        <is>
          <t>Pasang keramik 40x40</t>
        </is>
      </c>
      <c r="C194" s="27" t="inlineStr">
        <is>
          <t>m²</t>
        </is>
      </c>
      <c r="D194" s="26" t="inlineStr">
        <is>
          <t>Koefisien</t>
        </is>
      </c>
      <c r="E194" s="26" t="inlineStr">
        <is>
          <t>Harga dasar</t>
        </is>
      </c>
      <c r="F194" s="26" t="inlineStr">
        <is>
          <t>Jumlah (Rp)</t>
        </is>
      </c>
    </row>
    <row r="195">
      <c r="A195" s="9" t="inlineStr">
        <is>
          <t>M37</t>
        </is>
      </c>
      <c r="B195" s="9" t="inlineStr">
        <is>
          <t>Keramik 40x40</t>
        </is>
      </c>
      <c r="C195" s="8" t="inlineStr">
        <is>
          <t>bh</t>
        </is>
      </c>
      <c r="D195" s="28" t="n">
        <v>6.63</v>
      </c>
      <c r="E195" s="11">
        <f>'Harga Dasar'!$D$47</f>
        <v/>
      </c>
      <c r="F195" s="12">
        <f>D195*E195</f>
        <v/>
      </c>
    </row>
    <row r="196">
      <c r="A196" s="9" t="inlineStr">
        <is>
          <t>M01</t>
        </is>
      </c>
      <c r="B196" s="9" t="inlineStr">
        <is>
          <t>Semen Portland (zak 40 kg = Rp 62.000)</t>
        </is>
      </c>
      <c r="C196" s="8" t="inlineStr">
        <is>
          <t>kg</t>
        </is>
      </c>
      <c r="D196" s="28" t="n">
        <v>10</v>
      </c>
      <c r="E196" s="11">
        <f>'Harga Dasar'!$D$11</f>
        <v/>
      </c>
      <c r="F196" s="12">
        <f>D196*E196</f>
        <v/>
      </c>
    </row>
    <row r="197">
      <c r="A197" s="9" t="inlineStr">
        <is>
          <t>M02</t>
        </is>
      </c>
      <c r="B197" s="9" t="inlineStr">
        <is>
          <t>Pasir pasang / pasir beton</t>
        </is>
      </c>
      <c r="C197" s="8" t="inlineStr">
        <is>
          <t>m³</t>
        </is>
      </c>
      <c r="D197" s="28" t="n">
        <v>0.045</v>
      </c>
      <c r="E197" s="11">
        <f>'Harga Dasar'!$D$12</f>
        <v/>
      </c>
      <c r="F197" s="12">
        <f>D197*E197</f>
        <v/>
      </c>
    </row>
    <row r="198">
      <c r="A198" s="9" t="inlineStr">
        <is>
          <t>M38</t>
        </is>
      </c>
      <c r="B198" s="9" t="inlineStr">
        <is>
          <t>Semen warna / nat</t>
        </is>
      </c>
      <c r="C198" s="8" t="inlineStr">
        <is>
          <t>kg</t>
        </is>
      </c>
      <c r="D198" s="28" t="n">
        <v>1.5</v>
      </c>
      <c r="E198" s="11">
        <f>'Harga Dasar'!$D$48</f>
        <v/>
      </c>
      <c r="F198" s="12">
        <f>D198*E198</f>
        <v/>
      </c>
    </row>
    <row r="199">
      <c r="A199" s="9" t="inlineStr">
        <is>
          <t>L01</t>
        </is>
      </c>
      <c r="B199" s="9" t="inlineStr">
        <is>
          <t>Pekerja</t>
        </is>
      </c>
      <c r="C199" s="8" t="inlineStr">
        <is>
          <t>OH</t>
        </is>
      </c>
      <c r="D199" s="28" t="n">
        <v>0.7</v>
      </c>
      <c r="E199" s="11">
        <f>'Harga Dasar'!$D$6</f>
        <v/>
      </c>
      <c r="F199" s="12">
        <f>D199*E199</f>
        <v/>
      </c>
    </row>
    <row r="200">
      <c r="A200" s="9" t="inlineStr">
        <is>
          <t>L02</t>
        </is>
      </c>
      <c r="B200" s="9" t="inlineStr">
        <is>
          <t>Tukang (batu/kayu/besi/las)</t>
        </is>
      </c>
      <c r="C200" s="8" t="inlineStr">
        <is>
          <t>OH</t>
        </is>
      </c>
      <c r="D200" s="28" t="n">
        <v>0.35</v>
      </c>
      <c r="E200" s="11">
        <f>'Harga Dasar'!$D$7</f>
        <v/>
      </c>
      <c r="F200" s="12">
        <f>D200*E200</f>
        <v/>
      </c>
    </row>
    <row r="201">
      <c r="A201" s="9" t="inlineStr">
        <is>
          <t>L03</t>
        </is>
      </c>
      <c r="B201" s="9" t="inlineStr">
        <is>
          <t>Kepala tukang</t>
        </is>
      </c>
      <c r="C201" s="8" t="inlineStr">
        <is>
          <t>OH</t>
        </is>
      </c>
      <c r="D201" s="28" t="n">
        <v>0.035</v>
      </c>
      <c r="E201" s="11">
        <f>'Harga Dasar'!$D$8</f>
        <v/>
      </c>
      <c r="F201" s="12">
        <f>D201*E201</f>
        <v/>
      </c>
    </row>
    <row r="202">
      <c r="A202" s="9" t="inlineStr">
        <is>
          <t>L04</t>
        </is>
      </c>
      <c r="B202" s="9" t="inlineStr">
        <is>
          <t>Mandor</t>
        </is>
      </c>
      <c r="C202" s="8" t="inlineStr">
        <is>
          <t>OH</t>
        </is>
      </c>
      <c r="D202" s="28" t="n">
        <v>0.035</v>
      </c>
      <c r="E202" s="11">
        <f>'Harga Dasar'!$D$9</f>
        <v/>
      </c>
      <c r="F202" s="12">
        <f>D202*E202</f>
        <v/>
      </c>
    </row>
    <row r="203">
      <c r="B203" s="9" t="inlineStr">
        <is>
          <t>Jumlah upah + bahan + alat</t>
        </is>
      </c>
      <c r="F203" s="12">
        <f>SUM(F195:F202)</f>
        <v/>
      </c>
    </row>
    <row r="204">
      <c r="B204" s="9" t="inlineStr">
        <is>
          <t>Biaya umum dan keuntungan</t>
        </is>
      </c>
      <c r="F204" s="12">
        <f>F203*Petunjuk!$C$15</f>
        <v/>
      </c>
    </row>
    <row r="205">
      <c r="A205" s="14" t="inlineStr"/>
      <c r="B205" s="15" t="inlineStr">
        <is>
          <t>HARGA SATUAN PEKERJAAN per m²</t>
        </is>
      </c>
      <c r="C205" s="14" t="inlineStr"/>
      <c r="D205" s="14" t="inlineStr"/>
      <c r="E205" s="14" t="inlineStr"/>
      <c r="F205" s="16">
        <f>ROUND(F203+F204,-2)</f>
        <v/>
      </c>
    </row>
    <row r="207">
      <c r="A207" s="26" t="inlineStr">
        <is>
          <t>D.1</t>
        </is>
      </c>
      <c r="B207" s="26" t="inlineStr">
        <is>
          <t>Rangka atap baja ringan C75 + reng U30 (bidang atap)</t>
        </is>
      </c>
      <c r="C207" s="27" t="inlineStr">
        <is>
          <t>m²</t>
        </is>
      </c>
      <c r="D207" s="26" t="inlineStr">
        <is>
          <t>Koefisien</t>
        </is>
      </c>
      <c r="E207" s="26" t="inlineStr">
        <is>
          <t>Harga dasar</t>
        </is>
      </c>
      <c r="F207" s="26" t="inlineStr">
        <is>
          <t>Jumlah (Rp)</t>
        </is>
      </c>
    </row>
    <row r="208">
      <c r="A208" s="9" t="inlineStr">
        <is>
          <t>M29</t>
        </is>
      </c>
      <c r="B208" s="9" t="inlineStr">
        <is>
          <t>Baja ringan C75.75 (6 m)</t>
        </is>
      </c>
      <c r="C208" s="8" t="inlineStr">
        <is>
          <t>btg</t>
        </is>
      </c>
      <c r="D208" s="28" t="n">
        <v>0.8</v>
      </c>
      <c r="E208" s="11">
        <f>'Harga Dasar'!$D$39</f>
        <v/>
      </c>
      <c r="F208" s="12">
        <f>D208*E208</f>
        <v/>
      </c>
    </row>
    <row r="209">
      <c r="A209" s="9" t="inlineStr">
        <is>
          <t>M30</t>
        </is>
      </c>
      <c r="B209" s="9" t="inlineStr">
        <is>
          <t>Reng baja ringan U30.45 (6 m)</t>
        </is>
      </c>
      <c r="C209" s="8" t="inlineStr">
        <is>
          <t>btg</t>
        </is>
      </c>
      <c r="D209" s="28" t="n">
        <v>0.6</v>
      </c>
      <c r="E209" s="11">
        <f>'Harga Dasar'!$D$40</f>
        <v/>
      </c>
      <c r="F209" s="12">
        <f>D209*E209</f>
        <v/>
      </c>
    </row>
    <row r="210">
      <c r="A210" s="9" t="inlineStr">
        <is>
          <t>M31</t>
        </is>
      </c>
      <c r="B210" s="9" t="inlineStr">
        <is>
          <t>Sekrup baja ringan / atap</t>
        </is>
      </c>
      <c r="C210" s="8" t="inlineStr">
        <is>
          <t>bh</t>
        </is>
      </c>
      <c r="D210" s="28" t="n">
        <v>25</v>
      </c>
      <c r="E210" s="11">
        <f>'Harga Dasar'!$D$41</f>
        <v/>
      </c>
      <c r="F210" s="12">
        <f>D210*E210</f>
        <v/>
      </c>
    </row>
    <row r="211">
      <c r="A211" s="9" t="inlineStr">
        <is>
          <t>M32</t>
        </is>
      </c>
      <c r="B211" s="9" t="inlineStr">
        <is>
          <t>Dynabolt M10</t>
        </is>
      </c>
      <c r="C211" s="8" t="inlineStr">
        <is>
          <t>bh</t>
        </is>
      </c>
      <c r="D211" s="28" t="n">
        <v>0.15</v>
      </c>
      <c r="E211" s="11">
        <f>'Harga Dasar'!$D$42</f>
        <v/>
      </c>
      <c r="F211" s="12">
        <f>D211*E211</f>
        <v/>
      </c>
    </row>
    <row r="212">
      <c r="A212" s="9" t="inlineStr">
        <is>
          <t>L01</t>
        </is>
      </c>
      <c r="B212" s="9" t="inlineStr">
        <is>
          <t>Pekerja</t>
        </is>
      </c>
      <c r="C212" s="8" t="inlineStr">
        <is>
          <t>OH</t>
        </is>
      </c>
      <c r="D212" s="28" t="n">
        <v>0.05</v>
      </c>
      <c r="E212" s="11">
        <f>'Harga Dasar'!$D$6</f>
        <v/>
      </c>
      <c r="F212" s="12">
        <f>D212*E212</f>
        <v/>
      </c>
    </row>
    <row r="213">
      <c r="A213" s="9" t="inlineStr">
        <is>
          <t>L02</t>
        </is>
      </c>
      <c r="B213" s="9" t="inlineStr">
        <is>
          <t>Tukang (batu/kayu/besi/las)</t>
        </is>
      </c>
      <c r="C213" s="8" t="inlineStr">
        <is>
          <t>OH</t>
        </is>
      </c>
      <c r="D213" s="28" t="n">
        <v>0.1</v>
      </c>
      <c r="E213" s="11">
        <f>'Harga Dasar'!$D$7</f>
        <v/>
      </c>
      <c r="F213" s="12">
        <f>D213*E213</f>
        <v/>
      </c>
    </row>
    <row r="214">
      <c r="A214" s="9" t="inlineStr">
        <is>
          <t>L03</t>
        </is>
      </c>
      <c r="B214" s="9" t="inlineStr">
        <is>
          <t>Kepala tukang</t>
        </is>
      </c>
      <c r="C214" s="8" t="inlineStr">
        <is>
          <t>OH</t>
        </is>
      </c>
      <c r="D214" s="28" t="n">
        <v>0.01</v>
      </c>
      <c r="E214" s="11">
        <f>'Harga Dasar'!$D$8</f>
        <v/>
      </c>
      <c r="F214" s="12">
        <f>D214*E214</f>
        <v/>
      </c>
    </row>
    <row r="215">
      <c r="A215" s="9" t="inlineStr">
        <is>
          <t>L04</t>
        </is>
      </c>
      <c r="B215" s="9" t="inlineStr">
        <is>
          <t>Mandor</t>
        </is>
      </c>
      <c r="C215" s="8" t="inlineStr">
        <is>
          <t>OH</t>
        </is>
      </c>
      <c r="D215" s="28" t="n">
        <v>0.005</v>
      </c>
      <c r="E215" s="11">
        <f>'Harga Dasar'!$D$9</f>
        <v/>
      </c>
      <c r="F215" s="12">
        <f>D215*E215</f>
        <v/>
      </c>
    </row>
    <row r="216">
      <c r="B216" s="9" t="inlineStr">
        <is>
          <t>Jumlah upah + bahan + alat</t>
        </is>
      </c>
      <c r="F216" s="12">
        <f>SUM(F208:F215)</f>
        <v/>
      </c>
    </row>
    <row r="217">
      <c r="B217" s="9" t="inlineStr">
        <is>
          <t>Biaya umum dan keuntungan</t>
        </is>
      </c>
      <c r="F217" s="12">
        <f>F216*Petunjuk!$C$15</f>
        <v/>
      </c>
    </row>
    <row r="218">
      <c r="A218" s="14" t="inlineStr"/>
      <c r="B218" s="15" t="inlineStr">
        <is>
          <t>HARGA SATUAN PEKERJAAN per m²</t>
        </is>
      </c>
      <c r="C218" s="14" t="inlineStr"/>
      <c r="D218" s="14" t="inlineStr"/>
      <c r="E218" s="14" t="inlineStr"/>
      <c r="F218" s="16">
        <f>ROUND(F216+F217,-2)</f>
        <v/>
      </c>
    </row>
    <row r="220">
      <c r="A220" s="26" t="inlineStr">
        <is>
          <t>D.2</t>
        </is>
      </c>
      <c r="B220" s="26" t="inlineStr">
        <is>
          <t>Penutup atap galvalum spandek 0,30</t>
        </is>
      </c>
      <c r="C220" s="27" t="inlineStr">
        <is>
          <t>m²</t>
        </is>
      </c>
      <c r="D220" s="26" t="inlineStr">
        <is>
          <t>Koefisien</t>
        </is>
      </c>
      <c r="E220" s="26" t="inlineStr">
        <is>
          <t>Harga dasar</t>
        </is>
      </c>
      <c r="F220" s="26" t="inlineStr">
        <is>
          <t>Jumlah (Rp)</t>
        </is>
      </c>
    </row>
    <row r="221">
      <c r="A221" s="9" t="inlineStr">
        <is>
          <t>M33</t>
        </is>
      </c>
      <c r="B221" s="9" t="inlineStr">
        <is>
          <t>Galvalum spandek 0,30 TCT AZ100</t>
        </is>
      </c>
      <c r="C221" s="8" t="inlineStr">
        <is>
          <t>m²</t>
        </is>
      </c>
      <c r="D221" s="28" t="n">
        <v>1.1</v>
      </c>
      <c r="E221" s="11">
        <f>'Harga Dasar'!$D$43</f>
        <v/>
      </c>
      <c r="F221" s="12">
        <f>D221*E221</f>
        <v/>
      </c>
    </row>
    <row r="222">
      <c r="A222" s="9" t="inlineStr">
        <is>
          <t>M31</t>
        </is>
      </c>
      <c r="B222" s="9" t="inlineStr">
        <is>
          <t>Sekrup baja ringan / atap</t>
        </is>
      </c>
      <c r="C222" s="8" t="inlineStr">
        <is>
          <t>bh</t>
        </is>
      </c>
      <c r="D222" s="28" t="n">
        <v>6</v>
      </c>
      <c r="E222" s="11">
        <f>'Harga Dasar'!$D$41</f>
        <v/>
      </c>
      <c r="F222" s="12">
        <f>D222*E222</f>
        <v/>
      </c>
    </row>
    <row r="223">
      <c r="A223" s="9" t="inlineStr">
        <is>
          <t>L01</t>
        </is>
      </c>
      <c r="B223" s="9" t="inlineStr">
        <is>
          <t>Pekerja</t>
        </is>
      </c>
      <c r="C223" s="8" t="inlineStr">
        <is>
          <t>OH</t>
        </is>
      </c>
      <c r="D223" s="28" t="n">
        <v>0.05</v>
      </c>
      <c r="E223" s="11">
        <f>'Harga Dasar'!$D$6</f>
        <v/>
      </c>
      <c r="F223" s="12">
        <f>D223*E223</f>
        <v/>
      </c>
    </row>
    <row r="224">
      <c r="A224" s="9" t="inlineStr">
        <is>
          <t>L02</t>
        </is>
      </c>
      <c r="B224" s="9" t="inlineStr">
        <is>
          <t>Tukang (batu/kayu/besi/las)</t>
        </is>
      </c>
      <c r="C224" s="8" t="inlineStr">
        <is>
          <t>OH</t>
        </is>
      </c>
      <c r="D224" s="28" t="n">
        <v>0.08</v>
      </c>
      <c r="E224" s="11">
        <f>'Harga Dasar'!$D$7</f>
        <v/>
      </c>
      <c r="F224" s="12">
        <f>D224*E224</f>
        <v/>
      </c>
    </row>
    <row r="225">
      <c r="A225" s="9" t="inlineStr">
        <is>
          <t>L03</t>
        </is>
      </c>
      <c r="B225" s="9" t="inlineStr">
        <is>
          <t>Kepala tukang</t>
        </is>
      </c>
      <c r="C225" s="8" t="inlineStr">
        <is>
          <t>OH</t>
        </is>
      </c>
      <c r="D225" s="28" t="n">
        <v>0.008</v>
      </c>
      <c r="E225" s="11">
        <f>'Harga Dasar'!$D$8</f>
        <v/>
      </c>
      <c r="F225" s="12">
        <f>D225*E225</f>
        <v/>
      </c>
    </row>
    <row r="226">
      <c r="A226" s="9" t="inlineStr">
        <is>
          <t>L04</t>
        </is>
      </c>
      <c r="B226" s="9" t="inlineStr">
        <is>
          <t>Mandor</t>
        </is>
      </c>
      <c r="C226" s="8" t="inlineStr">
        <is>
          <t>OH</t>
        </is>
      </c>
      <c r="D226" s="28" t="n">
        <v>0.004</v>
      </c>
      <c r="E226" s="11">
        <f>'Harga Dasar'!$D$9</f>
        <v/>
      </c>
      <c r="F226" s="12">
        <f>D226*E226</f>
        <v/>
      </c>
    </row>
    <row r="227">
      <c r="B227" s="9" t="inlineStr">
        <is>
          <t>Jumlah upah + bahan + alat</t>
        </is>
      </c>
      <c r="F227" s="12">
        <f>SUM(F221:F226)</f>
        <v/>
      </c>
    </row>
    <row r="228">
      <c r="B228" s="9" t="inlineStr">
        <is>
          <t>Biaya umum dan keuntungan</t>
        </is>
      </c>
      <c r="F228" s="12">
        <f>F227*Petunjuk!$C$15</f>
        <v/>
      </c>
    </row>
    <row r="229">
      <c r="A229" s="14" t="inlineStr"/>
      <c r="B229" s="15" t="inlineStr">
        <is>
          <t>HARGA SATUAN PEKERJAAN per m²</t>
        </is>
      </c>
      <c r="C229" s="14" t="inlineStr"/>
      <c r="D229" s="14" t="inlineStr"/>
      <c r="E229" s="14" t="inlineStr"/>
      <c r="F229" s="16">
        <f>ROUND(F227+F228,-2)</f>
        <v/>
      </c>
    </row>
    <row r="231">
      <c r="A231" s="26" t="inlineStr">
        <is>
          <t>D.3</t>
        </is>
      </c>
      <c r="B231" s="26" t="inlineStr">
        <is>
          <t>Nok / bubungan galvalum</t>
        </is>
      </c>
      <c r="C231" s="27" t="inlineStr">
        <is>
          <t>m'</t>
        </is>
      </c>
      <c r="D231" s="26" t="inlineStr">
        <is>
          <t>Koefisien</t>
        </is>
      </c>
      <c r="E231" s="26" t="inlineStr">
        <is>
          <t>Harga dasar</t>
        </is>
      </c>
      <c r="F231" s="26" t="inlineStr">
        <is>
          <t>Jumlah (Rp)</t>
        </is>
      </c>
    </row>
    <row r="232">
      <c r="A232" s="9" t="inlineStr">
        <is>
          <t>M34</t>
        </is>
      </c>
      <c r="B232" s="9" t="inlineStr">
        <is>
          <t>Nok / bubungan galvalum</t>
        </is>
      </c>
      <c r="C232" s="8" t="inlineStr">
        <is>
          <t>m</t>
        </is>
      </c>
      <c r="D232" s="28" t="n">
        <v>1.05</v>
      </c>
      <c r="E232" s="11">
        <f>'Harga Dasar'!$D$44</f>
        <v/>
      </c>
      <c r="F232" s="12">
        <f>D232*E232</f>
        <v/>
      </c>
    </row>
    <row r="233">
      <c r="A233" s="9" t="inlineStr">
        <is>
          <t>M31</t>
        </is>
      </c>
      <c r="B233" s="9" t="inlineStr">
        <is>
          <t>Sekrup baja ringan / atap</t>
        </is>
      </c>
      <c r="C233" s="8" t="inlineStr">
        <is>
          <t>bh</t>
        </is>
      </c>
      <c r="D233" s="28" t="n">
        <v>4</v>
      </c>
      <c r="E233" s="11">
        <f>'Harga Dasar'!$D$41</f>
        <v/>
      </c>
      <c r="F233" s="12">
        <f>D233*E233</f>
        <v/>
      </c>
    </row>
    <row r="234">
      <c r="A234" s="9" t="inlineStr">
        <is>
          <t>L01</t>
        </is>
      </c>
      <c r="B234" s="9" t="inlineStr">
        <is>
          <t>Pekerja</t>
        </is>
      </c>
      <c r="C234" s="8" t="inlineStr">
        <is>
          <t>OH</t>
        </is>
      </c>
      <c r="D234" s="28" t="n">
        <v>0.04</v>
      </c>
      <c r="E234" s="11">
        <f>'Harga Dasar'!$D$6</f>
        <v/>
      </c>
      <c r="F234" s="12">
        <f>D234*E234</f>
        <v/>
      </c>
    </row>
    <row r="235">
      <c r="A235" s="9" t="inlineStr">
        <is>
          <t>L02</t>
        </is>
      </c>
      <c r="B235" s="9" t="inlineStr">
        <is>
          <t>Tukang (batu/kayu/besi/las)</t>
        </is>
      </c>
      <c r="C235" s="8" t="inlineStr">
        <is>
          <t>OH</t>
        </is>
      </c>
      <c r="D235" s="28" t="n">
        <v>0.06</v>
      </c>
      <c r="E235" s="11">
        <f>'Harga Dasar'!$D$7</f>
        <v/>
      </c>
      <c r="F235" s="12">
        <f>D235*E235</f>
        <v/>
      </c>
    </row>
    <row r="236">
      <c r="B236" s="9" t="inlineStr">
        <is>
          <t>Jumlah upah + bahan + alat</t>
        </is>
      </c>
      <c r="F236" s="12">
        <f>SUM(F232:F235)</f>
        <v/>
      </c>
    </row>
    <row r="237">
      <c r="B237" s="9" t="inlineStr">
        <is>
          <t>Biaya umum dan keuntungan</t>
        </is>
      </c>
      <c r="F237" s="12">
        <f>F236*Petunjuk!$C$15</f>
        <v/>
      </c>
    </row>
    <row r="238">
      <c r="A238" s="14" t="inlineStr"/>
      <c r="B238" s="15" t="inlineStr">
        <is>
          <t>HARGA SATUAN PEKERJAAN per m'</t>
        </is>
      </c>
      <c r="C238" s="14" t="inlineStr"/>
      <c r="D238" s="14" t="inlineStr"/>
      <c r="E238" s="14" t="inlineStr"/>
      <c r="F238" s="16">
        <f>ROUND(F236+F237,-2)</f>
        <v/>
      </c>
    </row>
    <row r="240">
      <c r="A240" s="26" t="inlineStr">
        <is>
          <t>D.4</t>
        </is>
      </c>
      <c r="B240" s="26" t="inlineStr">
        <is>
          <t>Lisplang / flashing galvalum</t>
        </is>
      </c>
      <c r="C240" s="27" t="inlineStr">
        <is>
          <t>m'</t>
        </is>
      </c>
      <c r="D240" s="26" t="inlineStr">
        <is>
          <t>Koefisien</t>
        </is>
      </c>
      <c r="E240" s="26" t="inlineStr">
        <is>
          <t>Harga dasar</t>
        </is>
      </c>
      <c r="F240" s="26" t="inlineStr">
        <is>
          <t>Jumlah (Rp)</t>
        </is>
      </c>
    </row>
    <row r="241">
      <c r="A241" s="9" t="inlineStr">
        <is>
          <t>M35</t>
        </is>
      </c>
      <c r="B241" s="9" t="inlineStr">
        <is>
          <t>Flashing / lisplang galvalum</t>
        </is>
      </c>
      <c r="C241" s="8" t="inlineStr">
        <is>
          <t>m</t>
        </is>
      </c>
      <c r="D241" s="28" t="n">
        <v>1.05</v>
      </c>
      <c r="E241" s="11">
        <f>'Harga Dasar'!$D$45</f>
        <v/>
      </c>
      <c r="F241" s="12">
        <f>D241*E241</f>
        <v/>
      </c>
    </row>
    <row r="242">
      <c r="A242" s="9" t="inlineStr">
        <is>
          <t>M31</t>
        </is>
      </c>
      <c r="B242" s="9" t="inlineStr">
        <is>
          <t>Sekrup baja ringan / atap</t>
        </is>
      </c>
      <c r="C242" s="8" t="inlineStr">
        <is>
          <t>bh</t>
        </is>
      </c>
      <c r="D242" s="28" t="n">
        <v>4</v>
      </c>
      <c r="E242" s="11">
        <f>'Harga Dasar'!$D$41</f>
        <v/>
      </c>
      <c r="F242" s="12">
        <f>D242*E242</f>
        <v/>
      </c>
    </row>
    <row r="243">
      <c r="A243" s="9" t="inlineStr">
        <is>
          <t>L01</t>
        </is>
      </c>
      <c r="B243" s="9" t="inlineStr">
        <is>
          <t>Pekerja</t>
        </is>
      </c>
      <c r="C243" s="8" t="inlineStr">
        <is>
          <t>OH</t>
        </is>
      </c>
      <c r="D243" s="28" t="n">
        <v>0.04</v>
      </c>
      <c r="E243" s="11">
        <f>'Harga Dasar'!$D$6</f>
        <v/>
      </c>
      <c r="F243" s="12">
        <f>D243*E243</f>
        <v/>
      </c>
    </row>
    <row r="244">
      <c r="A244" s="9" t="inlineStr">
        <is>
          <t>L02</t>
        </is>
      </c>
      <c r="B244" s="9" t="inlineStr">
        <is>
          <t>Tukang (batu/kayu/besi/las)</t>
        </is>
      </c>
      <c r="C244" s="8" t="inlineStr">
        <is>
          <t>OH</t>
        </is>
      </c>
      <c r="D244" s="28" t="n">
        <v>0.06</v>
      </c>
      <c r="E244" s="11">
        <f>'Harga Dasar'!$D$7</f>
        <v/>
      </c>
      <c r="F244" s="12">
        <f>D244*E244</f>
        <v/>
      </c>
    </row>
    <row r="245">
      <c r="B245" s="9" t="inlineStr">
        <is>
          <t>Jumlah upah + bahan + alat</t>
        </is>
      </c>
      <c r="F245" s="12">
        <f>SUM(F241:F244)</f>
        <v/>
      </c>
    </row>
    <row r="246">
      <c r="B246" s="9" t="inlineStr">
        <is>
          <t>Biaya umum dan keuntungan</t>
        </is>
      </c>
      <c r="F246" s="12">
        <f>F245*Petunjuk!$C$15</f>
        <v/>
      </c>
    </row>
    <row r="247">
      <c r="A247" s="14" t="inlineStr"/>
      <c r="B247" s="15" t="inlineStr">
        <is>
          <t>HARGA SATUAN PEKERJAAN per m'</t>
        </is>
      </c>
      <c r="C247" s="14" t="inlineStr"/>
      <c r="D247" s="14" t="inlineStr"/>
      <c r="E247" s="14" t="inlineStr"/>
      <c r="F247" s="16">
        <f>ROUND(F245+F246,-2)</f>
        <v/>
      </c>
    </row>
    <row r="249">
      <c r="A249" s="26" t="inlineStr">
        <is>
          <t>D.5</t>
        </is>
      </c>
      <c r="B249" s="26" t="inlineStr">
        <is>
          <t>Plafon GRC 4 mm rangka hollow 40x40</t>
        </is>
      </c>
      <c r="C249" s="27" t="inlineStr">
        <is>
          <t>m²</t>
        </is>
      </c>
      <c r="D249" s="26" t="inlineStr">
        <is>
          <t>Koefisien</t>
        </is>
      </c>
      <c r="E249" s="26" t="inlineStr">
        <is>
          <t>Harga dasar</t>
        </is>
      </c>
      <c r="F249" s="26" t="inlineStr">
        <is>
          <t>Jumlah (Rp)</t>
        </is>
      </c>
    </row>
    <row r="250">
      <c r="A250" s="9" t="inlineStr">
        <is>
          <t>M36</t>
        </is>
      </c>
      <c r="B250" s="9" t="inlineStr">
        <is>
          <t>Papan GRC 4 mm 120x240</t>
        </is>
      </c>
      <c r="C250" s="8" t="inlineStr">
        <is>
          <t>lbr</t>
        </is>
      </c>
      <c r="D250" s="28" t="n">
        <v>0.38</v>
      </c>
      <c r="E250" s="11">
        <f>'Harga Dasar'!$D$46</f>
        <v/>
      </c>
      <c r="F250" s="12">
        <f>D250*E250</f>
        <v/>
      </c>
    </row>
    <row r="251">
      <c r="A251" s="9" t="inlineStr">
        <is>
          <t>M21</t>
        </is>
      </c>
      <c r="B251" s="9" t="inlineStr">
        <is>
          <t>Hollow galvanis 40x40x1,2 (6 m)</t>
        </is>
      </c>
      <c r="C251" s="8" t="inlineStr">
        <is>
          <t>btg</t>
        </is>
      </c>
      <c r="D251" s="28" t="n">
        <v>0.58</v>
      </c>
      <c r="E251" s="11">
        <f>'Harga Dasar'!$D$31</f>
        <v/>
      </c>
      <c r="F251" s="12">
        <f>D251*E251</f>
        <v/>
      </c>
    </row>
    <row r="252">
      <c r="A252" s="9" t="inlineStr">
        <is>
          <t>M31</t>
        </is>
      </c>
      <c r="B252" s="9" t="inlineStr">
        <is>
          <t>Sekrup baja ringan / atap</t>
        </is>
      </c>
      <c r="C252" s="8" t="inlineStr">
        <is>
          <t>bh</t>
        </is>
      </c>
      <c r="D252" s="28" t="n">
        <v>15</v>
      </c>
      <c r="E252" s="11">
        <f>'Harga Dasar'!$D$41</f>
        <v/>
      </c>
      <c r="F252" s="12">
        <f>D252*E252</f>
        <v/>
      </c>
    </row>
    <row r="253">
      <c r="A253" s="9" t="inlineStr">
        <is>
          <t>L01</t>
        </is>
      </c>
      <c r="B253" s="9" t="inlineStr">
        <is>
          <t>Pekerja</t>
        </is>
      </c>
      <c r="C253" s="8" t="inlineStr">
        <is>
          <t>OH</t>
        </is>
      </c>
      <c r="D253" s="28" t="n">
        <v>0.1</v>
      </c>
      <c r="E253" s="11">
        <f>'Harga Dasar'!$D$6</f>
        <v/>
      </c>
      <c r="F253" s="12">
        <f>D253*E253</f>
        <v/>
      </c>
    </row>
    <row r="254">
      <c r="A254" s="9" t="inlineStr">
        <is>
          <t>L02</t>
        </is>
      </c>
      <c r="B254" s="9" t="inlineStr">
        <is>
          <t>Tukang (batu/kayu/besi/las)</t>
        </is>
      </c>
      <c r="C254" s="8" t="inlineStr">
        <is>
          <t>OH</t>
        </is>
      </c>
      <c r="D254" s="28" t="n">
        <v>0.2</v>
      </c>
      <c r="E254" s="11">
        <f>'Harga Dasar'!$D$7</f>
        <v/>
      </c>
      <c r="F254" s="12">
        <f>D254*E254</f>
        <v/>
      </c>
    </row>
    <row r="255">
      <c r="A255" s="9" t="inlineStr">
        <is>
          <t>L03</t>
        </is>
      </c>
      <c r="B255" s="9" t="inlineStr">
        <is>
          <t>Kepala tukang</t>
        </is>
      </c>
      <c r="C255" s="8" t="inlineStr">
        <is>
          <t>OH</t>
        </is>
      </c>
      <c r="D255" s="28" t="n">
        <v>0.02</v>
      </c>
      <c r="E255" s="11">
        <f>'Harga Dasar'!$D$8</f>
        <v/>
      </c>
      <c r="F255" s="12">
        <f>D255*E255</f>
        <v/>
      </c>
    </row>
    <row r="256">
      <c r="A256" s="9" t="inlineStr">
        <is>
          <t>L04</t>
        </is>
      </c>
      <c r="B256" s="9" t="inlineStr">
        <is>
          <t>Mandor</t>
        </is>
      </c>
      <c r="C256" s="8" t="inlineStr">
        <is>
          <t>OH</t>
        </is>
      </c>
      <c r="D256" s="28" t="n">
        <v>0.005</v>
      </c>
      <c r="E256" s="11">
        <f>'Harga Dasar'!$D$9</f>
        <v/>
      </c>
      <c r="F256" s="12">
        <f>D256*E256</f>
        <v/>
      </c>
    </row>
    <row r="257">
      <c r="B257" s="9" t="inlineStr">
        <is>
          <t>Jumlah upah + bahan + alat</t>
        </is>
      </c>
      <c r="F257" s="12">
        <f>SUM(F250:F256)</f>
        <v/>
      </c>
    </row>
    <row r="258">
      <c r="B258" s="9" t="inlineStr">
        <is>
          <t>Biaya umum dan keuntungan</t>
        </is>
      </c>
      <c r="F258" s="12">
        <f>F257*Petunjuk!$C$15</f>
        <v/>
      </c>
    </row>
    <row r="259">
      <c r="A259" s="14" t="inlineStr"/>
      <c r="B259" s="15" t="inlineStr">
        <is>
          <t>HARGA SATUAN PEKERJAAN per m²</t>
        </is>
      </c>
      <c r="C259" s="14" t="inlineStr"/>
      <c r="D259" s="14" t="inlineStr"/>
      <c r="E259" s="14" t="inlineStr"/>
      <c r="F259" s="16">
        <f>ROUND(F257+F258,-2)</f>
        <v/>
      </c>
    </row>
    <row r="261">
      <c r="A261" s="26" t="inlineStr">
        <is>
          <t>E.1</t>
        </is>
      </c>
      <c r="B261" s="26" t="inlineStr">
        <is>
          <t>Kawat harmonika 1" pada rangka</t>
        </is>
      </c>
      <c r="C261" s="27" t="inlineStr">
        <is>
          <t>m²</t>
        </is>
      </c>
      <c r="D261" s="26" t="inlineStr">
        <is>
          <t>Koefisien</t>
        </is>
      </c>
      <c r="E261" s="26" t="inlineStr">
        <is>
          <t>Harga dasar</t>
        </is>
      </c>
      <c r="F261" s="26" t="inlineStr">
        <is>
          <t>Jumlah (Rp)</t>
        </is>
      </c>
    </row>
    <row r="262">
      <c r="A262" s="9" t="inlineStr">
        <is>
          <t>M14</t>
        </is>
      </c>
      <c r="B262" s="9" t="inlineStr">
        <is>
          <t>Kawat harmonika galvanis 1" BWG 16 (dinding kandang)</t>
        </is>
      </c>
      <c r="C262" s="8" t="inlineStr">
        <is>
          <t>m²</t>
        </is>
      </c>
      <c r="D262" s="28" t="n">
        <v>1.05</v>
      </c>
      <c r="E262" s="11">
        <f>'Harga Dasar'!$D$24</f>
        <v/>
      </c>
      <c r="F262" s="12">
        <f>D262*E262</f>
        <v/>
      </c>
    </row>
    <row r="263">
      <c r="A263" s="9" t="inlineStr">
        <is>
          <t>M09</t>
        </is>
      </c>
      <c r="B263" s="9" t="inlineStr">
        <is>
          <t>Kawat bendrat</t>
        </is>
      </c>
      <c r="C263" s="8" t="inlineStr">
        <is>
          <t>kg</t>
        </is>
      </c>
      <c r="D263" s="28" t="n">
        <v>0.05</v>
      </c>
      <c r="E263" s="11">
        <f>'Harga Dasar'!$D$19</f>
        <v/>
      </c>
      <c r="F263" s="12">
        <f>D263*E263</f>
        <v/>
      </c>
    </row>
    <row r="264">
      <c r="A264" s="9" t="inlineStr">
        <is>
          <t>L01</t>
        </is>
      </c>
      <c r="B264" s="9" t="inlineStr">
        <is>
          <t>Pekerja</t>
        </is>
      </c>
      <c r="C264" s="8" t="inlineStr">
        <is>
          <t>OH</t>
        </is>
      </c>
      <c r="D264" s="28" t="n">
        <v>0.1</v>
      </c>
      <c r="E264" s="11">
        <f>'Harga Dasar'!$D$6</f>
        <v/>
      </c>
      <c r="F264" s="12">
        <f>D264*E264</f>
        <v/>
      </c>
    </row>
    <row r="265">
      <c r="A265" s="9" t="inlineStr">
        <is>
          <t>L02</t>
        </is>
      </c>
      <c r="B265" s="9" t="inlineStr">
        <is>
          <t>Tukang (batu/kayu/besi/las)</t>
        </is>
      </c>
      <c r="C265" s="8" t="inlineStr">
        <is>
          <t>OH</t>
        </is>
      </c>
      <c r="D265" s="28" t="n">
        <v>0.1</v>
      </c>
      <c r="E265" s="11">
        <f>'Harga Dasar'!$D$7</f>
        <v/>
      </c>
      <c r="F265" s="12">
        <f>D265*E265</f>
        <v/>
      </c>
    </row>
    <row r="266">
      <c r="A266" s="9" t="inlineStr">
        <is>
          <t>L03</t>
        </is>
      </c>
      <c r="B266" s="9" t="inlineStr">
        <is>
          <t>Kepala tukang</t>
        </is>
      </c>
      <c r="C266" s="8" t="inlineStr">
        <is>
          <t>OH</t>
        </is>
      </c>
      <c r="D266" s="28" t="n">
        <v>0.01</v>
      </c>
      <c r="E266" s="11">
        <f>'Harga Dasar'!$D$8</f>
        <v/>
      </c>
      <c r="F266" s="12">
        <f>D266*E266</f>
        <v/>
      </c>
    </row>
    <row r="267">
      <c r="A267" s="9" t="inlineStr">
        <is>
          <t>L04</t>
        </is>
      </c>
      <c r="B267" s="9" t="inlineStr">
        <is>
          <t>Mandor</t>
        </is>
      </c>
      <c r="C267" s="8" t="inlineStr">
        <is>
          <t>OH</t>
        </is>
      </c>
      <c r="D267" s="28" t="n">
        <v>0.005</v>
      </c>
      <c r="E267" s="11">
        <f>'Harga Dasar'!$D$9</f>
        <v/>
      </c>
      <c r="F267" s="12">
        <f>D267*E267</f>
        <v/>
      </c>
    </row>
    <row r="268">
      <c r="B268" s="9" t="inlineStr">
        <is>
          <t>Jumlah upah + bahan + alat</t>
        </is>
      </c>
      <c r="F268" s="12">
        <f>SUM(F262:F267)</f>
        <v/>
      </c>
    </row>
    <row r="269">
      <c r="B269" s="9" t="inlineStr">
        <is>
          <t>Biaya umum dan keuntungan</t>
        </is>
      </c>
      <c r="F269" s="12">
        <f>F268*Petunjuk!$C$15</f>
        <v/>
      </c>
    </row>
    <row r="270">
      <c r="A270" s="14" t="inlineStr"/>
      <c r="B270" s="15" t="inlineStr">
        <is>
          <t>HARGA SATUAN PEKERJAAN per m²</t>
        </is>
      </c>
      <c r="C270" s="14" t="inlineStr"/>
      <c r="D270" s="14" t="inlineStr"/>
      <c r="E270" s="14" t="inlineStr"/>
      <c r="F270" s="16">
        <f>ROUND(F268+F269,-2)</f>
        <v/>
      </c>
    </row>
    <row r="272">
      <c r="A272" s="26" t="inlineStr">
        <is>
          <t>E.2</t>
        </is>
      </c>
      <c r="B272" s="26" t="inlineStr">
        <is>
          <t>Rangka hollow galvanis 40x40 terpasang</t>
        </is>
      </c>
      <c r="C272" s="27" t="inlineStr">
        <is>
          <t>m'</t>
        </is>
      </c>
      <c r="D272" s="26" t="inlineStr">
        <is>
          <t>Koefisien</t>
        </is>
      </c>
      <c r="E272" s="26" t="inlineStr">
        <is>
          <t>Harga dasar</t>
        </is>
      </c>
      <c r="F272" s="26" t="inlineStr">
        <is>
          <t>Jumlah (Rp)</t>
        </is>
      </c>
    </row>
    <row r="273">
      <c r="A273" s="9" t="inlineStr">
        <is>
          <t>M21</t>
        </is>
      </c>
      <c r="B273" s="9" t="inlineStr">
        <is>
          <t>Hollow galvanis 40x40x1,2 (6 m)</t>
        </is>
      </c>
      <c r="C273" s="8" t="inlineStr">
        <is>
          <t>btg</t>
        </is>
      </c>
      <c r="D273" s="28" t="n">
        <v>0.175</v>
      </c>
      <c r="E273" s="11">
        <f>'Harga Dasar'!$D$31</f>
        <v/>
      </c>
      <c r="F273" s="12">
        <f>D273*E273</f>
        <v/>
      </c>
    </row>
    <row r="274">
      <c r="A274" s="9" t="inlineStr">
        <is>
          <t>M32</t>
        </is>
      </c>
      <c r="B274" s="9" t="inlineStr">
        <is>
          <t>Dynabolt M10</t>
        </is>
      </c>
      <c r="C274" s="8" t="inlineStr">
        <is>
          <t>bh</t>
        </is>
      </c>
      <c r="D274" s="28" t="n">
        <v>0.5</v>
      </c>
      <c r="E274" s="11">
        <f>'Harga Dasar'!$D$42</f>
        <v/>
      </c>
      <c r="F274" s="12">
        <f>D274*E274</f>
        <v/>
      </c>
    </row>
    <row r="275">
      <c r="A275" s="9" t="inlineStr">
        <is>
          <t>L01</t>
        </is>
      </c>
      <c r="B275" s="9" t="inlineStr">
        <is>
          <t>Pekerja</t>
        </is>
      </c>
      <c r="C275" s="8" t="inlineStr">
        <is>
          <t>OH</t>
        </is>
      </c>
      <c r="D275" s="28" t="n">
        <v>0.05</v>
      </c>
      <c r="E275" s="11">
        <f>'Harga Dasar'!$D$6</f>
        <v/>
      </c>
      <c r="F275" s="12">
        <f>D275*E275</f>
        <v/>
      </c>
    </row>
    <row r="276">
      <c r="A276" s="9" t="inlineStr">
        <is>
          <t>L02</t>
        </is>
      </c>
      <c r="B276" s="9" t="inlineStr">
        <is>
          <t>Tukang (batu/kayu/besi/las)</t>
        </is>
      </c>
      <c r="C276" s="8" t="inlineStr">
        <is>
          <t>OH</t>
        </is>
      </c>
      <c r="D276" s="28" t="n">
        <v>0.08</v>
      </c>
      <c r="E276" s="11">
        <f>'Harga Dasar'!$D$7</f>
        <v/>
      </c>
      <c r="F276" s="12">
        <f>D276*E276</f>
        <v/>
      </c>
    </row>
    <row r="277">
      <c r="A277" s="9" t="inlineStr">
        <is>
          <t>L03</t>
        </is>
      </c>
      <c r="B277" s="9" t="inlineStr">
        <is>
          <t>Kepala tukang</t>
        </is>
      </c>
      <c r="C277" s="8" t="inlineStr">
        <is>
          <t>OH</t>
        </is>
      </c>
      <c r="D277" s="28" t="n">
        <v>0.008</v>
      </c>
      <c r="E277" s="11">
        <f>'Harga Dasar'!$D$8</f>
        <v/>
      </c>
      <c r="F277" s="12">
        <f>D277*E277</f>
        <v/>
      </c>
    </row>
    <row r="278">
      <c r="B278" s="9" t="inlineStr">
        <is>
          <t>Jumlah upah + bahan + alat</t>
        </is>
      </c>
      <c r="F278" s="12">
        <f>SUM(F273:F277)</f>
        <v/>
      </c>
    </row>
    <row r="279">
      <c r="B279" s="9" t="inlineStr">
        <is>
          <t>Biaya umum dan keuntungan</t>
        </is>
      </c>
      <c r="F279" s="12">
        <f>F278*Petunjuk!$C$15</f>
        <v/>
      </c>
    </row>
    <row r="280">
      <c r="A280" s="14" t="inlineStr"/>
      <c r="B280" s="15" t="inlineStr">
        <is>
          <t>HARGA SATUAN PEKERJAAN per m'</t>
        </is>
      </c>
      <c r="C280" s="14" t="inlineStr"/>
      <c r="D280" s="14" t="inlineStr"/>
      <c r="E280" s="14" t="inlineStr"/>
      <c r="F280" s="16">
        <f>ROUND(F278+F279,-2)</f>
        <v/>
      </c>
    </row>
    <row r="282">
      <c r="A282" s="26" t="inlineStr">
        <is>
          <t>E.3</t>
        </is>
      </c>
      <c r="B282" s="26" t="inlineStr">
        <is>
          <t>Tirai terpal + tali, katrol, pipa penggulung</t>
        </is>
      </c>
      <c r="C282" s="27" t="inlineStr">
        <is>
          <t>m²</t>
        </is>
      </c>
      <c r="D282" s="26" t="inlineStr">
        <is>
          <t>Koefisien</t>
        </is>
      </c>
      <c r="E282" s="26" t="inlineStr">
        <is>
          <t>Harga dasar</t>
        </is>
      </c>
      <c r="F282" s="26" t="inlineStr">
        <is>
          <t>Jumlah (Rp)</t>
        </is>
      </c>
    </row>
    <row r="283">
      <c r="A283" s="9" t="inlineStr">
        <is>
          <t>M17</t>
        </is>
      </c>
      <c r="B283" s="9" t="inlineStr">
        <is>
          <t>Terpal A5 tirai</t>
        </is>
      </c>
      <c r="C283" s="8" t="inlineStr">
        <is>
          <t>m²</t>
        </is>
      </c>
      <c r="D283" s="28" t="n">
        <v>1.1</v>
      </c>
      <c r="E283" s="11">
        <f>'Harga Dasar'!$D$27</f>
        <v/>
      </c>
      <c r="F283" s="12">
        <f>D283*E283</f>
        <v/>
      </c>
    </row>
    <row r="284">
      <c r="A284" s="9" t="inlineStr">
        <is>
          <t>M18</t>
        </is>
      </c>
      <c r="B284" s="9" t="inlineStr">
        <is>
          <t>Tali nilon 6 mm</t>
        </is>
      </c>
      <c r="C284" s="8" t="inlineStr">
        <is>
          <t>m</t>
        </is>
      </c>
      <c r="D284" s="28" t="n">
        <v>0.6</v>
      </c>
      <c r="E284" s="11">
        <f>'Harga Dasar'!$D$28</f>
        <v/>
      </c>
      <c r="F284" s="12">
        <f>D284*E284</f>
        <v/>
      </c>
    </row>
    <row r="285">
      <c r="A285" s="9" t="inlineStr">
        <is>
          <t>M19</t>
        </is>
      </c>
      <c r="B285" s="9" t="inlineStr">
        <is>
          <t>Katrol tirai</t>
        </is>
      </c>
      <c r="C285" s="8" t="inlineStr">
        <is>
          <t>bh</t>
        </is>
      </c>
      <c r="D285" s="28" t="n">
        <v>0.025</v>
      </c>
      <c r="E285" s="11">
        <f>'Harga Dasar'!$D$29</f>
        <v/>
      </c>
      <c r="F285" s="12">
        <f>D285*E285</f>
        <v/>
      </c>
    </row>
    <row r="286">
      <c r="A286" s="9" t="inlineStr">
        <is>
          <t>M20</t>
        </is>
      </c>
      <c r="B286" s="9" t="inlineStr">
        <is>
          <t>Pipa PVC 3/4" (4 m)</t>
        </is>
      </c>
      <c r="C286" s="8" t="inlineStr">
        <is>
          <t>btg</t>
        </is>
      </c>
      <c r="D286" s="28" t="n">
        <v>0.125</v>
      </c>
      <c r="E286" s="11">
        <f>'Harga Dasar'!$D$30</f>
        <v/>
      </c>
      <c r="F286" s="12">
        <f>D286*E286</f>
        <v/>
      </c>
    </row>
    <row r="287">
      <c r="A287" s="9" t="inlineStr">
        <is>
          <t>L01</t>
        </is>
      </c>
      <c r="B287" s="9" t="inlineStr">
        <is>
          <t>Pekerja</t>
        </is>
      </c>
      <c r="C287" s="8" t="inlineStr">
        <is>
          <t>OH</t>
        </is>
      </c>
      <c r="D287" s="28" t="n">
        <v>0.08</v>
      </c>
      <c r="E287" s="11">
        <f>'Harga Dasar'!$D$6</f>
        <v/>
      </c>
      <c r="F287" s="12">
        <f>D287*E287</f>
        <v/>
      </c>
    </row>
    <row r="288">
      <c r="A288" s="9" t="inlineStr">
        <is>
          <t>L02</t>
        </is>
      </c>
      <c r="B288" s="9" t="inlineStr">
        <is>
          <t>Tukang (batu/kayu/besi/las)</t>
        </is>
      </c>
      <c r="C288" s="8" t="inlineStr">
        <is>
          <t>OH</t>
        </is>
      </c>
      <c r="D288" s="28" t="n">
        <v>0.04</v>
      </c>
      <c r="E288" s="11">
        <f>'Harga Dasar'!$D$7</f>
        <v/>
      </c>
      <c r="F288" s="12">
        <f>D288*E288</f>
        <v/>
      </c>
    </row>
    <row r="289">
      <c r="B289" s="9" t="inlineStr">
        <is>
          <t>Jumlah upah + bahan + alat</t>
        </is>
      </c>
      <c r="F289" s="12">
        <f>SUM(F283:F288)</f>
        <v/>
      </c>
    </row>
    <row r="290">
      <c r="B290" s="9" t="inlineStr">
        <is>
          <t>Biaya umum dan keuntungan</t>
        </is>
      </c>
      <c r="F290" s="12">
        <f>F289*Petunjuk!$C$15</f>
        <v/>
      </c>
    </row>
    <row r="291">
      <c r="A291" s="14" t="inlineStr"/>
      <c r="B291" s="15" t="inlineStr">
        <is>
          <t>HARGA SATUAN PEKERJAAN per m²</t>
        </is>
      </c>
      <c r="C291" s="14" t="inlineStr"/>
      <c r="D291" s="14" t="inlineStr"/>
      <c r="E291" s="14" t="inlineStr"/>
      <c r="F291" s="16">
        <f>ROUND(F289+F290,-2)</f>
        <v/>
      </c>
    </row>
    <row r="293">
      <c r="A293" s="26" t="inlineStr">
        <is>
          <t>E.4</t>
        </is>
      </c>
      <c r="B293" s="26" t="inlineStr">
        <is>
          <t>Pagar kawat harmonika 2" tinggi 210 (30 ditanam)</t>
        </is>
      </c>
      <c r="C293" s="27" t="inlineStr">
        <is>
          <t>m'</t>
        </is>
      </c>
      <c r="D293" s="26" t="inlineStr">
        <is>
          <t>Koefisien</t>
        </is>
      </c>
      <c r="E293" s="26" t="inlineStr">
        <is>
          <t>Harga dasar</t>
        </is>
      </c>
      <c r="F293" s="26" t="inlineStr">
        <is>
          <t>Jumlah (Rp)</t>
        </is>
      </c>
    </row>
    <row r="294">
      <c r="A294" s="9" t="inlineStr">
        <is>
          <t>M15</t>
        </is>
      </c>
      <c r="B294" s="9" t="inlineStr">
        <is>
          <t>Kawat harmonika galvanis 2" BWG 12 (pagar)</t>
        </is>
      </c>
      <c r="C294" s="8" t="inlineStr">
        <is>
          <t>m²</t>
        </is>
      </c>
      <c r="D294" s="28" t="n">
        <v>2.2</v>
      </c>
      <c r="E294" s="11">
        <f>'Harga Dasar'!$D$25</f>
        <v/>
      </c>
      <c r="F294" s="12">
        <f>D294*E294</f>
        <v/>
      </c>
    </row>
    <row r="295">
      <c r="A295" s="9" t="inlineStr">
        <is>
          <t>M16</t>
        </is>
      </c>
      <c r="B295" s="9" t="inlineStr">
        <is>
          <t>Kawat seling / besi Ø3 mm</t>
        </is>
      </c>
      <c r="C295" s="8" t="inlineStr">
        <is>
          <t>m</t>
        </is>
      </c>
      <c r="D295" s="28" t="n">
        <v>3.15</v>
      </c>
      <c r="E295" s="11">
        <f>'Harga Dasar'!$D$26</f>
        <v/>
      </c>
      <c r="F295" s="12">
        <f>D295*E295</f>
        <v/>
      </c>
    </row>
    <row r="296">
      <c r="A296" s="9" t="inlineStr">
        <is>
          <t>M09</t>
        </is>
      </c>
      <c r="B296" s="9" t="inlineStr">
        <is>
          <t>Kawat bendrat</t>
        </is>
      </c>
      <c r="C296" s="8" t="inlineStr">
        <is>
          <t>kg</t>
        </is>
      </c>
      <c r="D296" s="28" t="n">
        <v>0.1</v>
      </c>
      <c r="E296" s="11">
        <f>'Harga Dasar'!$D$19</f>
        <v/>
      </c>
      <c r="F296" s="12">
        <f>D296*E296</f>
        <v/>
      </c>
    </row>
    <row r="297">
      <c r="A297" s="9" t="inlineStr">
        <is>
          <t>L01</t>
        </is>
      </c>
      <c r="B297" s="9" t="inlineStr">
        <is>
          <t>Pekerja</t>
        </is>
      </c>
      <c r="C297" s="8" t="inlineStr">
        <is>
          <t>OH</t>
        </is>
      </c>
      <c r="D297" s="28" t="n">
        <v>0.15</v>
      </c>
      <c r="E297" s="11">
        <f>'Harga Dasar'!$D$6</f>
        <v/>
      </c>
      <c r="F297" s="12">
        <f>D297*E297</f>
        <v/>
      </c>
    </row>
    <row r="298">
      <c r="A298" s="9" t="inlineStr">
        <is>
          <t>L02</t>
        </is>
      </c>
      <c r="B298" s="9" t="inlineStr">
        <is>
          <t>Tukang (batu/kayu/besi/las)</t>
        </is>
      </c>
      <c r="C298" s="8" t="inlineStr">
        <is>
          <t>OH</t>
        </is>
      </c>
      <c r="D298" s="28" t="n">
        <v>0.1</v>
      </c>
      <c r="E298" s="11">
        <f>'Harga Dasar'!$D$7</f>
        <v/>
      </c>
      <c r="F298" s="12">
        <f>D298*E298</f>
        <v/>
      </c>
    </row>
    <row r="299">
      <c r="A299" s="9" t="inlineStr">
        <is>
          <t>L04</t>
        </is>
      </c>
      <c r="B299" s="9" t="inlineStr">
        <is>
          <t>Mandor</t>
        </is>
      </c>
      <c r="C299" s="8" t="inlineStr">
        <is>
          <t>OH</t>
        </is>
      </c>
      <c r="D299" s="28" t="n">
        <v>0.01</v>
      </c>
      <c r="E299" s="11">
        <f>'Harga Dasar'!$D$9</f>
        <v/>
      </c>
      <c r="F299" s="12">
        <f>D299*E299</f>
        <v/>
      </c>
    </row>
    <row r="300">
      <c r="B300" s="9" t="inlineStr">
        <is>
          <t>Jumlah upah + bahan + alat</t>
        </is>
      </c>
      <c r="F300" s="12">
        <f>SUM(F294:F299)</f>
        <v/>
      </c>
    </row>
    <row r="301">
      <c r="B301" s="9" t="inlineStr">
        <is>
          <t>Biaya umum dan keuntungan</t>
        </is>
      </c>
      <c r="F301" s="12">
        <f>F300*Petunjuk!$C$15</f>
        <v/>
      </c>
    </row>
    <row r="302">
      <c r="A302" s="14" t="inlineStr"/>
      <c r="B302" s="15" t="inlineStr">
        <is>
          <t>HARGA SATUAN PEKERJAAN per m'</t>
        </is>
      </c>
      <c r="C302" s="14" t="inlineStr"/>
      <c r="D302" s="14" t="inlineStr"/>
      <c r="E302" s="14" t="inlineStr"/>
      <c r="F302" s="16">
        <f>ROUND(F300+F301,-2)</f>
        <v/>
      </c>
    </row>
    <row r="304">
      <c r="A304" s="26" t="inlineStr">
        <is>
          <t>E.5</t>
        </is>
      </c>
      <c r="B304" s="26" t="inlineStr">
        <is>
          <t>Tiang pagar beton pracetak + dudukan cor 30x30x60</t>
        </is>
      </c>
      <c r="C304" s="27" t="inlineStr">
        <is>
          <t>bh</t>
        </is>
      </c>
      <c r="D304" s="26" t="inlineStr">
        <is>
          <t>Koefisien</t>
        </is>
      </c>
      <c r="E304" s="26" t="inlineStr">
        <is>
          <t>Harga dasar</t>
        </is>
      </c>
      <c r="F304" s="26" t="inlineStr">
        <is>
          <t>Jumlah (Rp)</t>
        </is>
      </c>
    </row>
    <row r="305">
      <c r="A305" s="9" t="inlineStr">
        <is>
          <t>M39</t>
        </is>
      </c>
      <c r="B305" s="9" t="inlineStr">
        <is>
          <t>Tiang beton pracetak 10x10x240, 4Ø6</t>
        </is>
      </c>
      <c r="C305" s="8" t="inlineStr">
        <is>
          <t>bh</t>
        </is>
      </c>
      <c r="D305" s="28" t="n">
        <v>1</v>
      </c>
      <c r="E305" s="11">
        <f>'Harga Dasar'!$D$49</f>
        <v/>
      </c>
      <c r="F305" s="12">
        <f>D305*E305</f>
        <v/>
      </c>
    </row>
    <row r="306">
      <c r="A306" s="9" t="inlineStr">
        <is>
          <t>M01</t>
        </is>
      </c>
      <c r="B306" s="9" t="inlineStr">
        <is>
          <t>Semen Portland (zak 40 kg = Rp 62.000)</t>
        </is>
      </c>
      <c r="C306" s="8" t="inlineStr">
        <is>
          <t>kg</t>
        </is>
      </c>
      <c r="D306" s="28" t="n">
        <v>17.6</v>
      </c>
      <c r="E306" s="11">
        <f>'Harga Dasar'!$D$11</f>
        <v/>
      </c>
      <c r="F306" s="12">
        <f>D306*E306</f>
        <v/>
      </c>
    </row>
    <row r="307">
      <c r="A307" s="9" t="inlineStr">
        <is>
          <t>M02</t>
        </is>
      </c>
      <c r="B307" s="9" t="inlineStr">
        <is>
          <t>Pasir pasang / pasir beton</t>
        </is>
      </c>
      <c r="C307" s="8" t="inlineStr">
        <is>
          <t>m³</t>
        </is>
      </c>
      <c r="D307" s="28" t="n">
        <v>0.03</v>
      </c>
      <c r="E307" s="11">
        <f>'Harga Dasar'!$D$12</f>
        <v/>
      </c>
      <c r="F307" s="12">
        <f>D307*E307</f>
        <v/>
      </c>
    </row>
    <row r="308">
      <c r="A308" s="9" t="inlineStr">
        <is>
          <t>M04</t>
        </is>
      </c>
      <c r="B308" s="9" t="inlineStr">
        <is>
          <t>Kerikil / batu pecah 2/3</t>
        </is>
      </c>
      <c r="C308" s="8" t="inlineStr">
        <is>
          <t>m³</t>
        </is>
      </c>
      <c r="D308" s="28" t="n">
        <v>0.042</v>
      </c>
      <c r="E308" s="11">
        <f>'Harga Dasar'!$D$14</f>
        <v/>
      </c>
      <c r="F308" s="12">
        <f>D308*E308</f>
        <v/>
      </c>
    </row>
    <row r="309">
      <c r="A309" s="9" t="inlineStr">
        <is>
          <t>L01</t>
        </is>
      </c>
      <c r="B309" s="9" t="inlineStr">
        <is>
          <t>Pekerja</t>
        </is>
      </c>
      <c r="C309" s="8" t="inlineStr">
        <is>
          <t>OH</t>
        </is>
      </c>
      <c r="D309" s="28" t="n">
        <v>0.2</v>
      </c>
      <c r="E309" s="11">
        <f>'Harga Dasar'!$D$6</f>
        <v/>
      </c>
      <c r="F309" s="12">
        <f>D309*E309</f>
        <v/>
      </c>
    </row>
    <row r="310">
      <c r="A310" s="9" t="inlineStr">
        <is>
          <t>L02</t>
        </is>
      </c>
      <c r="B310" s="9" t="inlineStr">
        <is>
          <t>Tukang (batu/kayu/besi/las)</t>
        </is>
      </c>
      <c r="C310" s="8" t="inlineStr">
        <is>
          <t>OH</t>
        </is>
      </c>
      <c r="D310" s="28" t="n">
        <v>0.08</v>
      </c>
      <c r="E310" s="11">
        <f>'Harga Dasar'!$D$7</f>
        <v/>
      </c>
      <c r="F310" s="12">
        <f>D310*E310</f>
        <v/>
      </c>
    </row>
    <row r="311">
      <c r="A311" s="9" t="inlineStr">
        <is>
          <t>L04</t>
        </is>
      </c>
      <c r="B311" s="9" t="inlineStr">
        <is>
          <t>Mandor</t>
        </is>
      </c>
      <c r="C311" s="8" t="inlineStr">
        <is>
          <t>OH</t>
        </is>
      </c>
      <c r="D311" s="28" t="n">
        <v>0.01</v>
      </c>
      <c r="E311" s="11">
        <f>'Harga Dasar'!$D$9</f>
        <v/>
      </c>
      <c r="F311" s="12">
        <f>D311*E311</f>
        <v/>
      </c>
    </row>
    <row r="312">
      <c r="B312" s="9" t="inlineStr">
        <is>
          <t>Jumlah upah + bahan + alat</t>
        </is>
      </c>
      <c r="F312" s="12">
        <f>SUM(F305:F311)</f>
        <v/>
      </c>
    </row>
    <row r="313">
      <c r="B313" s="9" t="inlineStr">
        <is>
          <t>Biaya umum dan keuntungan</t>
        </is>
      </c>
      <c r="F313" s="12">
        <f>F312*Petunjuk!$C$15</f>
        <v/>
      </c>
    </row>
    <row r="314">
      <c r="A314" s="14" t="inlineStr"/>
      <c r="B314" s="15" t="inlineStr">
        <is>
          <t>HARGA SATUAN PEKERJAAN per bh</t>
        </is>
      </c>
      <c r="C314" s="14" t="inlineStr"/>
      <c r="D314" s="14" t="inlineStr"/>
      <c r="E314" s="14" t="inlineStr"/>
      <c r="F314" s="16">
        <f>ROUND(F312+F313,-2)</f>
        <v/>
      </c>
    </row>
    <row r="316">
      <c r="A316" s="26" t="inlineStr">
        <is>
          <t>E.6</t>
        </is>
      </c>
      <c r="B316" s="26" t="inlineStr">
        <is>
          <t>Pintu/gerbang rangka hollow 40x40 + kawat + plat bawah</t>
        </is>
      </c>
      <c r="C316" s="27" t="inlineStr">
        <is>
          <t>m²</t>
        </is>
      </c>
      <c r="D316" s="26" t="inlineStr">
        <is>
          <t>Koefisien</t>
        </is>
      </c>
      <c r="E316" s="26" t="inlineStr">
        <is>
          <t>Harga dasar</t>
        </is>
      </c>
      <c r="F316" s="26" t="inlineStr">
        <is>
          <t>Jumlah (Rp)</t>
        </is>
      </c>
    </row>
    <row r="317">
      <c r="A317" s="9" t="inlineStr">
        <is>
          <t>M21</t>
        </is>
      </c>
      <c r="B317" s="9" t="inlineStr">
        <is>
          <t>Hollow galvanis 40x40x1,2 (6 m)</t>
        </is>
      </c>
      <c r="C317" s="8" t="inlineStr">
        <is>
          <t>btg</t>
        </is>
      </c>
      <c r="D317" s="28" t="n">
        <v>0.8</v>
      </c>
      <c r="E317" s="11">
        <f>'Harga Dasar'!$D$31</f>
        <v/>
      </c>
      <c r="F317" s="12">
        <f>D317*E317</f>
        <v/>
      </c>
    </row>
    <row r="318">
      <c r="A318" s="9" t="inlineStr">
        <is>
          <t>M14</t>
        </is>
      </c>
      <c r="B318" s="9" t="inlineStr">
        <is>
          <t>Kawat harmonika galvanis 1" BWG 16 (dinding kandang)</t>
        </is>
      </c>
      <c r="C318" s="8" t="inlineStr">
        <is>
          <t>m²</t>
        </is>
      </c>
      <c r="D318" s="28" t="n">
        <v>1.05</v>
      </c>
      <c r="E318" s="11">
        <f>'Harga Dasar'!$D$24</f>
        <v/>
      </c>
      <c r="F318" s="12">
        <f>D318*E318</f>
        <v/>
      </c>
    </row>
    <row r="319">
      <c r="A319" s="9" t="inlineStr">
        <is>
          <t>M23</t>
        </is>
      </c>
      <c r="B319" s="9" t="inlineStr">
        <is>
          <t>Plat galvalum 0,4 mm</t>
        </is>
      </c>
      <c r="C319" s="8" t="inlineStr">
        <is>
          <t>m²</t>
        </is>
      </c>
      <c r="D319" s="28" t="n">
        <v>0.2</v>
      </c>
      <c r="E319" s="11">
        <f>'Harga Dasar'!$D$33</f>
        <v/>
      </c>
      <c r="F319" s="12">
        <f>D319*E319</f>
        <v/>
      </c>
    </row>
    <row r="320">
      <c r="A320" s="9" t="inlineStr">
        <is>
          <t>M24</t>
        </is>
      </c>
      <c r="B320" s="9" t="inlineStr">
        <is>
          <t>Engsel 4"</t>
        </is>
      </c>
      <c r="C320" s="8" t="inlineStr">
        <is>
          <t>bh</t>
        </is>
      </c>
      <c r="D320" s="28" t="n">
        <v>1.25</v>
      </c>
      <c r="E320" s="11">
        <f>'Harga Dasar'!$D$34</f>
        <v/>
      </c>
      <c r="F320" s="12">
        <f>D320*E320</f>
        <v/>
      </c>
    </row>
    <row r="321">
      <c r="A321" s="9" t="inlineStr">
        <is>
          <t>M25</t>
        </is>
      </c>
      <c r="B321" s="9" t="inlineStr">
        <is>
          <t>Grendel + kunci</t>
        </is>
      </c>
      <c r="C321" s="8" t="inlineStr">
        <is>
          <t>bh</t>
        </is>
      </c>
      <c r="D321" s="28" t="n">
        <v>0.42</v>
      </c>
      <c r="E321" s="11">
        <f>'Harga Dasar'!$D$35</f>
        <v/>
      </c>
      <c r="F321" s="12">
        <f>D321*E321</f>
        <v/>
      </c>
    </row>
    <row r="322">
      <c r="A322" s="9" t="inlineStr">
        <is>
          <t>M26</t>
        </is>
      </c>
      <c r="B322" s="9" t="inlineStr">
        <is>
          <t>Cat besi / meni</t>
        </is>
      </c>
      <c r="C322" s="8" t="inlineStr">
        <is>
          <t>kg</t>
        </is>
      </c>
      <c r="D322" s="28" t="n">
        <v>0.3</v>
      </c>
      <c r="E322" s="11">
        <f>'Harga Dasar'!$D$36</f>
        <v/>
      </c>
      <c r="F322" s="12">
        <f>D322*E322</f>
        <v/>
      </c>
    </row>
    <row r="323">
      <c r="A323" s="9" t="inlineStr">
        <is>
          <t>L01</t>
        </is>
      </c>
      <c r="B323" s="9" t="inlineStr">
        <is>
          <t>Pekerja</t>
        </is>
      </c>
      <c r="C323" s="8" t="inlineStr">
        <is>
          <t>OH</t>
        </is>
      </c>
      <c r="D323" s="28" t="n">
        <v>0.4</v>
      </c>
      <c r="E323" s="11">
        <f>'Harga Dasar'!$D$6</f>
        <v/>
      </c>
      <c r="F323" s="12">
        <f>D323*E323</f>
        <v/>
      </c>
    </row>
    <row r="324">
      <c r="A324" s="9" t="inlineStr">
        <is>
          <t>L02</t>
        </is>
      </c>
      <c r="B324" s="9" t="inlineStr">
        <is>
          <t>Tukang (batu/kayu/besi/las)</t>
        </is>
      </c>
      <c r="C324" s="8" t="inlineStr">
        <is>
          <t>OH</t>
        </is>
      </c>
      <c r="D324" s="28" t="n">
        <v>0.6</v>
      </c>
      <c r="E324" s="11">
        <f>'Harga Dasar'!$D$7</f>
        <v/>
      </c>
      <c r="F324" s="12">
        <f>D324*E324</f>
        <v/>
      </c>
    </row>
    <row r="325">
      <c r="A325" s="9" t="inlineStr">
        <is>
          <t>L03</t>
        </is>
      </c>
      <c r="B325" s="9" t="inlineStr">
        <is>
          <t>Kepala tukang</t>
        </is>
      </c>
      <c r="C325" s="8" t="inlineStr">
        <is>
          <t>OH</t>
        </is>
      </c>
      <c r="D325" s="28" t="n">
        <v>0.06</v>
      </c>
      <c r="E325" s="11">
        <f>'Harga Dasar'!$D$8</f>
        <v/>
      </c>
      <c r="F325" s="12">
        <f>D325*E325</f>
        <v/>
      </c>
    </row>
    <row r="326">
      <c r="B326" s="9" t="inlineStr">
        <is>
          <t>Jumlah upah + bahan + alat</t>
        </is>
      </c>
      <c r="F326" s="12">
        <f>SUM(F317:F325)</f>
        <v/>
      </c>
    </row>
    <row r="327">
      <c r="B327" s="9" t="inlineStr">
        <is>
          <t>Biaya umum dan keuntungan</t>
        </is>
      </c>
      <c r="F327" s="12">
        <f>F326*Petunjuk!$C$15</f>
        <v/>
      </c>
    </row>
    <row r="328">
      <c r="A328" s="14" t="inlineStr"/>
      <c r="B328" s="15" t="inlineStr">
        <is>
          <t>HARGA SATUAN PEKERJAAN per m²</t>
        </is>
      </c>
      <c r="C328" s="14" t="inlineStr"/>
      <c r="D328" s="14" t="inlineStr"/>
      <c r="E328" s="14" t="inlineStr"/>
      <c r="F328" s="16">
        <f>ROUND(F326+F327,-2)</f>
        <v/>
      </c>
    </row>
    <row r="330">
      <c r="A330" s="26" t="inlineStr">
        <is>
          <t>E.7</t>
        </is>
      </c>
      <c r="B330" s="26" t="inlineStr">
        <is>
          <t>Gerbang rangka hollow 50x50 + kawat 2" + plat bawah</t>
        </is>
      </c>
      <c r="C330" s="27" t="inlineStr">
        <is>
          <t>m²</t>
        </is>
      </c>
      <c r="D330" s="26" t="inlineStr">
        <is>
          <t>Koefisien</t>
        </is>
      </c>
      <c r="E330" s="26" t="inlineStr">
        <is>
          <t>Harga dasar</t>
        </is>
      </c>
      <c r="F330" s="26" t="inlineStr">
        <is>
          <t>Jumlah (Rp)</t>
        </is>
      </c>
    </row>
    <row r="331">
      <c r="A331" s="9" t="inlineStr">
        <is>
          <t>M22</t>
        </is>
      </c>
      <c r="B331" s="9" t="inlineStr">
        <is>
          <t>Hollow galvanis 50x50x1,6 (6 m)</t>
        </is>
      </c>
      <c r="C331" s="8" t="inlineStr">
        <is>
          <t>btg</t>
        </is>
      </c>
      <c r="D331" s="28" t="n">
        <v>1</v>
      </c>
      <c r="E331" s="11">
        <f>'Harga Dasar'!$D$32</f>
        <v/>
      </c>
      <c r="F331" s="12">
        <f>D331*E331</f>
        <v/>
      </c>
    </row>
    <row r="332">
      <c r="A332" s="9" t="inlineStr">
        <is>
          <t>M15</t>
        </is>
      </c>
      <c r="B332" s="9" t="inlineStr">
        <is>
          <t>Kawat harmonika galvanis 2" BWG 12 (pagar)</t>
        </is>
      </c>
      <c r="C332" s="8" t="inlineStr">
        <is>
          <t>m²</t>
        </is>
      </c>
      <c r="D332" s="28" t="n">
        <v>1.05</v>
      </c>
      <c r="E332" s="11">
        <f>'Harga Dasar'!$D$25</f>
        <v/>
      </c>
      <c r="F332" s="12">
        <f>D332*E332</f>
        <v/>
      </c>
    </row>
    <row r="333">
      <c r="A333" s="9" t="inlineStr">
        <is>
          <t>M23</t>
        </is>
      </c>
      <c r="B333" s="9" t="inlineStr">
        <is>
          <t>Plat galvalum 0,4 mm</t>
        </is>
      </c>
      <c r="C333" s="8" t="inlineStr">
        <is>
          <t>m²</t>
        </is>
      </c>
      <c r="D333" s="28" t="n">
        <v>0.25</v>
      </c>
      <c r="E333" s="11">
        <f>'Harga Dasar'!$D$33</f>
        <v/>
      </c>
      <c r="F333" s="12">
        <f>D333*E333</f>
        <v/>
      </c>
    </row>
    <row r="334">
      <c r="A334" s="9" t="inlineStr">
        <is>
          <t>M24</t>
        </is>
      </c>
      <c r="B334" s="9" t="inlineStr">
        <is>
          <t>Engsel 4"</t>
        </is>
      </c>
      <c r="C334" s="8" t="inlineStr">
        <is>
          <t>bh</t>
        </is>
      </c>
      <c r="D334" s="28" t="n">
        <v>0.7</v>
      </c>
      <c r="E334" s="11">
        <f>'Harga Dasar'!$D$34</f>
        <v/>
      </c>
      <c r="F334" s="12">
        <f>D334*E334</f>
        <v/>
      </c>
    </row>
    <row r="335">
      <c r="A335" s="9" t="inlineStr">
        <is>
          <t>M25</t>
        </is>
      </c>
      <c r="B335" s="9" t="inlineStr">
        <is>
          <t>Grendel + kunci</t>
        </is>
      </c>
      <c r="C335" s="8" t="inlineStr">
        <is>
          <t>bh</t>
        </is>
      </c>
      <c r="D335" s="28" t="n">
        <v>0.2</v>
      </c>
      <c r="E335" s="11">
        <f>'Harga Dasar'!$D$35</f>
        <v/>
      </c>
      <c r="F335" s="12">
        <f>D335*E335</f>
        <v/>
      </c>
    </row>
    <row r="336">
      <c r="A336" s="9" t="inlineStr">
        <is>
          <t>M26</t>
        </is>
      </c>
      <c r="B336" s="9" t="inlineStr">
        <is>
          <t>Cat besi / meni</t>
        </is>
      </c>
      <c r="C336" s="8" t="inlineStr">
        <is>
          <t>kg</t>
        </is>
      </c>
      <c r="D336" s="28" t="n">
        <v>0.35</v>
      </c>
      <c r="E336" s="11">
        <f>'Harga Dasar'!$D$36</f>
        <v/>
      </c>
      <c r="F336" s="12">
        <f>D336*E336</f>
        <v/>
      </c>
    </row>
    <row r="337">
      <c r="A337" s="9" t="inlineStr">
        <is>
          <t>L01</t>
        </is>
      </c>
      <c r="B337" s="9" t="inlineStr">
        <is>
          <t>Pekerja</t>
        </is>
      </c>
      <c r="C337" s="8" t="inlineStr">
        <is>
          <t>OH</t>
        </is>
      </c>
      <c r="D337" s="28" t="n">
        <v>0.45</v>
      </c>
      <c r="E337" s="11">
        <f>'Harga Dasar'!$D$6</f>
        <v/>
      </c>
      <c r="F337" s="12">
        <f>D337*E337</f>
        <v/>
      </c>
    </row>
    <row r="338">
      <c r="A338" s="9" t="inlineStr">
        <is>
          <t>L02</t>
        </is>
      </c>
      <c r="B338" s="9" t="inlineStr">
        <is>
          <t>Tukang (batu/kayu/besi/las)</t>
        </is>
      </c>
      <c r="C338" s="8" t="inlineStr">
        <is>
          <t>OH</t>
        </is>
      </c>
      <c r="D338" s="28" t="n">
        <v>0.7</v>
      </c>
      <c r="E338" s="11">
        <f>'Harga Dasar'!$D$7</f>
        <v/>
      </c>
      <c r="F338" s="12">
        <f>D338*E338</f>
        <v/>
      </c>
    </row>
    <row r="339">
      <c r="A339" s="9" t="inlineStr">
        <is>
          <t>L03</t>
        </is>
      </c>
      <c r="B339" s="9" t="inlineStr">
        <is>
          <t>Kepala tukang</t>
        </is>
      </c>
      <c r="C339" s="8" t="inlineStr">
        <is>
          <t>OH</t>
        </is>
      </c>
      <c r="D339" s="28" t="n">
        <v>0.07000000000000001</v>
      </c>
      <c r="E339" s="11">
        <f>'Harga Dasar'!$D$8</f>
        <v/>
      </c>
      <c r="F339" s="12">
        <f>D339*E339</f>
        <v/>
      </c>
    </row>
    <row r="340">
      <c r="B340" s="9" t="inlineStr">
        <is>
          <t>Jumlah upah + bahan + alat</t>
        </is>
      </c>
      <c r="F340" s="12">
        <f>SUM(F331:F339)</f>
        <v/>
      </c>
    </row>
    <row r="341">
      <c r="B341" s="9" t="inlineStr">
        <is>
          <t>Biaya umum dan keuntungan</t>
        </is>
      </c>
      <c r="F341" s="12">
        <f>F340*Petunjuk!$C$15</f>
        <v/>
      </c>
    </row>
    <row r="342">
      <c r="A342" s="14" t="inlineStr"/>
      <c r="B342" s="15" t="inlineStr">
        <is>
          <t>HARGA SATUAN PEKERJAAN per m²</t>
        </is>
      </c>
      <c r="C342" s="14" t="inlineStr"/>
      <c r="D342" s="14" t="inlineStr"/>
      <c r="E342" s="14" t="inlineStr"/>
      <c r="F342" s="16">
        <f>ROUND(F340+F341,-2)</f>
        <v/>
      </c>
    </row>
    <row r="344">
      <c r="A344" s="26" t="inlineStr">
        <is>
          <t>E.8</t>
        </is>
      </c>
      <c r="B344" s="26" t="inlineStr">
        <is>
          <t>Kasa nyamuk pada rangka hollow</t>
        </is>
      </c>
      <c r="C344" s="27" t="inlineStr">
        <is>
          <t>m²</t>
        </is>
      </c>
      <c r="D344" s="26" t="inlineStr">
        <is>
          <t>Koefisien</t>
        </is>
      </c>
      <c r="E344" s="26" t="inlineStr">
        <is>
          <t>Harga dasar</t>
        </is>
      </c>
      <c r="F344" s="26" t="inlineStr">
        <is>
          <t>Jumlah (Rp)</t>
        </is>
      </c>
    </row>
    <row r="345">
      <c r="A345" s="9" t="inlineStr">
        <is>
          <t>M42</t>
        </is>
      </c>
      <c r="B345" s="9" t="inlineStr">
        <is>
          <t>Kasa nyamuk</t>
        </is>
      </c>
      <c r="C345" s="8" t="inlineStr">
        <is>
          <t>m²</t>
        </is>
      </c>
      <c r="D345" s="28" t="n">
        <v>1.1</v>
      </c>
      <c r="E345" s="11">
        <f>'Harga Dasar'!$D$52</f>
        <v/>
      </c>
      <c r="F345" s="12">
        <f>D345*E345</f>
        <v/>
      </c>
    </row>
    <row r="346">
      <c r="A346" s="9" t="inlineStr">
        <is>
          <t>M21</t>
        </is>
      </c>
      <c r="B346" s="9" t="inlineStr">
        <is>
          <t>Hollow galvanis 40x40x1,2 (6 m)</t>
        </is>
      </c>
      <c r="C346" s="8" t="inlineStr">
        <is>
          <t>btg</t>
        </is>
      </c>
      <c r="D346" s="28" t="n">
        <v>0.3</v>
      </c>
      <c r="E346" s="11">
        <f>'Harga Dasar'!$D$31</f>
        <v/>
      </c>
      <c r="F346" s="12">
        <f>D346*E346</f>
        <v/>
      </c>
    </row>
    <row r="347">
      <c r="A347" s="9" t="inlineStr">
        <is>
          <t>L01</t>
        </is>
      </c>
      <c r="B347" s="9" t="inlineStr">
        <is>
          <t>Pekerja</t>
        </is>
      </c>
      <c r="C347" s="8" t="inlineStr">
        <is>
          <t>OH</t>
        </is>
      </c>
      <c r="D347" s="28" t="n">
        <v>0.05</v>
      </c>
      <c r="E347" s="11">
        <f>'Harga Dasar'!$D$6</f>
        <v/>
      </c>
      <c r="F347" s="12">
        <f>D347*E347</f>
        <v/>
      </c>
    </row>
    <row r="348">
      <c r="A348" s="9" t="inlineStr">
        <is>
          <t>L02</t>
        </is>
      </c>
      <c r="B348" s="9" t="inlineStr">
        <is>
          <t>Tukang (batu/kayu/besi/las)</t>
        </is>
      </c>
      <c r="C348" s="8" t="inlineStr">
        <is>
          <t>OH</t>
        </is>
      </c>
      <c r="D348" s="28" t="n">
        <v>0.08</v>
      </c>
      <c r="E348" s="11">
        <f>'Harga Dasar'!$D$7</f>
        <v/>
      </c>
      <c r="F348" s="12">
        <f>D348*E348</f>
        <v/>
      </c>
    </row>
    <row r="349">
      <c r="B349" s="9" t="inlineStr">
        <is>
          <t>Jumlah upah + bahan + alat</t>
        </is>
      </c>
      <c r="F349" s="12">
        <f>SUM(F345:F348)</f>
        <v/>
      </c>
    </row>
    <row r="350">
      <c r="B350" s="9" t="inlineStr">
        <is>
          <t>Biaya umum dan keuntungan</t>
        </is>
      </c>
      <c r="F350" s="12">
        <f>F349*Petunjuk!$C$15</f>
        <v/>
      </c>
    </row>
    <row r="351">
      <c r="A351" s="14" t="inlineStr"/>
      <c r="B351" s="15" t="inlineStr">
        <is>
          <t>HARGA SATUAN PEKERJAAN per m²</t>
        </is>
      </c>
      <c r="C351" s="14" t="inlineStr"/>
      <c r="D351" s="14" t="inlineStr"/>
      <c r="E351" s="14" t="inlineStr"/>
      <c r="F351" s="16">
        <f>ROUND(F349+F350,-2)</f>
        <v/>
      </c>
    </row>
    <row r="353">
      <c r="A353" s="26" t="inlineStr">
        <is>
          <t>F.1</t>
        </is>
      </c>
      <c r="B353" s="26" t="inlineStr">
        <is>
          <t>Pintu umbaran 40x45 kusen kayu + daun galvalum + titian</t>
        </is>
      </c>
      <c r="C353" s="27" t="inlineStr">
        <is>
          <t>unit</t>
        </is>
      </c>
      <c r="D353" s="26" t="inlineStr">
        <is>
          <t>Koefisien</t>
        </is>
      </c>
      <c r="E353" s="26" t="inlineStr">
        <is>
          <t>Harga dasar</t>
        </is>
      </c>
      <c r="F353" s="26" t="inlineStr">
        <is>
          <t>Jumlah (Rp)</t>
        </is>
      </c>
    </row>
    <row r="354">
      <c r="A354" s="9" t="inlineStr">
        <is>
          <t>M11</t>
        </is>
      </c>
      <c r="B354" s="9" t="inlineStr">
        <is>
          <t>Kayu kelas II (kusen, rangka pintu kecil)</t>
        </is>
      </c>
      <c r="C354" s="8" t="inlineStr">
        <is>
          <t>m³</t>
        </is>
      </c>
      <c r="D354" s="28" t="n">
        <v>0.008</v>
      </c>
      <c r="E354" s="11">
        <f>'Harga Dasar'!$D$21</f>
        <v/>
      </c>
      <c r="F354" s="12">
        <f>D354*E354</f>
        <v/>
      </c>
    </row>
    <row r="355">
      <c r="A355" s="9" t="inlineStr">
        <is>
          <t>M10</t>
        </is>
      </c>
      <c r="B355" s="9" t="inlineStr">
        <is>
          <t>Kayu kelas III (bekisting, papan)</t>
        </is>
      </c>
      <c r="C355" s="8" t="inlineStr">
        <is>
          <t>m³</t>
        </is>
      </c>
      <c r="D355" s="28" t="n">
        <v>0.011</v>
      </c>
      <c r="E355" s="11">
        <f>'Harga Dasar'!$D$20</f>
        <v/>
      </c>
      <c r="F355" s="12">
        <f>D355*E355</f>
        <v/>
      </c>
    </row>
    <row r="356">
      <c r="A356" s="9" t="inlineStr">
        <is>
          <t>M23</t>
        </is>
      </c>
      <c r="B356" s="9" t="inlineStr">
        <is>
          <t>Plat galvalum 0,4 mm</t>
        </is>
      </c>
      <c r="C356" s="8" t="inlineStr">
        <is>
          <t>m²</t>
        </is>
      </c>
      <c r="D356" s="28" t="n">
        <v>0.3</v>
      </c>
      <c r="E356" s="11">
        <f>'Harga Dasar'!$D$33</f>
        <v/>
      </c>
      <c r="F356" s="12">
        <f>D356*E356</f>
        <v/>
      </c>
    </row>
    <row r="357">
      <c r="A357" s="9" t="inlineStr">
        <is>
          <t>M12</t>
        </is>
      </c>
      <c r="B357" s="9" t="inlineStr">
        <is>
          <t>Paku campur</t>
        </is>
      </c>
      <c r="C357" s="8" t="inlineStr">
        <is>
          <t>kg</t>
        </is>
      </c>
      <c r="D357" s="28" t="n">
        <v>0.2</v>
      </c>
      <c r="E357" s="11">
        <f>'Harga Dasar'!$D$22</f>
        <v/>
      </c>
      <c r="F357" s="12">
        <f>D357*E357</f>
        <v/>
      </c>
    </row>
    <row r="358">
      <c r="A358" s="9" t="inlineStr">
        <is>
          <t>M18</t>
        </is>
      </c>
      <c r="B358" s="9" t="inlineStr">
        <is>
          <t>Tali nilon 6 mm</t>
        </is>
      </c>
      <c r="C358" s="8" t="inlineStr">
        <is>
          <t>m</t>
        </is>
      </c>
      <c r="D358" s="28" t="n">
        <v>3</v>
      </c>
      <c r="E358" s="11">
        <f>'Harga Dasar'!$D$28</f>
        <v/>
      </c>
      <c r="F358" s="12">
        <f>D358*E358</f>
        <v/>
      </c>
    </row>
    <row r="359">
      <c r="A359" s="9" t="inlineStr">
        <is>
          <t>L01</t>
        </is>
      </c>
      <c r="B359" s="9" t="inlineStr">
        <is>
          <t>Pekerja</t>
        </is>
      </c>
      <c r="C359" s="8" t="inlineStr">
        <is>
          <t>OH</t>
        </is>
      </c>
      <c r="D359" s="28" t="n">
        <v>0.3</v>
      </c>
      <c r="E359" s="11">
        <f>'Harga Dasar'!$D$6</f>
        <v/>
      </c>
      <c r="F359" s="12">
        <f>D359*E359</f>
        <v/>
      </c>
    </row>
    <row r="360">
      <c r="A360" s="9" t="inlineStr">
        <is>
          <t>L02</t>
        </is>
      </c>
      <c r="B360" s="9" t="inlineStr">
        <is>
          <t>Tukang (batu/kayu/besi/las)</t>
        </is>
      </c>
      <c r="C360" s="8" t="inlineStr">
        <is>
          <t>OH</t>
        </is>
      </c>
      <c r="D360" s="28" t="n">
        <v>0.6</v>
      </c>
      <c r="E360" s="11">
        <f>'Harga Dasar'!$D$7</f>
        <v/>
      </c>
      <c r="F360" s="12">
        <f>D360*E360</f>
        <v/>
      </c>
    </row>
    <row r="361">
      <c r="B361" s="9" t="inlineStr">
        <is>
          <t>Jumlah upah + bahan + alat</t>
        </is>
      </c>
      <c r="F361" s="12">
        <f>SUM(F354:F360)</f>
        <v/>
      </c>
    </row>
    <row r="362">
      <c r="B362" s="9" t="inlineStr">
        <is>
          <t>Biaya umum dan keuntungan</t>
        </is>
      </c>
      <c r="F362" s="12">
        <f>F361*Petunjuk!$C$15</f>
        <v/>
      </c>
    </row>
    <row r="363">
      <c r="A363" s="14" t="inlineStr"/>
      <c r="B363" s="15" t="inlineStr">
        <is>
          <t>HARGA SATUAN PEKERJAAN per unit</t>
        </is>
      </c>
      <c r="C363" s="14" t="inlineStr"/>
      <c r="D363" s="14" t="inlineStr"/>
      <c r="E363" s="14" t="inlineStr"/>
      <c r="F363" s="16">
        <f>ROUND(F361+F362,-2)</f>
        <v/>
      </c>
    </row>
    <row r="365">
      <c r="A365" s="26" t="inlineStr">
        <is>
          <t>F.2</t>
        </is>
      </c>
      <c r="B365" s="26" t="inlineStr">
        <is>
          <t>Sarang bertelur kayu (per lubang)</t>
        </is>
      </c>
      <c r="C365" s="27" t="inlineStr">
        <is>
          <t>lubang</t>
        </is>
      </c>
      <c r="D365" s="26" t="inlineStr">
        <is>
          <t>Koefisien</t>
        </is>
      </c>
      <c r="E365" s="26" t="inlineStr">
        <is>
          <t>Harga dasar</t>
        </is>
      </c>
      <c r="F365" s="26" t="inlineStr">
        <is>
          <t>Jumlah (Rp)</t>
        </is>
      </c>
    </row>
    <row r="366">
      <c r="A366" s="9" t="inlineStr">
        <is>
          <t>M10</t>
        </is>
      </c>
      <c r="B366" s="9" t="inlineStr">
        <is>
          <t>Kayu kelas III (bekisting, papan)</t>
        </is>
      </c>
      <c r="C366" s="8" t="inlineStr">
        <is>
          <t>m³</t>
        </is>
      </c>
      <c r="D366" s="28" t="n">
        <v>0.0035</v>
      </c>
      <c r="E366" s="11">
        <f>'Harga Dasar'!$D$20</f>
        <v/>
      </c>
      <c r="F366" s="12">
        <f>D366*E366</f>
        <v/>
      </c>
    </row>
    <row r="367">
      <c r="A367" s="9" t="inlineStr">
        <is>
          <t>M12</t>
        </is>
      </c>
      <c r="B367" s="9" t="inlineStr">
        <is>
          <t>Paku campur</t>
        </is>
      </c>
      <c r="C367" s="8" t="inlineStr">
        <is>
          <t>kg</t>
        </is>
      </c>
      <c r="D367" s="28" t="n">
        <v>0.04</v>
      </c>
      <c r="E367" s="11">
        <f>'Harga Dasar'!$D$22</f>
        <v/>
      </c>
      <c r="F367" s="12">
        <f>D367*E367</f>
        <v/>
      </c>
    </row>
    <row r="368">
      <c r="A368" s="9" t="inlineStr">
        <is>
          <t>L01</t>
        </is>
      </c>
      <c r="B368" s="9" t="inlineStr">
        <is>
          <t>Pekerja</t>
        </is>
      </c>
      <c r="C368" s="8" t="inlineStr">
        <is>
          <t>OH</t>
        </is>
      </c>
      <c r="D368" s="28" t="n">
        <v>0.03</v>
      </c>
      <c r="E368" s="11">
        <f>'Harga Dasar'!$D$6</f>
        <v/>
      </c>
      <c r="F368" s="12">
        <f>D368*E368</f>
        <v/>
      </c>
    </row>
    <row r="369">
      <c r="A369" s="9" t="inlineStr">
        <is>
          <t>L02</t>
        </is>
      </c>
      <c r="B369" s="9" t="inlineStr">
        <is>
          <t>Tukang (batu/kayu/besi/las)</t>
        </is>
      </c>
      <c r="C369" s="8" t="inlineStr">
        <is>
          <t>OH</t>
        </is>
      </c>
      <c r="D369" s="28" t="n">
        <v>0.06</v>
      </c>
      <c r="E369" s="11">
        <f>'Harga Dasar'!$D$7</f>
        <v/>
      </c>
      <c r="F369" s="12">
        <f>D369*E369</f>
        <v/>
      </c>
    </row>
    <row r="370">
      <c r="B370" s="9" t="inlineStr">
        <is>
          <t>Jumlah upah + bahan + alat</t>
        </is>
      </c>
      <c r="F370" s="12">
        <f>SUM(F366:F369)</f>
        <v/>
      </c>
    </row>
    <row r="371">
      <c r="B371" s="9" t="inlineStr">
        <is>
          <t>Biaya umum dan keuntungan</t>
        </is>
      </c>
      <c r="F371" s="12">
        <f>F370*Petunjuk!$C$15</f>
        <v/>
      </c>
    </row>
    <row r="372">
      <c r="A372" s="14" t="inlineStr"/>
      <c r="B372" s="15" t="inlineStr">
        <is>
          <t>HARGA SATUAN PEKERJAAN per lubang</t>
        </is>
      </c>
      <c r="C372" s="14" t="inlineStr"/>
      <c r="D372" s="14" t="inlineStr"/>
      <c r="E372" s="14" t="inlineStr"/>
      <c r="F372" s="16">
        <f>ROUND(F370+F371,-2)</f>
        <v/>
      </c>
    </row>
    <row r="374">
      <c r="A374" s="26" t="inlineStr">
        <is>
          <t>F.3</t>
        </is>
      </c>
      <c r="B374" s="26" t="inlineStr">
        <is>
          <t>Tenggeran kayu/bambu bertingkat</t>
        </is>
      </c>
      <c r="C374" s="27" t="inlineStr">
        <is>
          <t>m'</t>
        </is>
      </c>
      <c r="D374" s="26" t="inlineStr">
        <is>
          <t>Koefisien</t>
        </is>
      </c>
      <c r="E374" s="26" t="inlineStr">
        <is>
          <t>Harga dasar</t>
        </is>
      </c>
      <c r="F374" s="26" t="inlineStr">
        <is>
          <t>Jumlah (Rp)</t>
        </is>
      </c>
    </row>
    <row r="375">
      <c r="A375" s="9" t="inlineStr">
        <is>
          <t>M10</t>
        </is>
      </c>
      <c r="B375" s="9" t="inlineStr">
        <is>
          <t>Kayu kelas III (bekisting, papan)</t>
        </is>
      </c>
      <c r="C375" s="8" t="inlineStr">
        <is>
          <t>m³</t>
        </is>
      </c>
      <c r="D375" s="28" t="n">
        <v>0.004</v>
      </c>
      <c r="E375" s="11">
        <f>'Harga Dasar'!$D$20</f>
        <v/>
      </c>
      <c r="F375" s="12">
        <f>D375*E375</f>
        <v/>
      </c>
    </row>
    <row r="376">
      <c r="A376" s="9" t="inlineStr">
        <is>
          <t>M12</t>
        </is>
      </c>
      <c r="B376" s="9" t="inlineStr">
        <is>
          <t>Paku campur</t>
        </is>
      </c>
      <c r="C376" s="8" t="inlineStr">
        <is>
          <t>kg</t>
        </is>
      </c>
      <c r="D376" s="28" t="n">
        <v>0.05</v>
      </c>
      <c r="E376" s="11">
        <f>'Harga Dasar'!$D$22</f>
        <v/>
      </c>
      <c r="F376" s="12">
        <f>D376*E376</f>
        <v/>
      </c>
    </row>
    <row r="377">
      <c r="A377" s="9" t="inlineStr">
        <is>
          <t>L01</t>
        </is>
      </c>
      <c r="B377" s="9" t="inlineStr">
        <is>
          <t>Pekerja</t>
        </is>
      </c>
      <c r="C377" s="8" t="inlineStr">
        <is>
          <t>OH</t>
        </is>
      </c>
      <c r="D377" s="28" t="n">
        <v>0.05</v>
      </c>
      <c r="E377" s="11">
        <f>'Harga Dasar'!$D$6</f>
        <v/>
      </c>
      <c r="F377" s="12">
        <f>D377*E377</f>
        <v/>
      </c>
    </row>
    <row r="378">
      <c r="A378" s="9" t="inlineStr">
        <is>
          <t>L02</t>
        </is>
      </c>
      <c r="B378" s="9" t="inlineStr">
        <is>
          <t>Tukang (batu/kayu/besi/las)</t>
        </is>
      </c>
      <c r="C378" s="8" t="inlineStr">
        <is>
          <t>OH</t>
        </is>
      </c>
      <c r="D378" s="28" t="n">
        <v>0.1</v>
      </c>
      <c r="E378" s="11">
        <f>'Harga Dasar'!$D$7</f>
        <v/>
      </c>
      <c r="F378" s="12">
        <f>D378*E378</f>
        <v/>
      </c>
    </row>
    <row r="379">
      <c r="B379" s="9" t="inlineStr">
        <is>
          <t>Jumlah upah + bahan + alat</t>
        </is>
      </c>
      <c r="F379" s="12">
        <f>SUM(F375:F378)</f>
        <v/>
      </c>
    </row>
    <row r="380">
      <c r="B380" s="9" t="inlineStr">
        <is>
          <t>Biaya umum dan keuntungan</t>
        </is>
      </c>
      <c r="F380" s="12">
        <f>F379*Petunjuk!$C$15</f>
        <v/>
      </c>
    </row>
    <row r="381">
      <c r="A381" s="14" t="inlineStr"/>
      <c r="B381" s="15" t="inlineStr">
        <is>
          <t>HARGA SATUAN PEKERJAAN per m'</t>
        </is>
      </c>
      <c r="C381" s="14" t="inlineStr"/>
      <c r="D381" s="14" t="inlineStr"/>
      <c r="E381" s="14" t="inlineStr"/>
      <c r="F381" s="16">
        <f>ROUND(F379+F380,-2)</f>
        <v/>
      </c>
    </row>
    <row r="383">
      <c r="A383" s="26" t="inlineStr">
        <is>
          <t>F.4</t>
        </is>
      </c>
      <c r="B383" s="26" t="inlineStr">
        <is>
          <t>Bak celup kaki beton 60x120</t>
        </is>
      </c>
      <c r="C383" s="27" t="inlineStr">
        <is>
          <t>unit</t>
        </is>
      </c>
      <c r="D383" s="26" t="inlineStr">
        <is>
          <t>Koefisien</t>
        </is>
      </c>
      <c r="E383" s="26" t="inlineStr">
        <is>
          <t>Harga dasar</t>
        </is>
      </c>
      <c r="F383" s="26" t="inlineStr">
        <is>
          <t>Jumlah (Rp)</t>
        </is>
      </c>
    </row>
    <row r="384">
      <c r="A384" s="9" t="inlineStr">
        <is>
          <t>M01</t>
        </is>
      </c>
      <c r="B384" s="9" t="inlineStr">
        <is>
          <t>Semen Portland (zak 40 kg = Rp 62.000)</t>
        </is>
      </c>
      <c r="C384" s="8" t="inlineStr">
        <is>
          <t>kg</t>
        </is>
      </c>
      <c r="D384" s="28" t="n">
        <v>33</v>
      </c>
      <c r="E384" s="11">
        <f>'Harga Dasar'!$D$11</f>
        <v/>
      </c>
      <c r="F384" s="12">
        <f>D384*E384</f>
        <v/>
      </c>
    </row>
    <row r="385">
      <c r="A385" s="9" t="inlineStr">
        <is>
          <t>M02</t>
        </is>
      </c>
      <c r="B385" s="9" t="inlineStr">
        <is>
          <t>Pasir pasang / pasir beton</t>
        </is>
      </c>
      <c r="C385" s="8" t="inlineStr">
        <is>
          <t>m³</t>
        </is>
      </c>
      <c r="D385" s="28" t="n">
        <v>0.055</v>
      </c>
      <c r="E385" s="11">
        <f>'Harga Dasar'!$D$12</f>
        <v/>
      </c>
      <c r="F385" s="12">
        <f>D385*E385</f>
        <v/>
      </c>
    </row>
    <row r="386">
      <c r="A386" s="9" t="inlineStr">
        <is>
          <t>M04</t>
        </is>
      </c>
      <c r="B386" s="9" t="inlineStr">
        <is>
          <t>Kerikil / batu pecah 2/3</t>
        </is>
      </c>
      <c r="C386" s="8" t="inlineStr">
        <is>
          <t>m³</t>
        </is>
      </c>
      <c r="D386" s="28" t="n">
        <v>0.076</v>
      </c>
      <c r="E386" s="11">
        <f>'Harga Dasar'!$D$14</f>
        <v/>
      </c>
      <c r="F386" s="12">
        <f>D386*E386</f>
        <v/>
      </c>
    </row>
    <row r="387">
      <c r="A387" s="9" t="inlineStr">
        <is>
          <t>L01</t>
        </is>
      </c>
      <c r="B387" s="9" t="inlineStr">
        <is>
          <t>Pekerja</t>
        </is>
      </c>
      <c r="C387" s="8" t="inlineStr">
        <is>
          <t>OH</t>
        </is>
      </c>
      <c r="D387" s="28" t="n">
        <v>0.3</v>
      </c>
      <c r="E387" s="11">
        <f>'Harga Dasar'!$D$6</f>
        <v/>
      </c>
      <c r="F387" s="12">
        <f>D387*E387</f>
        <v/>
      </c>
    </row>
    <row r="388">
      <c r="A388" s="9" t="inlineStr">
        <is>
          <t>L02</t>
        </is>
      </c>
      <c r="B388" s="9" t="inlineStr">
        <is>
          <t>Tukang (batu/kayu/besi/las)</t>
        </is>
      </c>
      <c r="C388" s="8" t="inlineStr">
        <is>
          <t>OH</t>
        </is>
      </c>
      <c r="D388" s="28" t="n">
        <v>0.15</v>
      </c>
      <c r="E388" s="11">
        <f>'Harga Dasar'!$D$7</f>
        <v/>
      </c>
      <c r="F388" s="12">
        <f>D388*E388</f>
        <v/>
      </c>
    </row>
    <row r="389">
      <c r="B389" s="9" t="inlineStr">
        <is>
          <t>Jumlah upah + bahan + alat</t>
        </is>
      </c>
      <c r="F389" s="12">
        <f>SUM(F384:F388)</f>
        <v/>
      </c>
    </row>
    <row r="390">
      <c r="B390" s="9" t="inlineStr">
        <is>
          <t>Biaya umum dan keuntungan</t>
        </is>
      </c>
      <c r="F390" s="12">
        <f>F389*Petunjuk!$C$15</f>
        <v/>
      </c>
    </row>
    <row r="391">
      <c r="A391" s="14" t="inlineStr"/>
      <c r="B391" s="15" t="inlineStr">
        <is>
          <t>HARGA SATUAN PEKERJAAN per unit</t>
        </is>
      </c>
      <c r="C391" s="14" t="inlineStr"/>
      <c r="D391" s="14" t="inlineStr"/>
      <c r="E391" s="14" t="inlineStr"/>
      <c r="F391" s="16">
        <f>ROUND(F389+F390,-2)</f>
        <v/>
      </c>
    </row>
    <row r="393">
      <c r="A393" s="26" t="inlineStr">
        <is>
          <t>F.5</t>
        </is>
      </c>
      <c r="B393" s="26" t="inlineStr">
        <is>
          <t>Instalasi pipa air minum PVC 3/4" + kran</t>
        </is>
      </c>
      <c r="C393" s="27" t="inlineStr">
        <is>
          <t>m'</t>
        </is>
      </c>
      <c r="D393" s="26" t="inlineStr">
        <is>
          <t>Koefisien</t>
        </is>
      </c>
      <c r="E393" s="26" t="inlineStr">
        <is>
          <t>Harga dasar</t>
        </is>
      </c>
      <c r="F393" s="26" t="inlineStr">
        <is>
          <t>Jumlah (Rp)</t>
        </is>
      </c>
    </row>
    <row r="394">
      <c r="A394" s="9" t="inlineStr">
        <is>
          <t>M20</t>
        </is>
      </c>
      <c r="B394" s="9" t="inlineStr">
        <is>
          <t>Pipa PVC 3/4" (4 m)</t>
        </is>
      </c>
      <c r="C394" s="8" t="inlineStr">
        <is>
          <t>btg</t>
        </is>
      </c>
      <c r="D394" s="28" t="n">
        <v>0.27</v>
      </c>
      <c r="E394" s="11">
        <f>'Harga Dasar'!$D$30</f>
        <v/>
      </c>
      <c r="F394" s="12">
        <f>D394*E394</f>
        <v/>
      </c>
    </row>
    <row r="395">
      <c r="A395" s="9" t="inlineStr">
        <is>
          <t>L01</t>
        </is>
      </c>
      <c r="B395" s="9" t="inlineStr">
        <is>
          <t>Pekerja</t>
        </is>
      </c>
      <c r="C395" s="8" t="inlineStr">
        <is>
          <t>OH</t>
        </is>
      </c>
      <c r="D395" s="28" t="n">
        <v>0.05</v>
      </c>
      <c r="E395" s="11">
        <f>'Harga Dasar'!$D$6</f>
        <v/>
      </c>
      <c r="F395" s="12">
        <f>D395*E395</f>
        <v/>
      </c>
    </row>
    <row r="396">
      <c r="A396" s="9" t="inlineStr">
        <is>
          <t>L02</t>
        </is>
      </c>
      <c r="B396" s="9" t="inlineStr">
        <is>
          <t>Tukang (batu/kayu/besi/las)</t>
        </is>
      </c>
      <c r="C396" s="8" t="inlineStr">
        <is>
          <t>OH</t>
        </is>
      </c>
      <c r="D396" s="28" t="n">
        <v>0.05</v>
      </c>
      <c r="E396" s="11">
        <f>'Harga Dasar'!$D$7</f>
        <v/>
      </c>
      <c r="F396" s="12">
        <f>D396*E396</f>
        <v/>
      </c>
    </row>
    <row r="397">
      <c r="B397" s="9" t="inlineStr">
        <is>
          <t>Jumlah upah + bahan + alat</t>
        </is>
      </c>
      <c r="F397" s="12">
        <f>SUM(F394:F396)</f>
        <v/>
      </c>
    </row>
    <row r="398">
      <c r="B398" s="9" t="inlineStr">
        <is>
          <t>Biaya umum dan keuntungan</t>
        </is>
      </c>
      <c r="F398" s="12">
        <f>F397*Petunjuk!$C$15</f>
        <v/>
      </c>
    </row>
    <row r="399">
      <c r="A399" s="14" t="inlineStr"/>
      <c r="B399" s="15" t="inlineStr">
        <is>
          <t>HARGA SATUAN PEKERJAAN per m'</t>
        </is>
      </c>
      <c r="C399" s="14" t="inlineStr"/>
      <c r="D399" s="14" t="inlineStr"/>
      <c r="E399" s="14" t="inlineStr"/>
      <c r="F399" s="16">
        <f>ROUND(F397+F398,-2)</f>
        <v/>
      </c>
    </row>
    <row r="401">
      <c r="A401" s="26" t="inlineStr">
        <is>
          <t>G.1</t>
        </is>
      </c>
      <c r="B401" s="26" t="inlineStr">
        <is>
          <t>Saluran drainase pasangan bata 30/30 diplester</t>
        </is>
      </c>
      <c r="C401" s="27" t="inlineStr">
        <is>
          <t>m'</t>
        </is>
      </c>
      <c r="D401" s="26" t="inlineStr">
        <is>
          <t>Koefisien</t>
        </is>
      </c>
      <c r="E401" s="26" t="inlineStr">
        <is>
          <t>Harga dasar</t>
        </is>
      </c>
      <c r="F401" s="26" t="inlineStr">
        <is>
          <t>Jumlah (Rp)</t>
        </is>
      </c>
    </row>
    <row r="402">
      <c r="A402" s="9" t="inlineStr">
        <is>
          <t>M07</t>
        </is>
      </c>
      <c r="B402" s="9" t="inlineStr">
        <is>
          <t>Batu bata merah</t>
        </is>
      </c>
      <c r="C402" s="8" t="inlineStr">
        <is>
          <t>bh</t>
        </is>
      </c>
      <c r="D402" s="28" t="n">
        <v>49</v>
      </c>
      <c r="E402" s="11">
        <f>'Harga Dasar'!$D$17</f>
        <v/>
      </c>
      <c r="F402" s="12">
        <f>D402*E402</f>
        <v/>
      </c>
    </row>
    <row r="403">
      <c r="A403" s="9" t="inlineStr">
        <is>
          <t>M01</t>
        </is>
      </c>
      <c r="B403" s="9" t="inlineStr">
        <is>
          <t>Semen Portland (zak 40 kg = Rp 62.000)</t>
        </is>
      </c>
      <c r="C403" s="8" t="inlineStr">
        <is>
          <t>kg</t>
        </is>
      </c>
      <c r="D403" s="28" t="n">
        <v>21.3</v>
      </c>
      <c r="E403" s="11">
        <f>'Harga Dasar'!$D$11</f>
        <v/>
      </c>
      <c r="F403" s="12">
        <f>D403*E403</f>
        <v/>
      </c>
    </row>
    <row r="404">
      <c r="A404" s="9" t="inlineStr">
        <is>
          <t>M02</t>
        </is>
      </c>
      <c r="B404" s="9" t="inlineStr">
        <is>
          <t>Pasir pasang / pasir beton</t>
        </is>
      </c>
      <c r="C404" s="8" t="inlineStr">
        <is>
          <t>m³</t>
        </is>
      </c>
      <c r="D404" s="28" t="n">
        <v>0.07000000000000001</v>
      </c>
      <c r="E404" s="11">
        <f>'Harga Dasar'!$D$12</f>
        <v/>
      </c>
      <c r="F404" s="12">
        <f>D404*E404</f>
        <v/>
      </c>
    </row>
    <row r="405">
      <c r="A405" s="9" t="inlineStr">
        <is>
          <t>M04</t>
        </is>
      </c>
      <c r="B405" s="9" t="inlineStr">
        <is>
          <t>Kerikil / batu pecah 2/3</t>
        </is>
      </c>
      <c r="C405" s="8" t="inlineStr">
        <is>
          <t>m³</t>
        </is>
      </c>
      <c r="D405" s="28" t="n">
        <v>0.023</v>
      </c>
      <c r="E405" s="11">
        <f>'Harga Dasar'!$D$14</f>
        <v/>
      </c>
      <c r="F405" s="12">
        <f>D405*E405</f>
        <v/>
      </c>
    </row>
    <row r="406">
      <c r="A406" s="9" t="inlineStr">
        <is>
          <t>L01</t>
        </is>
      </c>
      <c r="B406" s="9" t="inlineStr">
        <is>
          <t>Pekerja</t>
        </is>
      </c>
      <c r="C406" s="8" t="inlineStr">
        <is>
          <t>OH</t>
        </is>
      </c>
      <c r="D406" s="28" t="n">
        <v>0.71</v>
      </c>
      <c r="E406" s="11">
        <f>'Harga Dasar'!$D$6</f>
        <v/>
      </c>
      <c r="F406" s="12">
        <f>D406*E406</f>
        <v/>
      </c>
    </row>
    <row r="407">
      <c r="A407" s="9" t="inlineStr">
        <is>
          <t>L02</t>
        </is>
      </c>
      <c r="B407" s="9" t="inlineStr">
        <is>
          <t>Tukang (batu/kayu/besi/las)</t>
        </is>
      </c>
      <c r="C407" s="8" t="inlineStr">
        <is>
          <t>OH</t>
        </is>
      </c>
      <c r="D407" s="28" t="n">
        <v>0.22</v>
      </c>
      <c r="E407" s="11">
        <f>'Harga Dasar'!$D$7</f>
        <v/>
      </c>
      <c r="F407" s="12">
        <f>D407*E407</f>
        <v/>
      </c>
    </row>
    <row r="408">
      <c r="A408" s="9" t="inlineStr">
        <is>
          <t>L03</t>
        </is>
      </c>
      <c r="B408" s="9" t="inlineStr">
        <is>
          <t>Kepala tukang</t>
        </is>
      </c>
      <c r="C408" s="8" t="inlineStr">
        <is>
          <t>OH</t>
        </is>
      </c>
      <c r="D408" s="28" t="n">
        <v>0.02</v>
      </c>
      <c r="E408" s="11">
        <f>'Harga Dasar'!$D$8</f>
        <v/>
      </c>
      <c r="F408" s="12">
        <f>D408*E408</f>
        <v/>
      </c>
    </row>
    <row r="409">
      <c r="A409" s="9" t="inlineStr">
        <is>
          <t>L04</t>
        </is>
      </c>
      <c r="B409" s="9" t="inlineStr">
        <is>
          <t>Mandor</t>
        </is>
      </c>
      <c r="C409" s="8" t="inlineStr">
        <is>
          <t>OH</t>
        </is>
      </c>
      <c r="D409" s="28" t="n">
        <v>0.03</v>
      </c>
      <c r="E409" s="11">
        <f>'Harga Dasar'!$D$9</f>
        <v/>
      </c>
      <c r="F409" s="12">
        <f>D409*E409</f>
        <v/>
      </c>
    </row>
    <row r="410">
      <c r="B410" s="9" t="inlineStr">
        <is>
          <t>Jumlah upah + bahan + alat</t>
        </is>
      </c>
      <c r="F410" s="12">
        <f>SUM(F402:F409)</f>
        <v/>
      </c>
    </row>
    <row r="411">
      <c r="B411" s="9" t="inlineStr">
        <is>
          <t>Biaya umum dan keuntungan</t>
        </is>
      </c>
      <c r="F411" s="12">
        <f>F410*Petunjuk!$C$15</f>
        <v/>
      </c>
    </row>
    <row r="412">
      <c r="A412" s="14" t="inlineStr"/>
      <c r="B412" s="15" t="inlineStr">
        <is>
          <t>HARGA SATUAN PEKERJAAN per m'</t>
        </is>
      </c>
      <c r="C412" s="14" t="inlineStr"/>
      <c r="D412" s="14" t="inlineStr"/>
      <c r="E412" s="14" t="inlineStr"/>
      <c r="F412" s="16">
        <f>ROUND(F410+F411,-2)</f>
        <v/>
      </c>
    </row>
    <row r="414">
      <c r="A414" s="26" t="inlineStr">
        <is>
          <t>G.2</t>
        </is>
      </c>
      <c r="B414" s="26" t="inlineStr">
        <is>
          <t>Penanaman pohon peneduh + pelindung</t>
        </is>
      </c>
      <c r="C414" s="27" t="inlineStr">
        <is>
          <t>bh</t>
        </is>
      </c>
      <c r="D414" s="26" t="inlineStr">
        <is>
          <t>Koefisien</t>
        </is>
      </c>
      <c r="E414" s="26" t="inlineStr">
        <is>
          <t>Harga dasar</t>
        </is>
      </c>
      <c r="F414" s="26" t="inlineStr">
        <is>
          <t>Jumlah (Rp)</t>
        </is>
      </c>
    </row>
    <row r="415">
      <c r="A415" s="9" t="inlineStr">
        <is>
          <t>M43</t>
        </is>
      </c>
      <c r="B415" s="9" t="inlineStr">
        <is>
          <t>Bibit pohon peneduh (lamtoro/indigofera/gamal/mangga)</t>
        </is>
      </c>
      <c r="C415" s="8" t="inlineStr">
        <is>
          <t>bh</t>
        </is>
      </c>
      <c r="D415" s="28" t="n">
        <v>1</v>
      </c>
      <c r="E415" s="11">
        <f>'Harga Dasar'!$D$53</f>
        <v/>
      </c>
      <c r="F415" s="12">
        <f>D415*E415</f>
        <v/>
      </c>
    </row>
    <row r="416">
      <c r="A416" s="9" t="inlineStr">
        <is>
          <t>M44</t>
        </is>
      </c>
      <c r="B416" s="9" t="inlineStr">
        <is>
          <t>Bronjong bambu pelindung bibit</t>
        </is>
      </c>
      <c r="C416" s="8" t="inlineStr">
        <is>
          <t>bh</t>
        </is>
      </c>
      <c r="D416" s="28" t="n">
        <v>1</v>
      </c>
      <c r="E416" s="11">
        <f>'Harga Dasar'!$D$54</f>
        <v/>
      </c>
      <c r="F416" s="12">
        <f>D416*E416</f>
        <v/>
      </c>
    </row>
    <row r="417">
      <c r="A417" s="9" t="inlineStr">
        <is>
          <t>L01</t>
        </is>
      </c>
      <c r="B417" s="9" t="inlineStr">
        <is>
          <t>Pekerja</t>
        </is>
      </c>
      <c r="C417" s="8" t="inlineStr">
        <is>
          <t>OH</t>
        </is>
      </c>
      <c r="D417" s="28" t="n">
        <v>0.1</v>
      </c>
      <c r="E417" s="11">
        <f>'Harga Dasar'!$D$6</f>
        <v/>
      </c>
      <c r="F417" s="12">
        <f>D417*E417</f>
        <v/>
      </c>
    </row>
    <row r="418">
      <c r="B418" s="9" t="inlineStr">
        <is>
          <t>Jumlah upah + bahan + alat</t>
        </is>
      </c>
      <c r="F418" s="12">
        <f>SUM(F415:F417)</f>
        <v/>
      </c>
    </row>
    <row r="419">
      <c r="B419" s="9" t="inlineStr">
        <is>
          <t>Biaya umum dan keuntungan</t>
        </is>
      </c>
      <c r="F419" s="12">
        <f>F418*Petunjuk!$C$15</f>
        <v/>
      </c>
    </row>
    <row r="420">
      <c r="A420" s="14" t="inlineStr"/>
      <c r="B420" s="15" t="inlineStr">
        <is>
          <t>HARGA SATUAN PEKERJAAN per bh</t>
        </is>
      </c>
      <c r="C420" s="14" t="inlineStr"/>
      <c r="D420" s="14" t="inlineStr"/>
      <c r="E420" s="14" t="inlineStr"/>
      <c r="F420" s="16">
        <f>ROUND(F418+F419,-2)</f>
        <v/>
      </c>
    </row>
    <row r="422">
      <c r="A422" s="26" t="inlineStr">
        <is>
          <t>G.3</t>
        </is>
      </c>
      <c r="B422" s="26" t="inlineStr">
        <is>
          <t>Penanaman rumput / legum penutup tanah</t>
        </is>
      </c>
      <c r="C422" s="27" t="inlineStr">
        <is>
          <t>m²</t>
        </is>
      </c>
      <c r="D422" s="26" t="inlineStr">
        <is>
          <t>Koefisien</t>
        </is>
      </c>
      <c r="E422" s="26" t="inlineStr">
        <is>
          <t>Harga dasar</t>
        </is>
      </c>
      <c r="F422" s="26" t="inlineStr">
        <is>
          <t>Jumlah (Rp)</t>
        </is>
      </c>
    </row>
    <row r="423">
      <c r="A423" s="9" t="inlineStr">
        <is>
          <t>M45</t>
        </is>
      </c>
      <c r="B423" s="9" t="inlineStr">
        <is>
          <t>Bibit rumput / stek per m²</t>
        </is>
      </c>
      <c r="C423" s="8" t="inlineStr">
        <is>
          <t>m²</t>
        </is>
      </c>
      <c r="D423" s="28" t="n">
        <v>1</v>
      </c>
      <c r="E423" s="11">
        <f>'Harga Dasar'!$D$55</f>
        <v/>
      </c>
      <c r="F423" s="12">
        <f>D423*E423</f>
        <v/>
      </c>
    </row>
    <row r="424">
      <c r="A424" s="9" t="inlineStr">
        <is>
          <t>L01</t>
        </is>
      </c>
      <c r="B424" s="9" t="inlineStr">
        <is>
          <t>Pekerja</t>
        </is>
      </c>
      <c r="C424" s="8" t="inlineStr">
        <is>
          <t>OH</t>
        </is>
      </c>
      <c r="D424" s="28" t="n">
        <v>0.02</v>
      </c>
      <c r="E424" s="11">
        <f>'Harga Dasar'!$D$6</f>
        <v/>
      </c>
      <c r="F424" s="12">
        <f>D424*E424</f>
        <v/>
      </c>
    </row>
    <row r="425">
      <c r="B425" s="9" t="inlineStr">
        <is>
          <t>Jumlah upah + bahan + alat</t>
        </is>
      </c>
      <c r="F425" s="12">
        <f>SUM(F423:F424)</f>
        <v/>
      </c>
    </row>
    <row r="426">
      <c r="B426" s="9" t="inlineStr">
        <is>
          <t>Biaya umum dan keuntungan</t>
        </is>
      </c>
      <c r="F426" s="12">
        <f>F425*Petunjuk!$C$15</f>
        <v/>
      </c>
    </row>
    <row r="427">
      <c r="A427" s="14" t="inlineStr"/>
      <c r="B427" s="15" t="inlineStr">
        <is>
          <t>HARGA SATUAN PEKERJAAN per m²</t>
        </is>
      </c>
      <c r="C427" s="14" t="inlineStr"/>
      <c r="D427" s="14" t="inlineStr"/>
      <c r="E427" s="14" t="inlineStr"/>
      <c r="F427" s="16">
        <f>ROUND(F425+F426,-2)</f>
        <v/>
      </c>
    </row>
    <row r="429">
      <c r="A429" s="26" t="inlineStr">
        <is>
          <t>G.4</t>
        </is>
      </c>
      <c r="B429" s="26" t="inlineStr">
        <is>
          <t>Penanaman pagar hidup lamtoro/gamal</t>
        </is>
      </c>
      <c r="C429" s="27" t="inlineStr">
        <is>
          <t>m'</t>
        </is>
      </c>
      <c r="D429" s="26" t="inlineStr">
        <is>
          <t>Koefisien</t>
        </is>
      </c>
      <c r="E429" s="26" t="inlineStr">
        <is>
          <t>Harga dasar</t>
        </is>
      </c>
      <c r="F429" s="26" t="inlineStr">
        <is>
          <t>Jumlah (Rp)</t>
        </is>
      </c>
    </row>
    <row r="430">
      <c r="A430" s="9" t="inlineStr">
        <is>
          <t>M46</t>
        </is>
      </c>
      <c r="B430" s="9" t="inlineStr">
        <is>
          <t>Stek lamtoro/gamal pagar hidup</t>
        </is>
      </c>
      <c r="C430" s="8" t="inlineStr">
        <is>
          <t>bh</t>
        </is>
      </c>
      <c r="D430" s="28" t="n">
        <v>3</v>
      </c>
      <c r="E430" s="11">
        <f>'Harga Dasar'!$D$56</f>
        <v/>
      </c>
      <c r="F430" s="12">
        <f>D430*E430</f>
        <v/>
      </c>
    </row>
    <row r="431">
      <c r="A431" s="9" t="inlineStr">
        <is>
          <t>L01</t>
        </is>
      </c>
      <c r="B431" s="9" t="inlineStr">
        <is>
          <t>Pekerja</t>
        </is>
      </c>
      <c r="C431" s="8" t="inlineStr">
        <is>
          <t>OH</t>
        </is>
      </c>
      <c r="D431" s="28" t="n">
        <v>0.02</v>
      </c>
      <c r="E431" s="11">
        <f>'Harga Dasar'!$D$6</f>
        <v/>
      </c>
      <c r="F431" s="12">
        <f>D431*E431</f>
        <v/>
      </c>
    </row>
    <row r="432">
      <c r="B432" s="9" t="inlineStr">
        <is>
          <t>Jumlah upah + bahan + alat</t>
        </is>
      </c>
      <c r="F432" s="12">
        <f>SUM(F430:F431)</f>
        <v/>
      </c>
    </row>
    <row r="433">
      <c r="B433" s="9" t="inlineStr">
        <is>
          <t>Biaya umum dan keuntungan</t>
        </is>
      </c>
      <c r="F433" s="12">
        <f>F432*Petunjuk!$C$15</f>
        <v/>
      </c>
    </row>
    <row r="434">
      <c r="A434" s="14" t="inlineStr"/>
      <c r="B434" s="15" t="inlineStr">
        <is>
          <t>HARGA SATUAN PEKERJAAN per m'</t>
        </is>
      </c>
      <c r="C434" s="14" t="inlineStr"/>
      <c r="D434" s="14" t="inlineStr"/>
      <c r="E434" s="14" t="inlineStr"/>
      <c r="F434" s="16">
        <f>ROUND(F432+F433,-2)</f>
        <v/>
      </c>
    </row>
    <row r="436">
      <c r="A436" s="26" t="inlineStr">
        <is>
          <t>G.5</t>
        </is>
      </c>
      <c r="B436" s="26" t="inlineStr">
        <is>
          <t>Perapian talud embung + rumput</t>
        </is>
      </c>
      <c r="C436" s="27" t="inlineStr">
        <is>
          <t>m²</t>
        </is>
      </c>
      <c r="D436" s="26" t="inlineStr">
        <is>
          <t>Koefisien</t>
        </is>
      </c>
      <c r="E436" s="26" t="inlineStr">
        <is>
          <t>Harga dasar</t>
        </is>
      </c>
      <c r="F436" s="26" t="inlineStr">
        <is>
          <t>Jumlah (Rp)</t>
        </is>
      </c>
    </row>
    <row r="437">
      <c r="A437" s="9" t="inlineStr">
        <is>
          <t>M45</t>
        </is>
      </c>
      <c r="B437" s="9" t="inlineStr">
        <is>
          <t>Bibit rumput / stek per m²</t>
        </is>
      </c>
      <c r="C437" s="8" t="inlineStr">
        <is>
          <t>m²</t>
        </is>
      </c>
      <c r="D437" s="28" t="n">
        <v>1</v>
      </c>
      <c r="E437" s="11">
        <f>'Harga Dasar'!$D$55</f>
        <v/>
      </c>
      <c r="F437" s="12">
        <f>D437*E437</f>
        <v/>
      </c>
    </row>
    <row r="438">
      <c r="A438" s="9" t="inlineStr">
        <is>
          <t>L01</t>
        </is>
      </c>
      <c r="B438" s="9" t="inlineStr">
        <is>
          <t>Pekerja</t>
        </is>
      </c>
      <c r="C438" s="8" t="inlineStr">
        <is>
          <t>OH</t>
        </is>
      </c>
      <c r="D438" s="28" t="n">
        <v>0.05</v>
      </c>
      <c r="E438" s="11">
        <f>'Harga Dasar'!$D$6</f>
        <v/>
      </c>
      <c r="F438" s="12">
        <f>D438*E438</f>
        <v/>
      </c>
    </row>
    <row r="439">
      <c r="B439" s="9" t="inlineStr">
        <is>
          <t>Jumlah upah + bahan + alat</t>
        </is>
      </c>
      <c r="F439" s="12">
        <f>SUM(F437:F438)</f>
        <v/>
      </c>
    </row>
    <row r="440">
      <c r="B440" s="9" t="inlineStr">
        <is>
          <t>Biaya umum dan keuntungan</t>
        </is>
      </c>
      <c r="F440" s="12">
        <f>F439*Petunjuk!$C$15</f>
        <v/>
      </c>
    </row>
    <row r="441">
      <c r="A441" s="14" t="inlineStr"/>
      <c r="B441" s="15" t="inlineStr">
        <is>
          <t>HARGA SATUAN PEKERJAAN per m²</t>
        </is>
      </c>
      <c r="C441" s="14" t="inlineStr"/>
      <c r="D441" s="14" t="inlineStr"/>
      <c r="E441" s="14" t="inlineStr"/>
      <c r="F441" s="16">
        <f>ROUND(F439+F440,-2)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8" customWidth="1" min="4" max="4"/>
    <col width="15" customWidth="1" min="5" max="5"/>
    <col width="18" customWidth="1" min="6" max="6"/>
    <col width="58" customWidth="1" min="7" max="7"/>
  </cols>
  <sheetData>
    <row r="1">
      <c r="A1" s="1" t="inlineStr">
        <is>
          <t>RAB 1 unit kandang postal semi umbaran 10 x 40 m (2.000 ekor)</t>
        </is>
      </c>
    </row>
    <row r="2">
      <c r="A2" s="2" t="inlineStr">
        <is>
          <t>Gambar GT-01 lembar K-01 s/d K-09. Kawasan memerlukan 6 unit (5 layer + 1 starter).</t>
        </is>
      </c>
    </row>
    <row r="4">
      <c r="A4" s="7" t="inlineStr">
        <is>
          <t>No</t>
        </is>
      </c>
      <c r="B4" s="7" t="inlineStr">
        <is>
          <t>Uraian pekerjaan</t>
        </is>
      </c>
      <c r="C4" s="7" t="inlineStr">
        <is>
          <t>Volume</t>
        </is>
      </c>
      <c r="D4" s="7" t="inlineStr">
        <is>
          <t>Sat</t>
        </is>
      </c>
      <c r="E4" s="7" t="inlineStr">
        <is>
          <t>Harga satuan (Rp)</t>
        </is>
      </c>
      <c r="F4" s="7" t="inlineStr">
        <is>
          <t>Jumlah (Rp)</t>
        </is>
      </c>
      <c r="G4" s="7" t="inlineStr">
        <is>
          <t>Dasar volume (dari gambar)</t>
        </is>
      </c>
    </row>
    <row r="5">
      <c r="A5" s="29" t="inlineStr"/>
      <c r="B5" s="30" t="inlineStr">
        <is>
          <t>I. PEKERJAAN PERSIAPAN</t>
        </is>
      </c>
      <c r="C5" s="29" t="inlineStr"/>
      <c r="D5" s="29" t="inlineStr"/>
      <c r="E5" s="29" t="inlineStr"/>
      <c r="F5" s="29" t="inlineStr"/>
      <c r="G5" s="29" t="inlineStr"/>
    </row>
    <row r="6">
      <c r="A6" s="8" t="n">
        <v>1</v>
      </c>
      <c r="B6" s="31" t="inlineStr">
        <is>
          <t>Perataan lokasi kandang + teras 3 m dan peil</t>
        </is>
      </c>
      <c r="C6" s="32">
        <f>(40+6)*(10+6)</f>
        <v/>
      </c>
      <c r="D6" s="8" t="inlineStr">
        <is>
          <t>m²</t>
        </is>
      </c>
      <c r="E6" s="11">
        <f>AHSP!$F$9</f>
        <v/>
      </c>
      <c r="F6" s="12">
        <f>C6*E6</f>
        <v/>
      </c>
      <c r="G6" s="31" t="inlineStr">
        <is>
          <t>(panjang + 6) x (lebar + 6)</t>
        </is>
      </c>
    </row>
    <row r="7">
      <c r="A7" s="8" t="n">
        <v>2</v>
      </c>
      <c r="B7" s="31" t="inlineStr">
        <is>
          <t>Pengukuran dan bouwplank</t>
        </is>
      </c>
      <c r="C7" s="32">
        <f>2*(44+14)</f>
        <v/>
      </c>
      <c r="D7" s="8" t="inlineStr">
        <is>
          <t>m'</t>
        </is>
      </c>
      <c r="E7" s="11">
        <f>AHSP!$F$20</f>
        <v/>
      </c>
      <c r="F7" s="12">
        <f>C7*E7</f>
        <v/>
      </c>
      <c r="G7" s="31" t="inlineStr">
        <is>
          <t>keliling bouwplank 2 m di luar as</t>
        </is>
      </c>
    </row>
    <row r="8">
      <c r="A8" s="14" t="inlineStr"/>
      <c r="B8" s="15" t="inlineStr">
        <is>
          <t>Jumlah pekerjaan persiapan</t>
        </is>
      </c>
      <c r="C8" s="14" t="inlineStr"/>
      <c r="D8" s="14" t="inlineStr"/>
      <c r="E8" s="14" t="inlineStr"/>
      <c r="F8" s="16">
        <f>SUM(F6:F7)</f>
        <v/>
      </c>
      <c r="G8" s="14" t="inlineStr"/>
    </row>
    <row r="10">
      <c r="A10" s="29" t="inlineStr"/>
      <c r="B10" s="30" t="inlineStr">
        <is>
          <t>II. PEKERJAAN TANAH</t>
        </is>
      </c>
      <c r="C10" s="29" t="inlineStr"/>
      <c r="D10" s="29" t="inlineStr"/>
      <c r="E10" s="29" t="inlineStr"/>
      <c r="F10" s="29" t="inlineStr"/>
      <c r="G10" s="29" t="inlineStr"/>
    </row>
    <row r="11">
      <c r="A11" s="8" t="n">
        <v>1</v>
      </c>
      <c r="B11" s="31" t="inlineStr">
        <is>
          <t>Galian tanah pondasi footplat 100x100x70</t>
        </is>
      </c>
      <c r="C11" s="32">
        <f>24*1*1*0.7</f>
        <v/>
      </c>
      <c r="D11" s="8" t="inlineStr">
        <is>
          <t>m³</t>
        </is>
      </c>
      <c r="E11" s="11">
        <f>AHSP!$F$27</f>
        <v/>
      </c>
      <c r="F11" s="12">
        <f>C11*E11</f>
        <v/>
      </c>
      <c r="G11" s="31" t="inlineStr">
        <is>
          <t>24 titik x 1 x 1 x 0,7</t>
        </is>
      </c>
    </row>
    <row r="12">
      <c r="A12" s="8" t="n">
        <v>2</v>
      </c>
      <c r="B12" s="31" t="inlineStr">
        <is>
          <t>Galian dasar sloof</t>
        </is>
      </c>
      <c r="C12" s="32">
        <f>100*0.35*0.10</f>
        <v/>
      </c>
      <c r="D12" s="8" t="inlineStr">
        <is>
          <t>m³</t>
        </is>
      </c>
      <c r="E12" s="11">
        <f>AHSP!$F$27</f>
        <v/>
      </c>
      <c r="F12" s="12">
        <f>C12*E12</f>
        <v/>
      </c>
      <c r="G12" s="31" t="inlineStr">
        <is>
          <t>keliling x 0,35 x 0,10</t>
        </is>
      </c>
    </row>
    <row r="13">
      <c r="A13" s="8" t="n">
        <v>3</v>
      </c>
      <c r="B13" s="31" t="inlineStr">
        <is>
          <t>Urugan kembali galian footplat</t>
        </is>
      </c>
      <c r="C13" s="32">
        <f>24*(0.7-0.1985)</f>
        <v/>
      </c>
      <c r="D13" s="8" t="inlineStr">
        <is>
          <t>m³</t>
        </is>
      </c>
      <c r="E13" s="11">
        <f>AHSP!$F$34</f>
        <v/>
      </c>
      <c r="F13" s="12">
        <f>C13*E13</f>
        <v/>
      </c>
      <c r="G13" s="31" t="inlineStr">
        <is>
          <t>galian - (footplat + pedestal + lantai kerja + pasir)</t>
        </is>
      </c>
    </row>
    <row r="14">
      <c r="A14" s="8" t="n">
        <v>4</v>
      </c>
      <c r="B14" s="31" t="inlineStr">
        <is>
          <t>Urugan tanah peninggian lantai dipadatkan t=18</t>
        </is>
      </c>
      <c r="C14" s="32">
        <f>392.522*0.18</f>
        <v/>
      </c>
      <c r="D14" s="8" t="inlineStr">
        <is>
          <t>m³</t>
        </is>
      </c>
      <c r="E14" s="11">
        <f>AHSP!$F$42</f>
        <v/>
      </c>
      <c r="F14" s="12">
        <f>C14*E14</f>
        <v/>
      </c>
      <c r="G14" s="31" t="inlineStr">
        <is>
          <t>luas dalam 39,85 x 9,85 x 0,18</t>
        </is>
      </c>
    </row>
    <row r="15">
      <c r="A15" s="8" t="n">
        <v>5</v>
      </c>
      <c r="B15" s="31" t="inlineStr">
        <is>
          <t>Urugan pasir bawah lantai, footplat, sloof t=5</t>
        </is>
      </c>
      <c r="C15" s="32">
        <f>392.522*0.05+24*1*1*0.05+100*0.25*0.05</f>
        <v/>
      </c>
      <c r="D15" s="8" t="inlineStr">
        <is>
          <t>m³</t>
        </is>
      </c>
      <c r="E15" s="11">
        <f>AHSP!$F$50</f>
        <v/>
      </c>
      <c r="F15" s="12">
        <f>C15*E15</f>
        <v/>
      </c>
      <c r="G15" s="31" t="inlineStr">
        <is>
          <t>lantai + footplat + sloof</t>
        </is>
      </c>
    </row>
    <row r="16">
      <c r="A16" s="14" t="inlineStr"/>
      <c r="B16" s="15" t="inlineStr">
        <is>
          <t>Jumlah pekerjaan tanah</t>
        </is>
      </c>
      <c r="C16" s="14" t="inlineStr"/>
      <c r="D16" s="14" t="inlineStr"/>
      <c r="E16" s="14" t="inlineStr"/>
      <c r="F16" s="16">
        <f>SUM(F11:F15)</f>
        <v/>
      </c>
      <c r="G16" s="14" t="inlineStr"/>
    </row>
    <row r="18">
      <c r="A18" s="29" t="inlineStr"/>
      <c r="B18" s="30" t="inlineStr">
        <is>
          <t>III. PEKERJAAN STRUKTUR BETON</t>
        </is>
      </c>
      <c r="C18" s="29" t="inlineStr"/>
      <c r="D18" s="29" t="inlineStr"/>
      <c r="E18" s="29" t="inlineStr"/>
      <c r="F18" s="29" t="inlineStr"/>
      <c r="G18" s="29" t="inlineStr"/>
    </row>
    <row r="19">
      <c r="A19" s="8" t="n">
        <v>1</v>
      </c>
      <c r="B19" s="31" t="inlineStr">
        <is>
          <t>Lantai kerja beton K-100 t=5 bawah footplat</t>
        </is>
      </c>
      <c r="C19" s="32">
        <f>24*0.9*0.9*0.05</f>
        <v/>
      </c>
      <c r="D19" s="8" t="inlineStr">
        <is>
          <t>m³</t>
        </is>
      </c>
      <c r="E19" s="11">
        <f>AHSP!$F$93</f>
        <v/>
      </c>
      <c r="F19" s="12">
        <f>C19*E19</f>
        <v/>
      </c>
      <c r="G19" s="31" t="inlineStr">
        <is>
          <t>24 x 0,9 x 0,9 x 0,05</t>
        </is>
      </c>
    </row>
    <row r="20">
      <c r="A20" s="8" t="n">
        <v>2</v>
      </c>
      <c r="B20" s="31" t="inlineStr">
        <is>
          <t>Beton K-225 footplat P1 70x70x20</t>
        </is>
      </c>
      <c r="C20" s="32">
        <f>24*0.7*0.7*0.2</f>
        <v/>
      </c>
      <c r="D20" s="8" t="inlineStr">
        <is>
          <t>m³</t>
        </is>
      </c>
      <c r="E20" s="11">
        <f>AHSP!$F$117</f>
        <v/>
      </c>
      <c r="F20" s="12">
        <f>C20*E20</f>
        <v/>
      </c>
      <c r="G20" s="31" t="inlineStr">
        <is>
          <t>24 x 0,7 x 0,7 x 0,2</t>
        </is>
      </c>
    </row>
    <row r="21">
      <c r="A21" s="8" t="n">
        <v>3</v>
      </c>
      <c r="B21" s="31" t="inlineStr">
        <is>
          <t>Beton K-225 kolom K1 15/15 (pedestal + kolom, tinggi 3,20)</t>
        </is>
      </c>
      <c r="C21" s="32">
        <f>24*0.15*0.15*3.2</f>
        <v/>
      </c>
      <c r="D21" s="8" t="inlineStr">
        <is>
          <t>m³</t>
        </is>
      </c>
      <c r="E21" s="11">
        <f>AHSP!$F$117</f>
        <v/>
      </c>
      <c r="F21" s="12">
        <f>C21*E21</f>
        <v/>
      </c>
      <c r="G21" s="31" t="inlineStr">
        <is>
          <t>24 x 0,15 x 0,15 x 3,20</t>
        </is>
      </c>
    </row>
    <row r="22">
      <c r="A22" s="8" t="n">
        <v>4</v>
      </c>
      <c r="B22" s="31" t="inlineStr">
        <is>
          <t>Beton K-225 sloof S1 15/25</t>
        </is>
      </c>
      <c r="C22" s="32">
        <f>(100-24*0.15)*0.15*0.25</f>
        <v/>
      </c>
      <c r="D22" s="8" t="inlineStr">
        <is>
          <t>m³</t>
        </is>
      </c>
      <c r="E22" s="11">
        <f>AHSP!$F$117</f>
        <v/>
      </c>
      <c r="F22" s="12">
        <f>C22*E22</f>
        <v/>
      </c>
      <c r="G22" s="31" t="inlineStr">
        <is>
          <t>(keliling - kolom) x 0,15 x 0,25</t>
        </is>
      </c>
    </row>
    <row r="23">
      <c r="A23" s="8" t="n">
        <v>5</v>
      </c>
      <c r="B23" s="31" t="inlineStr">
        <is>
          <t>Beton K-225 ring balk RB 15/20</t>
        </is>
      </c>
      <c r="C23" s="32">
        <f>(100-24*0.15)*0.15*0.2</f>
        <v/>
      </c>
      <c r="D23" s="8" t="inlineStr">
        <is>
          <t>m³</t>
        </is>
      </c>
      <c r="E23" s="11">
        <f>AHSP!$F$117</f>
        <v/>
      </c>
      <c r="F23" s="12">
        <f>C23*E23</f>
        <v/>
      </c>
      <c r="G23" s="31" t="inlineStr">
        <is>
          <t>(keliling - kolom) x 0,15 x 0,20</t>
        </is>
      </c>
    </row>
    <row r="24">
      <c r="A24" s="8" t="n">
        <v>6</v>
      </c>
      <c r="B24" s="31" t="inlineStr">
        <is>
          <t>Pembesian D10 dan Ø8 (footplat, kolom, sloof, ring balk)</t>
        </is>
      </c>
      <c r="C24" s="32">
        <f>24*4.44+24*13.8+(4*100*1.1*0.617+100/0.15*0.7*0.395)+(4*100*1.1*0.617+100/0.15*0.6*0.395)</f>
        <v/>
      </c>
      <c r="D24" s="8" t="inlineStr">
        <is>
          <t>kg</t>
        </is>
      </c>
      <c r="E24" s="11">
        <f>AHSP!$F$128</f>
        <v/>
      </c>
      <c r="F24" s="12">
        <f>C24*E24</f>
        <v/>
      </c>
      <c r="G24" s="31" t="inlineStr">
        <is>
          <t>footplat 4,44 kg/bh; kolom 13,8 kg/bh; sloof &amp; ring balk 4D10 + Ø8-150</t>
        </is>
      </c>
    </row>
    <row r="25">
      <c r="A25" s="8" t="n">
        <v>7</v>
      </c>
      <c r="B25" s="31" t="inlineStr">
        <is>
          <t>Bekisting footplat, kolom, sloof, ring balk</t>
        </is>
      </c>
      <c r="C25" s="32">
        <f>24*4*0.7*0.2+24*4*0.15*3.2+2*(100-24*0.15)*0.25+(100-24*0.15)*(2*0.2+0.15)</f>
        <v/>
      </c>
      <c r="D25" s="8" t="inlineStr">
        <is>
          <t>m²</t>
        </is>
      </c>
      <c r="E25" s="11">
        <f>AHSP!$F$140</f>
        <v/>
      </c>
      <c r="F25" s="12">
        <f>C25*E25</f>
        <v/>
      </c>
      <c r="G25" s="31" t="inlineStr">
        <is>
          <t>luas permukaan cetakan</t>
        </is>
      </c>
    </row>
    <row r="26">
      <c r="A26" s="14" t="inlineStr"/>
      <c r="B26" s="15" t="inlineStr">
        <is>
          <t>Jumlah pekerjaan struktur beton</t>
        </is>
      </c>
      <c r="C26" s="14" t="inlineStr"/>
      <c r="D26" s="14" t="inlineStr"/>
      <c r="E26" s="14" t="inlineStr"/>
      <c r="F26" s="16">
        <f>SUM(F19:F25)</f>
        <v/>
      </c>
      <c r="G26" s="14" t="inlineStr"/>
    </row>
    <row r="28">
      <c r="A28" s="29" t="inlineStr"/>
      <c r="B28" s="30" t="inlineStr">
        <is>
          <t>IV. PEKERJAAN DINDING DAN LANTAI</t>
        </is>
      </c>
      <c r="C28" s="29" t="inlineStr"/>
      <c r="D28" s="29" t="inlineStr"/>
      <c r="E28" s="29" t="inlineStr"/>
      <c r="F28" s="29" t="inlineStr"/>
      <c r="G28" s="29" t="inlineStr"/>
    </row>
    <row r="29">
      <c r="A29" s="8" t="n">
        <v>1</v>
      </c>
      <c r="B29" s="31" t="inlineStr">
        <is>
          <t>Pasangan bata 1/2 bata tinggi 50</t>
        </is>
      </c>
      <c r="C29" s="32">
        <f>90.80*0.5</f>
        <v/>
      </c>
      <c r="D29" s="8" t="inlineStr">
        <is>
          <t>m²</t>
        </is>
      </c>
      <c r="E29" s="11">
        <f>AHSP!$F$152</f>
        <v/>
      </c>
      <c r="F29" s="12">
        <f>C29*E29</f>
        <v/>
      </c>
      <c r="G29" s="31" t="inlineStr">
        <is>
          <t>(keliling - pintu - pintu umbaran - kolom) x 0,5</t>
        </is>
      </c>
    </row>
    <row r="30">
      <c r="A30" s="8" t="n">
        <v>2</v>
      </c>
      <c r="B30" s="31" t="inlineStr">
        <is>
          <t>Plesteran dua sisi + atas dinding</t>
        </is>
      </c>
      <c r="C30" s="32">
        <f>2*90.80*0.5+90.80*0.11</f>
        <v/>
      </c>
      <c r="D30" s="8" t="inlineStr">
        <is>
          <t>m²</t>
        </is>
      </c>
      <c r="E30" s="11">
        <f>AHSP!$F$163</f>
        <v/>
      </c>
      <c r="F30" s="12">
        <f>C30*E30</f>
        <v/>
      </c>
      <c r="G30" s="31" t="inlineStr">
        <is>
          <t>2 sisi + bidang atas</t>
        </is>
      </c>
    </row>
    <row r="31">
      <c r="A31" s="8" t="n">
        <v>3</v>
      </c>
      <c r="B31" s="31" t="inlineStr">
        <is>
          <t>Acian</t>
        </is>
      </c>
      <c r="C31" s="32">
        <f>2*90.80*0.5+90.80*0.11</f>
        <v/>
      </c>
      <c r="D31" s="8" t="inlineStr">
        <is>
          <t>m²</t>
        </is>
      </c>
      <c r="E31" s="11">
        <f>AHSP!$F$173</f>
        <v/>
      </c>
      <c r="F31" s="12">
        <f>C31*E31</f>
        <v/>
      </c>
      <c r="G31" s="31" t="inlineStr">
        <is>
          <t>sama dengan plesteran</t>
        </is>
      </c>
    </row>
    <row r="32">
      <c r="A32" s="8" t="n">
        <v>4</v>
      </c>
      <c r="B32" s="31" t="inlineStr">
        <is>
          <t>Pengecatan dinding, kolom, ring balk</t>
        </is>
      </c>
      <c r="C32" s="32">
        <f>2*90.80*0.5+24*0.6*2.0+(100-24*0.15)*0.55</f>
        <v/>
      </c>
      <c r="D32" s="8" t="inlineStr">
        <is>
          <t>m²</t>
        </is>
      </c>
      <c r="E32" s="11">
        <f>AHSP!$F$184</f>
        <v/>
      </c>
      <c r="F32" s="12">
        <f>C32*E32</f>
        <v/>
      </c>
      <c r="G32" s="31" t="inlineStr">
        <is>
          <t>dinding 2 sisi + kolom terlihat + ring balk</t>
        </is>
      </c>
    </row>
    <row r="33">
      <c r="A33" s="8" t="n">
        <v>5</v>
      </c>
      <c r="B33" s="31" t="inlineStr">
        <is>
          <t>Lantai rabat beton K-175 t=7</t>
        </is>
      </c>
      <c r="C33" s="32">
        <f>392.522*0.07</f>
        <v/>
      </c>
      <c r="D33" s="8" t="inlineStr">
        <is>
          <t>m³</t>
        </is>
      </c>
      <c r="E33" s="11">
        <f>AHSP!$F$105</f>
        <v/>
      </c>
      <c r="F33" s="12">
        <f>C33*E33</f>
        <v/>
      </c>
      <c r="G33" s="31" t="inlineStr">
        <is>
          <t>luas dalam x 0,07</t>
        </is>
      </c>
    </row>
    <row r="34">
      <c r="A34" s="8" t="n">
        <v>6</v>
      </c>
      <c r="B34" s="31" t="inlineStr">
        <is>
          <t>Finishing lantai dipel kasar</t>
        </is>
      </c>
      <c r="C34" s="32">
        <f>392.522</f>
        <v/>
      </c>
      <c r="D34" s="8" t="inlineStr">
        <is>
          <t>m²</t>
        </is>
      </c>
      <c r="E34" s="11">
        <f>AHSP!$F$192</f>
        <v/>
      </c>
      <c r="F34" s="12">
        <f>C34*E34</f>
        <v/>
      </c>
      <c r="G34" s="31" t="inlineStr">
        <is>
          <t>luas dalam</t>
        </is>
      </c>
    </row>
    <row r="35">
      <c r="A35" s="8" t="n">
        <v>7</v>
      </c>
      <c r="B35" s="31" t="inlineStr">
        <is>
          <t>Lapis kerikil garis tetesan atap 50 x 15 cm kiri-kanan</t>
        </is>
      </c>
      <c r="C35" s="32">
        <f>2*42*0.5*0.15</f>
        <v/>
      </c>
      <c r="D35" s="8" t="inlineStr">
        <is>
          <t>m³</t>
        </is>
      </c>
      <c r="E35" s="11">
        <f>AHSP!$F$81</f>
        <v/>
      </c>
      <c r="F35" s="12">
        <f>C35*E35</f>
        <v/>
      </c>
      <c r="G35" s="31" t="inlineStr">
        <is>
          <t>2 x 42 m x 0,5 x 0,15 (pengganti saluran bata)</t>
        </is>
      </c>
    </row>
    <row r="36">
      <c r="A36" s="14" t="inlineStr"/>
      <c r="B36" s="15" t="inlineStr">
        <is>
          <t>Jumlah pekerjaan dinding dan lantai</t>
        </is>
      </c>
      <c r="C36" s="14" t="inlineStr"/>
      <c r="D36" s="14" t="inlineStr"/>
      <c r="E36" s="14" t="inlineStr"/>
      <c r="F36" s="16">
        <f>SUM(F29:F35)</f>
        <v/>
      </c>
      <c r="G36" s="14" t="inlineStr"/>
    </row>
    <row r="38">
      <c r="A38" s="29" t="inlineStr"/>
      <c r="B38" s="30" t="inlineStr">
        <is>
          <t>V. PEKERJAAN KAWAT, RANGKA DAN TIRAI</t>
        </is>
      </c>
      <c r="C38" s="29" t="inlineStr"/>
      <c r="D38" s="29" t="inlineStr"/>
      <c r="E38" s="29" t="inlineStr"/>
      <c r="F38" s="29" t="inlineStr"/>
      <c r="G38" s="29" t="inlineStr"/>
    </row>
    <row r="39">
      <c r="A39" s="8" t="n">
        <v>1</v>
      </c>
      <c r="B39" s="31" t="inlineStr">
        <is>
          <t>Rangka hollow 40x40 (rel atas-bawah + tiang antara)</t>
        </is>
      </c>
      <c r="C39" s="32">
        <f>2*97.6+24*2.0</f>
        <v/>
      </c>
      <c r="D39" s="8" t="inlineStr">
        <is>
          <t>m'</t>
        </is>
      </c>
      <c r="E39" s="11">
        <f>AHSP!$F$280</f>
        <v/>
      </c>
      <c r="F39" s="12">
        <f>C39*E39</f>
        <v/>
      </c>
      <c r="G39" s="31" t="inlineStr">
        <is>
          <t>rel 2 x keliling bersih + 24 tiang antara x 2 m</t>
        </is>
      </c>
    </row>
    <row r="40">
      <c r="A40" s="8" t="n">
        <v>2</v>
      </c>
      <c r="B40" s="31" t="inlineStr">
        <is>
          <t>Kawat harmonika 1" dinding, gevel, celah monitor</t>
        </is>
      </c>
      <c r="C40" s="32">
        <f>188.00+23.32+2*0.4*41</f>
        <v/>
      </c>
      <c r="D40" s="8" t="inlineStr">
        <is>
          <t>m²</t>
        </is>
      </c>
      <c r="E40" s="11">
        <f>AHSP!$F$270</f>
        <v/>
      </c>
      <c r="F40" s="12">
        <f>C40*E40</f>
        <v/>
      </c>
      <c r="G40" s="31" t="inlineStr">
        <is>
          <t>dinding 2 m + 2 segitiga gevel + 2 celah monitor 40 cm</t>
        </is>
      </c>
    </row>
    <row r="41">
      <c r="A41" s="8" t="n">
        <v>3</v>
      </c>
      <c r="B41" s="31" t="inlineStr">
        <is>
          <t>Tirai terpal sisi panjang dan sisi pendek</t>
        </is>
      </c>
      <c r="C41" s="32">
        <f>2*(40+10)*2.0-2*1.2*2.0</f>
        <v/>
      </c>
      <c r="D41" s="8" t="inlineStr">
        <is>
          <t>m²</t>
        </is>
      </c>
      <c r="E41" s="11">
        <f>AHSP!$F$291</f>
        <v/>
      </c>
      <c r="F41" s="12">
        <f>C41*E41</f>
        <v/>
      </c>
      <c r="G41" s="31" t="inlineStr">
        <is>
          <t>keliling x 2 m - pintu</t>
        </is>
      </c>
    </row>
    <row r="42">
      <c r="A42" s="14" t="inlineStr"/>
      <c r="B42" s="15" t="inlineStr">
        <is>
          <t>Jumlah pekerjaan kawat, rangka dan tirai</t>
        </is>
      </c>
      <c r="C42" s="14" t="inlineStr"/>
      <c r="D42" s="14" t="inlineStr"/>
      <c r="E42" s="14" t="inlineStr"/>
      <c r="F42" s="16">
        <f>SUM(F39:F41)</f>
        <v/>
      </c>
      <c r="G42" s="14" t="inlineStr"/>
    </row>
    <row r="44">
      <c r="A44" s="29" t="inlineStr"/>
      <c r="B44" s="30" t="inlineStr">
        <is>
          <t>VI. PEKERJAAN ATAP</t>
        </is>
      </c>
      <c r="C44" s="29" t="inlineStr"/>
      <c r="D44" s="29" t="inlineStr"/>
      <c r="E44" s="29" t="inlineStr"/>
      <c r="F44" s="29" t="inlineStr"/>
      <c r="G44" s="29" t="inlineStr"/>
    </row>
    <row r="45">
      <c r="A45" s="8" t="n">
        <v>1</v>
      </c>
      <c r="B45" s="31" t="inlineStr">
        <is>
          <t>Rangka atap baja ringan (bidang atap utama + monitor)</t>
        </is>
      </c>
      <c r="C45" s="32">
        <f>470.48+108.57</f>
        <v/>
      </c>
      <c r="D45" s="8" t="inlineStr">
        <is>
          <t>m²</t>
        </is>
      </c>
      <c r="E45" s="11">
        <f>AHSP!$F$218</f>
        <v/>
      </c>
      <c r="F45" s="12">
        <f>C45*E45</f>
        <v/>
      </c>
      <c r="G45" s="31" t="inlineStr">
        <is>
          <t>2 x 5.74 x 41 + 2 x 1.32 x 41</t>
        </is>
      </c>
    </row>
    <row r="46">
      <c r="A46" s="8" t="n">
        <v>2</v>
      </c>
      <c r="B46" s="31" t="inlineStr">
        <is>
          <t>Penutup atap galvalum spandek 0,30</t>
        </is>
      </c>
      <c r="C46" s="32">
        <f>470.48+108.57</f>
        <v/>
      </c>
      <c r="D46" s="8" t="inlineStr">
        <is>
          <t>m²</t>
        </is>
      </c>
      <c r="E46" s="11">
        <f>AHSP!$F$229</f>
        <v/>
      </c>
      <c r="F46" s="12">
        <f>C46*E46</f>
        <v/>
      </c>
      <c r="G46" s="31" t="inlineStr">
        <is>
          <t>sama dengan bidang atap</t>
        </is>
      </c>
    </row>
    <row r="47">
      <c r="A47" s="8" t="n">
        <v>3</v>
      </c>
      <c r="B47" s="31" t="inlineStr">
        <is>
          <t>Nok atap monitor</t>
        </is>
      </c>
      <c r="C47" s="32">
        <f>41</f>
        <v/>
      </c>
      <c r="D47" s="8" t="inlineStr">
        <is>
          <t>m'</t>
        </is>
      </c>
      <c r="E47" s="11">
        <f>AHSP!$F$238</f>
        <v/>
      </c>
      <c r="F47" s="12">
        <f>C47*E47</f>
        <v/>
      </c>
      <c r="G47" s="31" t="inlineStr">
        <is>
          <t>panjang atap 41 m</t>
        </is>
      </c>
    </row>
    <row r="48">
      <c r="A48" s="8" t="n">
        <v>4</v>
      </c>
      <c r="B48" s="31" t="inlineStr">
        <is>
          <t>Lisplang/flashing (tepi bawah, tepi miring, sambungan monitor)</t>
        </is>
      </c>
      <c r="C48" s="32">
        <f>2*41+4*5.738+4*1.324+2*41</f>
        <v/>
      </c>
      <c r="D48" s="8" t="inlineStr">
        <is>
          <t>m'</t>
        </is>
      </c>
      <c r="E48" s="11">
        <f>AHSP!$F$247</f>
        <v/>
      </c>
      <c r="F48" s="12">
        <f>C48*E48</f>
        <v/>
      </c>
      <c r="G48" s="31" t="inlineStr">
        <is>
          <t>tepi bawah 2 x 41 + tepi miring + flashing monitor 2 x 41</t>
        </is>
      </c>
    </row>
    <row r="49">
      <c r="A49" s="14" t="inlineStr"/>
      <c r="B49" s="15" t="inlineStr">
        <is>
          <t>Jumlah pekerjaan atap</t>
        </is>
      </c>
      <c r="C49" s="14" t="inlineStr"/>
      <c r="D49" s="14" t="inlineStr"/>
      <c r="E49" s="14" t="inlineStr"/>
      <c r="F49" s="16">
        <f>SUM(F45:F48)</f>
        <v/>
      </c>
      <c r="G49" s="14" t="inlineStr"/>
    </row>
    <row r="51">
      <c r="A51" s="29" t="inlineStr"/>
      <c r="B51" s="30" t="inlineStr">
        <is>
          <t>VII. PINTU DAN PERLENGKAPAN KANDANG</t>
        </is>
      </c>
      <c r="C51" s="29" t="inlineStr"/>
      <c r="D51" s="29" t="inlineStr"/>
      <c r="E51" s="29" t="inlineStr"/>
      <c r="F51" s="29" t="inlineStr"/>
      <c r="G51" s="29" t="inlineStr"/>
    </row>
    <row r="52">
      <c r="A52" s="8" t="n">
        <v>1</v>
      </c>
      <c r="B52" s="31" t="inlineStr">
        <is>
          <t>Pintu utama 120x200 rangka hollow + kawat (2 unit)</t>
        </is>
      </c>
      <c r="C52" s="32">
        <f>2*1.2*2.0</f>
        <v/>
      </c>
      <c r="D52" s="8" t="inlineStr">
        <is>
          <t>m²</t>
        </is>
      </c>
      <c r="E52" s="11">
        <f>AHSP!$F$328</f>
        <v/>
      </c>
      <c r="F52" s="12">
        <f>C52*E52</f>
        <v/>
      </c>
      <c r="G52" s="31" t="inlineStr">
        <is>
          <t>2 x 1,2 x 2,0</t>
        </is>
      </c>
    </row>
    <row r="53">
      <c r="A53" s="8" t="n">
        <v>2</v>
      </c>
      <c r="B53" s="31" t="inlineStr">
        <is>
          <t>Pintu umbaran 40x45 + titian papan</t>
        </is>
      </c>
      <c r="C53" s="32">
        <f>8</f>
        <v/>
      </c>
      <c r="D53" s="8" t="inlineStr">
        <is>
          <t>unit</t>
        </is>
      </c>
      <c r="E53" s="11">
        <f>AHSP!$F$363</f>
        <v/>
      </c>
      <c r="F53" s="12">
        <f>C53*E53</f>
        <v/>
      </c>
      <c r="G53" s="31" t="inlineStr">
        <is>
          <t>8 unit sisi selatan</t>
        </is>
      </c>
    </row>
    <row r="54">
      <c r="A54" s="8" t="n">
        <v>3</v>
      </c>
      <c r="B54" s="31" t="inlineStr">
        <is>
          <t>Bak celup kaki di pintu</t>
        </is>
      </c>
      <c r="C54" s="32">
        <f>2</f>
        <v/>
      </c>
      <c r="D54" s="8" t="inlineStr">
        <is>
          <t>unit</t>
        </is>
      </c>
      <c r="E54" s="11">
        <f>AHSP!$F$391</f>
        <v/>
      </c>
      <c r="F54" s="12">
        <f>C54*E54</f>
        <v/>
      </c>
      <c r="G54" s="31" t="inlineStr">
        <is>
          <t>2 unit</t>
        </is>
      </c>
    </row>
    <row r="55">
      <c r="A55" s="8" t="n">
        <v>4</v>
      </c>
      <c r="B55" s="31" t="inlineStr">
        <is>
          <t>Sarang bertelur kayu 3 tingkat</t>
        </is>
      </c>
      <c r="C55" s="32">
        <f>390</f>
        <v/>
      </c>
      <c r="D55" s="8" t="inlineStr">
        <is>
          <t>lubang</t>
        </is>
      </c>
      <c r="E55" s="11">
        <f>AHSP!$F$372</f>
        <v/>
      </c>
      <c r="F55" s="12">
        <f>C55*E55</f>
        <v/>
      </c>
      <c r="G55" s="31" t="inlineStr">
        <is>
          <t>130 lubang x 3 tingkat</t>
        </is>
      </c>
    </row>
    <row r="56">
      <c r="A56" s="8" t="n">
        <v>5</v>
      </c>
      <c r="B56" s="31" t="inlineStr">
        <is>
          <t>Tenggeran bertingkat</t>
        </is>
      </c>
      <c r="C56" s="32">
        <f>28</f>
        <v/>
      </c>
      <c r="D56" s="8" t="inlineStr">
        <is>
          <t>m'</t>
        </is>
      </c>
      <c r="E56" s="11">
        <f>AHSP!$F$381</f>
        <v/>
      </c>
      <c r="F56" s="12">
        <f>C56*E56</f>
        <v/>
      </c>
      <c r="G56" s="31" t="inlineStr">
        <is>
          <t>2 x 14 m</t>
        </is>
      </c>
    </row>
    <row r="57">
      <c r="A57" s="8" t="n">
        <v>6</v>
      </c>
      <c r="B57" s="31" t="inlineStr">
        <is>
          <t>Tempat pakan gantung 8 kg</t>
        </is>
      </c>
      <c r="C57" s="32">
        <f>80</f>
        <v/>
      </c>
      <c r="D57" s="8" t="inlineStr">
        <is>
          <t>bh</t>
        </is>
      </c>
      <c r="E57" s="11">
        <f>ROUND('Harga Dasar'!$D$58*(1+Petunjuk!$C$15),-2)</f>
        <v/>
      </c>
      <c r="F57" s="12">
        <f>C57*E57</f>
        <v/>
      </c>
      <c r="G57" s="31" t="inlineStr">
        <is>
          <t>1 per 25 ekor</t>
        </is>
      </c>
    </row>
    <row r="58">
      <c r="A58" s="8" t="n">
        <v>7</v>
      </c>
      <c r="B58" s="31" t="inlineStr">
        <is>
          <t>Tempat minum galon 5 liter</t>
        </is>
      </c>
      <c r="C58" s="32">
        <f>40</f>
        <v/>
      </c>
      <c r="D58" s="8" t="inlineStr">
        <is>
          <t>bh</t>
        </is>
      </c>
      <c r="E58" s="11">
        <f>ROUND('Harga Dasar'!$D$59*(1+Petunjuk!$C$15),-2)</f>
        <v/>
      </c>
      <c r="F58" s="12">
        <f>C58*E58</f>
        <v/>
      </c>
      <c r="G58" s="31" t="inlineStr">
        <is>
          <t>1 per 50 ekor</t>
        </is>
      </c>
    </row>
    <row r="59">
      <c r="A59" s="8" t="n">
        <v>8</v>
      </c>
      <c r="B59" s="31" t="inlineStr">
        <is>
          <t>Titik lampu LED</t>
        </is>
      </c>
      <c r="C59" s="32">
        <f>10</f>
        <v/>
      </c>
      <c r="D59" s="8" t="inlineStr">
        <is>
          <t>titik</t>
        </is>
      </c>
      <c r="E59" s="11">
        <f>ROUND('Harga Dasar'!$D$60*(1+Petunjuk!$C$15),-2)</f>
        <v/>
      </c>
      <c r="F59" s="12">
        <f>C59*E59</f>
        <v/>
      </c>
      <c r="G59" s="31" t="inlineStr">
        <is>
          <t>1 per bentang 4 m</t>
        </is>
      </c>
    </row>
    <row r="60">
      <c r="A60" s="8" t="n">
        <v>9</v>
      </c>
      <c r="B60" s="31" t="inlineStr">
        <is>
          <t>Instalasi pipa air minum 3/4" + kran</t>
        </is>
      </c>
      <c r="C60" s="32">
        <f>50</f>
        <v/>
      </c>
      <c r="D60" s="8" t="inlineStr">
        <is>
          <t>m'</t>
        </is>
      </c>
      <c r="E60" s="11">
        <f>AHSP!$F$399</f>
        <v/>
      </c>
      <c r="F60" s="12">
        <f>C60*E60</f>
        <v/>
      </c>
      <c r="G60" s="31" t="inlineStr">
        <is>
          <t>dari tandon kawasan ke kandang</t>
        </is>
      </c>
    </row>
    <row r="61">
      <c r="A61" s="14" t="inlineStr"/>
      <c r="B61" s="15" t="inlineStr">
        <is>
          <t>Jumlah pintu dan perlengkapan kandang</t>
        </is>
      </c>
      <c r="C61" s="14" t="inlineStr"/>
      <c r="D61" s="14" t="inlineStr"/>
      <c r="E61" s="14" t="inlineStr"/>
      <c r="F61" s="16">
        <f>SUM(F52:F60)</f>
        <v/>
      </c>
      <c r="G61" s="14" t="inlineStr"/>
    </row>
    <row r="63">
      <c r="A63" s="18" t="inlineStr"/>
      <c r="B63" s="19" t="inlineStr">
        <is>
          <t>TOTAL</t>
        </is>
      </c>
      <c r="C63" s="18" t="inlineStr"/>
      <c r="D63" s="18" t="inlineStr"/>
      <c r="E63" s="18" t="inlineStr"/>
      <c r="F63" s="20">
        <f>F8+F16+F26+F36+F42+F49+F61</f>
        <v/>
      </c>
      <c r="G63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8" customWidth="1" min="4" max="4"/>
    <col width="15" customWidth="1" min="5" max="5"/>
    <col width="18" customWidth="1" min="6" max="6"/>
    <col width="50" customWidth="1" min="7" max="7"/>
  </cols>
  <sheetData>
    <row r="1">
      <c r="A1" s="1" t="inlineStr">
        <is>
          <t>RAB bangunan fasilitas (gambar GT-03 dan GT-04)</t>
        </is>
      </c>
    </row>
    <row r="2">
      <c r="A2" s="2" t="inlineStr">
        <is>
          <t>Struktur tipikal: footplat, kolom 15/15, sloof, ring balk, dinding bata, atap baja ringan + galvalum.</t>
        </is>
      </c>
    </row>
    <row r="4">
      <c r="A4" s="7" t="inlineStr">
        <is>
          <t>No</t>
        </is>
      </c>
      <c r="B4" s="7" t="inlineStr">
        <is>
          <t>Uraian pekerjaan</t>
        </is>
      </c>
      <c r="C4" s="7" t="inlineStr">
        <is>
          <t>Volume</t>
        </is>
      </c>
      <c r="D4" s="7" t="inlineStr">
        <is>
          <t>Sat</t>
        </is>
      </c>
      <c r="E4" s="7" t="inlineStr">
        <is>
          <t>Harga satuan (Rp)</t>
        </is>
      </c>
      <c r="F4" s="7" t="inlineStr">
        <is>
          <t>Jumlah (Rp)</t>
        </is>
      </c>
      <c r="G4" s="7" t="inlineStr">
        <is>
          <t>Dasar volume</t>
        </is>
      </c>
    </row>
    <row r="5">
      <c r="A5" s="33" t="inlineStr"/>
      <c r="B5" s="26" t="inlineStr">
        <is>
          <t>POS JAGA  (4 x 3 m)</t>
        </is>
      </c>
      <c r="C5" s="33" t="inlineStr"/>
      <c r="D5" s="33" t="inlineStr"/>
      <c r="E5" s="33" t="inlineStr"/>
      <c r="F5" s="33" t="inlineStr"/>
      <c r="G5" s="33" t="inlineStr"/>
    </row>
    <row r="6">
      <c r="A6" s="29" t="inlineStr"/>
      <c r="B6" s="30" t="inlineStr">
        <is>
          <t>I. PERSIAPAN DAN TANAH</t>
        </is>
      </c>
      <c r="C6" s="29" t="inlineStr"/>
      <c r="D6" s="29" t="inlineStr"/>
      <c r="E6" s="29" t="inlineStr"/>
      <c r="F6" s="29" t="inlineStr"/>
      <c r="G6" s="29" t="inlineStr"/>
    </row>
    <row r="7">
      <c r="A7" s="8" t="n">
        <v>1</v>
      </c>
      <c r="B7" s="9" t="inlineStr">
        <is>
          <t>Perataan lokasi dan peil</t>
        </is>
      </c>
      <c r="C7" s="32">
        <f>(4.0+4)*(3.0+4)</f>
        <v/>
      </c>
      <c r="D7" s="8" t="inlineStr">
        <is>
          <t>m²</t>
        </is>
      </c>
      <c r="E7" s="11">
        <f>AHSP!$F$9</f>
        <v/>
      </c>
      <c r="F7" s="12">
        <f>C7*E7</f>
        <v/>
      </c>
      <c r="G7" s="9" t="inlineStr">
        <is>
          <t>(panjang + 4) x (lebar + 4)</t>
        </is>
      </c>
    </row>
    <row r="8">
      <c r="A8" s="8" t="n">
        <v>2</v>
      </c>
      <c r="B8" s="9" t="inlineStr">
        <is>
          <t>Pengukuran dan bouwplank</t>
        </is>
      </c>
      <c r="C8" s="32">
        <f>2*(4.0+4+3.0+4)</f>
        <v/>
      </c>
      <c r="D8" s="8" t="inlineStr">
        <is>
          <t>m'</t>
        </is>
      </c>
      <c r="E8" s="11">
        <f>AHSP!$F$20</f>
        <v/>
      </c>
      <c r="F8" s="12">
        <f>C8*E8</f>
        <v/>
      </c>
      <c r="G8" s="9" t="inlineStr">
        <is>
          <t>keliling + 2 m</t>
        </is>
      </c>
    </row>
    <row r="9">
      <c r="A9" s="8" t="n">
        <v>3</v>
      </c>
      <c r="B9" s="9" t="inlineStr">
        <is>
          <t>Galian footplat 100x100x70</t>
        </is>
      </c>
      <c r="C9" s="32">
        <f>4*0.7</f>
        <v/>
      </c>
      <c r="D9" s="8" t="inlineStr">
        <is>
          <t>m³</t>
        </is>
      </c>
      <c r="E9" s="11">
        <f>AHSP!$F$27</f>
        <v/>
      </c>
      <c r="F9" s="12">
        <f>C9*E9</f>
        <v/>
      </c>
      <c r="G9" s="9" t="inlineStr">
        <is>
          <t>4 titik</t>
        </is>
      </c>
    </row>
    <row r="10">
      <c r="A10" s="8" t="n">
        <v>4</v>
      </c>
      <c r="B10" s="9" t="inlineStr">
        <is>
          <t>Urugan kembali</t>
        </is>
      </c>
      <c r="C10" s="32">
        <f>4*0.5015</f>
        <v/>
      </c>
      <c r="D10" s="8" t="inlineStr">
        <is>
          <t>m³</t>
        </is>
      </c>
      <c r="E10" s="11">
        <f>AHSP!$F$34</f>
        <v/>
      </c>
      <c r="F10" s="12">
        <f>C10*E10</f>
        <v/>
      </c>
      <c r="G10" s="9" t="inlineStr">
        <is>
          <t>sisa galian</t>
        </is>
      </c>
    </row>
    <row r="11">
      <c r="A11" s="8" t="n">
        <v>5</v>
      </c>
      <c r="B11" s="9" t="inlineStr">
        <is>
          <t>Urugan tanah peninggian dipadatkan</t>
        </is>
      </c>
      <c r="C11" s="32">
        <f>10.973*0.15</f>
        <v/>
      </c>
      <c r="D11" s="8" t="inlineStr">
        <is>
          <t>m³</t>
        </is>
      </c>
      <c r="E11" s="11">
        <f>AHSP!$F$42</f>
        <v/>
      </c>
      <c r="F11" s="12">
        <f>C11*E11</f>
        <v/>
      </c>
      <c r="G11" s="9" t="inlineStr">
        <is>
          <t>luas dalam x 0.15</t>
        </is>
      </c>
    </row>
    <row r="12">
      <c r="A12" s="8" t="n">
        <v>6</v>
      </c>
      <c r="B12" s="9" t="inlineStr">
        <is>
          <t>Urugan pasir bawah lantai, footplat, sloof</t>
        </is>
      </c>
      <c r="C12" s="32">
        <f>10.973*0.05+4*0.05+14.0*0.25*0.05</f>
        <v/>
      </c>
      <c r="D12" s="8" t="inlineStr">
        <is>
          <t>m³</t>
        </is>
      </c>
      <c r="E12" s="11">
        <f>AHSP!$F$50</f>
        <v/>
      </c>
      <c r="F12" s="12">
        <f>C12*E12</f>
        <v/>
      </c>
      <c r="G12" s="9" t="inlineStr"/>
    </row>
    <row r="13">
      <c r="A13" s="29" t="inlineStr"/>
      <c r="B13" s="30" t="inlineStr">
        <is>
          <t>II. STRUKTUR BETON</t>
        </is>
      </c>
      <c r="C13" s="29" t="inlineStr"/>
      <c r="D13" s="29" t="inlineStr"/>
      <c r="E13" s="29" t="inlineStr"/>
      <c r="F13" s="29" t="inlineStr"/>
      <c r="G13" s="29" t="inlineStr"/>
    </row>
    <row r="14">
      <c r="A14" s="8" t="n">
        <v>7</v>
      </c>
      <c r="B14" s="9" t="inlineStr">
        <is>
          <t>Lantai kerja K-100</t>
        </is>
      </c>
      <c r="C14" s="32">
        <f>4*0.0405</f>
        <v/>
      </c>
      <c r="D14" s="8" t="inlineStr">
        <is>
          <t>m³</t>
        </is>
      </c>
      <c r="E14" s="11">
        <f>AHSP!$F$93</f>
        <v/>
      </c>
      <c r="F14" s="12">
        <f>C14*E14</f>
        <v/>
      </c>
      <c r="G14" s="9" t="inlineStr"/>
    </row>
    <row r="15">
      <c r="A15" s="8" t="n">
        <v>8</v>
      </c>
      <c r="B15" s="9" t="inlineStr">
        <is>
          <t>Beton K-225 footplat 70x70x20</t>
        </is>
      </c>
      <c r="C15" s="32">
        <f>4*0.098</f>
        <v/>
      </c>
      <c r="D15" s="8" t="inlineStr">
        <is>
          <t>m³</t>
        </is>
      </c>
      <c r="E15" s="11">
        <f>AHSP!$F$117</f>
        <v/>
      </c>
      <c r="F15" s="12">
        <f>C15*E15</f>
        <v/>
      </c>
      <c r="G15" s="9" t="inlineStr"/>
    </row>
    <row r="16">
      <c r="A16" s="8" t="n">
        <v>9</v>
      </c>
      <c r="B16" s="9" t="inlineStr">
        <is>
          <t>Beton K-225 kolom 15/15 tinggi 3,70</t>
        </is>
      </c>
      <c r="C16" s="32">
        <f>4*0.0225*3.7</f>
        <v/>
      </c>
      <c r="D16" s="8" t="inlineStr">
        <is>
          <t>m³</t>
        </is>
      </c>
      <c r="E16" s="11">
        <f>AHSP!$F$117</f>
        <v/>
      </c>
      <c r="F16" s="12">
        <f>C16*E16</f>
        <v/>
      </c>
      <c r="G16" s="9" t="inlineStr">
        <is>
          <t>pedestal + kolom sampai +300</t>
        </is>
      </c>
    </row>
    <row r="17">
      <c r="A17" s="8" t="n">
        <v>10</v>
      </c>
      <c r="B17" s="9" t="inlineStr">
        <is>
          <t>Beton K-225 sloof 15/25</t>
        </is>
      </c>
      <c r="C17" s="32">
        <f>16.40*0.0375</f>
        <v/>
      </c>
      <c r="D17" s="8" t="inlineStr">
        <is>
          <t>m³</t>
        </is>
      </c>
      <c r="E17" s="11">
        <f>AHSP!$F$117</f>
        <v/>
      </c>
      <c r="F17" s="12">
        <f>C17*E17</f>
        <v/>
      </c>
      <c r="G17" s="9" t="inlineStr"/>
    </row>
    <row r="18">
      <c r="A18" s="8" t="n">
        <v>11</v>
      </c>
      <c r="B18" s="9" t="inlineStr">
        <is>
          <t>Beton K-225 ring balk 15/20</t>
        </is>
      </c>
      <c r="C18" s="32">
        <f>16.40*0.03</f>
        <v/>
      </c>
      <c r="D18" s="8" t="inlineStr">
        <is>
          <t>m³</t>
        </is>
      </c>
      <c r="E18" s="11">
        <f>AHSP!$F$117</f>
        <v/>
      </c>
      <c r="F18" s="12">
        <f>C18*E18</f>
        <v/>
      </c>
      <c r="G18" s="9" t="inlineStr"/>
    </row>
    <row r="19">
      <c r="A19" s="8" t="n">
        <v>12</v>
      </c>
      <c r="B19" s="9" t="inlineStr">
        <is>
          <t>Pembesian</t>
        </is>
      </c>
      <c r="C19" s="32">
        <f>4*4.44+4*15.65+16.40*4.558+16.40*4.295</f>
        <v/>
      </c>
      <c r="D19" s="8" t="inlineStr">
        <is>
          <t>kg</t>
        </is>
      </c>
      <c r="E19" s="11">
        <f>AHSP!$F$128</f>
        <v/>
      </c>
      <c r="F19" s="12">
        <f>C19*E19</f>
        <v/>
      </c>
      <c r="G19" s="9" t="inlineStr">
        <is>
          <t>footplat + kolom + sloof + ring balk</t>
        </is>
      </c>
    </row>
    <row r="20">
      <c r="A20" s="8" t="n">
        <v>13</v>
      </c>
      <c r="B20" s="9" t="inlineStr">
        <is>
          <t>Bekisting</t>
        </is>
      </c>
      <c r="C20" s="32">
        <f>4*0.56+4*0.6*3.7+16.40*0.5+16.40*0.55</f>
        <v/>
      </c>
      <c r="D20" s="8" t="inlineStr">
        <is>
          <t>m²</t>
        </is>
      </c>
      <c r="E20" s="11">
        <f>AHSP!$F$140</f>
        <v/>
      </c>
      <c r="F20" s="12">
        <f>C20*E20</f>
        <v/>
      </c>
      <c r="G20" s="9" t="inlineStr"/>
    </row>
    <row r="21">
      <c r="A21" s="29" t="inlineStr"/>
      <c r="B21" s="30" t="inlineStr">
        <is>
          <t>III. DINDING, LANTAI, ATAP</t>
        </is>
      </c>
      <c r="C21" s="29" t="inlineStr"/>
      <c r="D21" s="29" t="inlineStr"/>
      <c r="E21" s="29" t="inlineStr"/>
      <c r="F21" s="29" t="inlineStr"/>
      <c r="G21" s="29" t="inlineStr"/>
    </row>
    <row r="22">
      <c r="A22" s="8" t="n">
        <v>14</v>
      </c>
      <c r="B22" s="9" t="inlineStr">
        <is>
          <t>Pasangan bata 1/2 bata</t>
        </is>
      </c>
      <c r="C22" s="32">
        <f>41.69</f>
        <v/>
      </c>
      <c r="D22" s="8" t="inlineStr">
        <is>
          <t>m²</t>
        </is>
      </c>
      <c r="E22" s="11">
        <f>AHSP!$F$152</f>
        <v/>
      </c>
      <c r="F22" s="12">
        <f>C22*E22</f>
        <v/>
      </c>
      <c r="G22" s="9" t="inlineStr">
        <is>
          <t>dinding luar h 3 m + dinding dalam 3.0 m, dikurangi bukaan</t>
        </is>
      </c>
    </row>
    <row r="23">
      <c r="A23" s="8" t="n">
        <v>15</v>
      </c>
      <c r="B23" s="9" t="inlineStr">
        <is>
          <t>Plesteran dua sisi</t>
        </is>
      </c>
      <c r="C23" s="32">
        <f>2*41.69</f>
        <v/>
      </c>
      <c r="D23" s="8" t="inlineStr">
        <is>
          <t>m²</t>
        </is>
      </c>
      <c r="E23" s="11">
        <f>AHSP!$F$163</f>
        <v/>
      </c>
      <c r="F23" s="12">
        <f>C23*E23</f>
        <v/>
      </c>
      <c r="G23" s="9" t="inlineStr"/>
    </row>
    <row r="24">
      <c r="A24" s="8" t="n">
        <v>16</v>
      </c>
      <c r="B24" s="9" t="inlineStr">
        <is>
          <t>Acian sisi luar</t>
        </is>
      </c>
      <c r="C24" s="32">
        <f>1*41.69</f>
        <v/>
      </c>
      <c r="D24" s="8" t="inlineStr">
        <is>
          <t>m²</t>
        </is>
      </c>
      <c r="E24" s="11">
        <f>AHSP!$F$173</f>
        <v/>
      </c>
      <c r="F24" s="12">
        <f>C24*E24</f>
        <v/>
      </c>
      <c r="G24" s="9" t="inlineStr"/>
    </row>
    <row r="25">
      <c r="A25" s="8" t="n">
        <v>17</v>
      </c>
      <c r="B25" s="9" t="inlineStr">
        <is>
          <t>Pengecatan sisi luar</t>
        </is>
      </c>
      <c r="C25" s="32">
        <f>1*41.69</f>
        <v/>
      </c>
      <c r="D25" s="8" t="inlineStr">
        <is>
          <t>m²</t>
        </is>
      </c>
      <c r="E25" s="11">
        <f>AHSP!$F$184</f>
        <v/>
      </c>
      <c r="F25" s="12">
        <f>C25*E25</f>
        <v/>
      </c>
      <c r="G25" s="9" t="inlineStr"/>
    </row>
    <row r="26">
      <c r="A26" s="8" t="n">
        <v>18</v>
      </c>
      <c r="B26" s="9" t="inlineStr">
        <is>
          <t>Lantai beton K-175 t=10 (dasar keramik)</t>
        </is>
      </c>
      <c r="C26" s="32">
        <f>10.973*0.1</f>
        <v/>
      </c>
      <c r="D26" s="8" t="inlineStr">
        <is>
          <t>m³</t>
        </is>
      </c>
      <c r="E26" s="11">
        <f>AHSP!$F$105</f>
        <v/>
      </c>
      <c r="F26" s="12">
        <f>C26*E26</f>
        <v/>
      </c>
      <c r="G26" s="9" t="inlineStr"/>
    </row>
    <row r="27">
      <c r="A27" s="8" t="n">
        <v>19</v>
      </c>
      <c r="B27" s="9" t="inlineStr">
        <is>
          <t>Rangka atap baja ringan</t>
        </is>
      </c>
      <c r="C27" s="32">
        <f>25.38</f>
        <v/>
      </c>
      <c r="D27" s="8" t="inlineStr">
        <is>
          <t>m²</t>
        </is>
      </c>
      <c r="E27" s="11">
        <f>AHSP!$F$218</f>
        <v/>
      </c>
      <c r="F27" s="12">
        <f>C27*E27</f>
        <v/>
      </c>
      <c r="G27" s="9" t="inlineStr">
        <is>
          <t>kemiringan sisi utara + selatan (termasuk teras) x (panjang + 1)</t>
        </is>
      </c>
    </row>
    <row r="28">
      <c r="A28" s="8" t="n">
        <v>20</v>
      </c>
      <c r="B28" s="9" t="inlineStr">
        <is>
          <t>Penutup atap galvalum</t>
        </is>
      </c>
      <c r="C28" s="32">
        <f>25.38</f>
        <v/>
      </c>
      <c r="D28" s="8" t="inlineStr">
        <is>
          <t>m²</t>
        </is>
      </c>
      <c r="E28" s="11">
        <f>AHSP!$F$229</f>
        <v/>
      </c>
      <c r="F28" s="12">
        <f>C28*E28</f>
        <v/>
      </c>
      <c r="G28" s="9" t="inlineStr"/>
    </row>
    <row r="29">
      <c r="A29" s="8" t="n">
        <v>21</v>
      </c>
      <c r="B29" s="9" t="inlineStr">
        <is>
          <t>Nok</t>
        </is>
      </c>
      <c r="C29" s="32">
        <f>4.0+1</f>
        <v/>
      </c>
      <c r="D29" s="8" t="inlineStr">
        <is>
          <t>m'</t>
        </is>
      </c>
      <c r="E29" s="11">
        <f>AHSP!$F$238</f>
        <v/>
      </c>
      <c r="F29" s="12">
        <f>C29*E29</f>
        <v/>
      </c>
      <c r="G29" s="9" t="inlineStr"/>
    </row>
    <row r="30">
      <c r="A30" s="8" t="n">
        <v>22</v>
      </c>
      <c r="B30" s="9" t="inlineStr">
        <is>
          <t>Lisplang/flashing</t>
        </is>
      </c>
      <c r="C30" s="32">
        <f>2*(4.0+1)+4*2.54</f>
        <v/>
      </c>
      <c r="D30" s="8" t="inlineStr">
        <is>
          <t>m'</t>
        </is>
      </c>
      <c r="E30" s="11">
        <f>AHSP!$F$247</f>
        <v/>
      </c>
      <c r="F30" s="12">
        <f>C30*E30</f>
        <v/>
      </c>
      <c r="G30" s="9" t="inlineStr"/>
    </row>
    <row r="31">
      <c r="A31" s="8" t="n">
        <v>23</v>
      </c>
      <c r="B31" s="9" t="inlineStr">
        <is>
          <t>Penutup gevel kawat harmonika</t>
        </is>
      </c>
      <c r="C31" s="32">
        <f>2.10</f>
        <v/>
      </c>
      <c r="D31" s="8" t="inlineStr">
        <is>
          <t>m²</t>
        </is>
      </c>
      <c r="E31" s="11">
        <f>AHSP!$F$270</f>
        <v/>
      </c>
      <c r="F31" s="12">
        <f>C31*E31</f>
        <v/>
      </c>
      <c r="G31" s="9" t="inlineStr">
        <is>
          <t>2 segitiga di atas ring balk</t>
        </is>
      </c>
    </row>
    <row r="32">
      <c r="A32" s="29" t="inlineStr"/>
      <c r="B32" s="30" t="inlineStr">
        <is>
          <t>IV. PINTU, JENDELA DAN UTILITAS</t>
        </is>
      </c>
      <c r="C32" s="29" t="inlineStr"/>
      <c r="D32" s="29" t="inlineStr"/>
      <c r="E32" s="29" t="inlineStr"/>
      <c r="F32" s="29" t="inlineStr"/>
      <c r="G32" s="29" t="inlineStr"/>
    </row>
    <row r="33">
      <c r="A33" s="8" t="n">
        <v>24</v>
      </c>
      <c r="B33" s="9" t="inlineStr">
        <is>
          <t>Keramik 40x40</t>
        </is>
      </c>
      <c r="C33" s="32">
        <f>10.973</f>
        <v/>
      </c>
      <c r="D33" s="8" t="inlineStr">
        <is>
          <t>m²</t>
        </is>
      </c>
      <c r="E33" s="11">
        <f>AHSP!$F$205</f>
        <v/>
      </c>
      <c r="F33" s="12">
        <f>C33*E33</f>
        <v/>
      </c>
      <c r="G33" s="9" t="inlineStr"/>
    </row>
    <row r="34">
      <c r="A34" s="8" t="n">
        <v>25</v>
      </c>
      <c r="B34" s="9" t="inlineStr">
        <is>
          <t>Plafon GRC rangka hollow</t>
        </is>
      </c>
      <c r="C34" s="32">
        <f>10.973</f>
        <v/>
      </c>
      <c r="D34" s="8" t="inlineStr">
        <is>
          <t>m²</t>
        </is>
      </c>
      <c r="E34" s="11">
        <f>AHSP!$F$259</f>
        <v/>
      </c>
      <c r="F34" s="12">
        <f>C34*E34</f>
        <v/>
      </c>
      <c r="G34" s="9" t="inlineStr"/>
    </row>
    <row r="35">
      <c r="A35" s="8" t="n">
        <v>26</v>
      </c>
      <c r="B35" s="9" t="inlineStr">
        <is>
          <t>Pintu panel kayu 90x210</t>
        </is>
      </c>
      <c r="C35" s="32">
        <f>2</f>
        <v/>
      </c>
      <c r="D35" s="8" t="inlineStr">
        <is>
          <t>unit</t>
        </is>
      </c>
      <c r="E35" s="11">
        <f>ROUND('Harga Dasar'!$D$62*(1+Petunjuk!$C$15),-2)</f>
        <v/>
      </c>
      <c r="F35" s="12">
        <f>C35*E35</f>
        <v/>
      </c>
      <c r="G35" s="9" t="inlineStr">
        <is>
          <t>sesuai denah GT-04</t>
        </is>
      </c>
    </row>
    <row r="36">
      <c r="A36" s="8" t="n">
        <v>27</v>
      </c>
      <c r="B36" s="9" t="inlineStr">
        <is>
          <t>Jendela + boven aluminium kaca</t>
        </is>
      </c>
      <c r="C36" s="32">
        <f>4.36</f>
        <v/>
      </c>
      <c r="D36" s="8" t="inlineStr">
        <is>
          <t>m²</t>
        </is>
      </c>
      <c r="E36" s="11">
        <f>ROUND('Harga Dasar'!$D$63*(1+Petunjuk!$C$15),-2)</f>
        <v/>
      </c>
      <c r="F36" s="12">
        <f>C36*E36</f>
        <v/>
      </c>
      <c r="G36" s="9" t="inlineStr">
        <is>
          <t>luas bukaan GT-04</t>
        </is>
      </c>
    </row>
    <row r="37">
      <c r="A37" s="8" t="n">
        <v>28</v>
      </c>
      <c r="B37" s="9" t="inlineStr">
        <is>
          <t>Kloset + perlengkapan KM</t>
        </is>
      </c>
      <c r="C37" s="32">
        <f>1</f>
        <v/>
      </c>
      <c r="D37" s="8" t="inlineStr">
        <is>
          <t>unit</t>
        </is>
      </c>
      <c r="E37" s="11">
        <f>ROUND('Harga Dasar'!$D$64*(1+Petunjuk!$C$15),-2)</f>
        <v/>
      </c>
      <c r="F37" s="12">
        <f>C37*E37</f>
        <v/>
      </c>
      <c r="G37" s="9" t="inlineStr"/>
    </row>
    <row r="38">
      <c r="A38" s="8" t="n">
        <v>29</v>
      </c>
      <c r="B38" s="9" t="inlineStr">
        <is>
          <t>Septic tank biofil 1 m³</t>
        </is>
      </c>
      <c r="C38" s="32">
        <f>1</f>
        <v/>
      </c>
      <c r="D38" s="8" t="inlineStr">
        <is>
          <t>unit</t>
        </is>
      </c>
      <c r="E38" s="11">
        <f>ROUND('Harga Dasar'!$D$65*(1+Petunjuk!$C$15),-2)</f>
        <v/>
      </c>
      <c r="F38" s="12">
        <f>C38*E38</f>
        <v/>
      </c>
      <c r="G38" s="9" t="inlineStr"/>
    </row>
    <row r="39">
      <c r="A39" s="8" t="n">
        <v>30</v>
      </c>
      <c r="B39" s="9" t="inlineStr">
        <is>
          <t>Titik lampu</t>
        </is>
      </c>
      <c r="C39" s="32">
        <f>3</f>
        <v/>
      </c>
      <c r="D39" s="8" t="inlineStr">
        <is>
          <t>titik</t>
        </is>
      </c>
      <c r="E39" s="11">
        <f>ROUND('Harga Dasar'!$D$60*(1+Petunjuk!$C$15),-2)</f>
        <v/>
      </c>
      <c r="F39" s="12">
        <f>C39*E39</f>
        <v/>
      </c>
      <c r="G39" s="9" t="inlineStr"/>
    </row>
    <row r="40">
      <c r="A40" s="8" t="n">
        <v>31</v>
      </c>
      <c r="B40" s="9" t="inlineStr">
        <is>
          <t>Stop kontak</t>
        </is>
      </c>
      <c r="C40" s="32">
        <f>1</f>
        <v/>
      </c>
      <c r="D40" s="8" t="inlineStr">
        <is>
          <t>titik</t>
        </is>
      </c>
      <c r="E40" s="11">
        <f>ROUND('Harga Dasar'!$D$61*(1+Petunjuk!$C$15),-2)</f>
        <v/>
      </c>
      <c r="F40" s="12">
        <f>C40*E40</f>
        <v/>
      </c>
      <c r="G40" s="9" t="inlineStr"/>
    </row>
    <row r="41">
      <c r="A41" s="14" t="inlineStr"/>
      <c r="B41" s="15" t="inlineStr">
        <is>
          <t>Jumlah pos jaga</t>
        </is>
      </c>
      <c r="C41" s="14" t="inlineStr"/>
      <c r="D41" s="14" t="inlineStr"/>
      <c r="E41" s="14" t="inlineStr"/>
      <c r="F41" s="16">
        <f>SUM(F6:F40)</f>
        <v/>
      </c>
      <c r="G41" s="14" t="inlineStr"/>
    </row>
    <row r="43">
      <c r="A43" s="33" t="inlineStr"/>
      <c r="B43" s="26" t="inlineStr">
        <is>
          <t>KANTOR  (8 x 6 m)</t>
        </is>
      </c>
      <c r="C43" s="33" t="inlineStr"/>
      <c r="D43" s="33" t="inlineStr"/>
      <c r="E43" s="33" t="inlineStr"/>
      <c r="F43" s="33" t="inlineStr"/>
      <c r="G43" s="33" t="inlineStr"/>
    </row>
    <row r="44">
      <c r="A44" s="29" t="inlineStr"/>
      <c r="B44" s="30" t="inlineStr">
        <is>
          <t>I. PERSIAPAN DAN TANAH</t>
        </is>
      </c>
      <c r="C44" s="29" t="inlineStr"/>
      <c r="D44" s="29" t="inlineStr"/>
      <c r="E44" s="29" t="inlineStr"/>
      <c r="F44" s="29" t="inlineStr"/>
      <c r="G44" s="29" t="inlineStr"/>
    </row>
    <row r="45">
      <c r="A45" s="8" t="n">
        <v>1</v>
      </c>
      <c r="B45" s="9" t="inlineStr">
        <is>
          <t>Perataan lokasi dan peil</t>
        </is>
      </c>
      <c r="C45" s="32">
        <f>(8.0+4)*(6.0+4)</f>
        <v/>
      </c>
      <c r="D45" s="8" t="inlineStr">
        <is>
          <t>m²</t>
        </is>
      </c>
      <c r="E45" s="11">
        <f>AHSP!$F$9</f>
        <v/>
      </c>
      <c r="F45" s="12">
        <f>C45*E45</f>
        <v/>
      </c>
      <c r="G45" s="9" t="inlineStr">
        <is>
          <t>(panjang + 4) x (lebar + 4)</t>
        </is>
      </c>
    </row>
    <row r="46">
      <c r="A46" s="8" t="n">
        <v>2</v>
      </c>
      <c r="B46" s="9" t="inlineStr">
        <is>
          <t>Pengukuran dan bouwplank</t>
        </is>
      </c>
      <c r="C46" s="32">
        <f>2*(8.0+4+6.0+4)</f>
        <v/>
      </c>
      <c r="D46" s="8" t="inlineStr">
        <is>
          <t>m'</t>
        </is>
      </c>
      <c r="E46" s="11">
        <f>AHSP!$F$20</f>
        <v/>
      </c>
      <c r="F46" s="12">
        <f>C46*E46</f>
        <v/>
      </c>
      <c r="G46" s="9" t="inlineStr">
        <is>
          <t>keliling + 2 m</t>
        </is>
      </c>
    </row>
    <row r="47">
      <c r="A47" s="8" t="n">
        <v>3</v>
      </c>
      <c r="B47" s="9" t="inlineStr">
        <is>
          <t>Galian footplat 100x100x70</t>
        </is>
      </c>
      <c r="C47" s="32">
        <f>11*0.7</f>
        <v/>
      </c>
      <c r="D47" s="8" t="inlineStr">
        <is>
          <t>m³</t>
        </is>
      </c>
      <c r="E47" s="11">
        <f>AHSP!$F$27</f>
        <v/>
      </c>
      <c r="F47" s="12">
        <f>C47*E47</f>
        <v/>
      </c>
      <c r="G47" s="9" t="inlineStr">
        <is>
          <t>11 titik</t>
        </is>
      </c>
    </row>
    <row r="48">
      <c r="A48" s="8" t="n">
        <v>4</v>
      </c>
      <c r="B48" s="9" t="inlineStr">
        <is>
          <t>Urugan kembali</t>
        </is>
      </c>
      <c r="C48" s="32">
        <f>11*0.5015</f>
        <v/>
      </c>
      <c r="D48" s="8" t="inlineStr">
        <is>
          <t>m³</t>
        </is>
      </c>
      <c r="E48" s="11">
        <f>AHSP!$F$34</f>
        <v/>
      </c>
      <c r="F48" s="12">
        <f>C48*E48</f>
        <v/>
      </c>
      <c r="G48" s="9" t="inlineStr">
        <is>
          <t>sisa galian</t>
        </is>
      </c>
    </row>
    <row r="49">
      <c r="A49" s="8" t="n">
        <v>5</v>
      </c>
      <c r="B49" s="9" t="inlineStr">
        <is>
          <t>Urugan tanah peninggian dipadatkan</t>
        </is>
      </c>
      <c r="C49" s="32">
        <f>45.922*0.15</f>
        <v/>
      </c>
      <c r="D49" s="8" t="inlineStr">
        <is>
          <t>m³</t>
        </is>
      </c>
      <c r="E49" s="11">
        <f>AHSP!$F$42</f>
        <v/>
      </c>
      <c r="F49" s="12">
        <f>C49*E49</f>
        <v/>
      </c>
      <c r="G49" s="9" t="inlineStr">
        <is>
          <t>luas dalam x 0.15</t>
        </is>
      </c>
    </row>
    <row r="50">
      <c r="A50" s="8" t="n">
        <v>6</v>
      </c>
      <c r="B50" s="9" t="inlineStr">
        <is>
          <t>Urugan pasir bawah lantai, footplat, sloof</t>
        </is>
      </c>
      <c r="C50" s="32">
        <f>45.922*0.05+11*0.05+28.0*0.25*0.05</f>
        <v/>
      </c>
      <c r="D50" s="8" t="inlineStr">
        <is>
          <t>m³</t>
        </is>
      </c>
      <c r="E50" s="11">
        <f>AHSP!$F$50</f>
        <v/>
      </c>
      <c r="F50" s="12">
        <f>C50*E50</f>
        <v/>
      </c>
      <c r="G50" s="9" t="inlineStr"/>
    </row>
    <row r="51">
      <c r="A51" s="29" t="inlineStr"/>
      <c r="B51" s="30" t="inlineStr">
        <is>
          <t>II. STRUKTUR BETON</t>
        </is>
      </c>
      <c r="C51" s="29" t="inlineStr"/>
      <c r="D51" s="29" t="inlineStr"/>
      <c r="E51" s="29" t="inlineStr"/>
      <c r="F51" s="29" t="inlineStr"/>
      <c r="G51" s="29" t="inlineStr"/>
    </row>
    <row r="52">
      <c r="A52" s="8" t="n">
        <v>7</v>
      </c>
      <c r="B52" s="9" t="inlineStr">
        <is>
          <t>Lantai kerja K-100</t>
        </is>
      </c>
      <c r="C52" s="32">
        <f>11*0.0405</f>
        <v/>
      </c>
      <c r="D52" s="8" t="inlineStr">
        <is>
          <t>m³</t>
        </is>
      </c>
      <c r="E52" s="11">
        <f>AHSP!$F$93</f>
        <v/>
      </c>
      <c r="F52" s="12">
        <f>C52*E52</f>
        <v/>
      </c>
      <c r="G52" s="9" t="inlineStr"/>
    </row>
    <row r="53">
      <c r="A53" s="8" t="n">
        <v>8</v>
      </c>
      <c r="B53" s="9" t="inlineStr">
        <is>
          <t>Beton K-225 footplat 70x70x20</t>
        </is>
      </c>
      <c r="C53" s="32">
        <f>11*0.098</f>
        <v/>
      </c>
      <c r="D53" s="8" t="inlineStr">
        <is>
          <t>m³</t>
        </is>
      </c>
      <c r="E53" s="11">
        <f>AHSP!$F$117</f>
        <v/>
      </c>
      <c r="F53" s="12">
        <f>C53*E53</f>
        <v/>
      </c>
      <c r="G53" s="9" t="inlineStr"/>
    </row>
    <row r="54">
      <c r="A54" s="8" t="n">
        <v>9</v>
      </c>
      <c r="B54" s="9" t="inlineStr">
        <is>
          <t>Beton K-225 kolom 15/15 tinggi 3,70</t>
        </is>
      </c>
      <c r="C54" s="32">
        <f>11*0.0225*3.7</f>
        <v/>
      </c>
      <c r="D54" s="8" t="inlineStr">
        <is>
          <t>m³</t>
        </is>
      </c>
      <c r="E54" s="11">
        <f>AHSP!$F$117</f>
        <v/>
      </c>
      <c r="F54" s="12">
        <f>C54*E54</f>
        <v/>
      </c>
      <c r="G54" s="9" t="inlineStr">
        <is>
          <t>pedestal + kolom sampai +300</t>
        </is>
      </c>
    </row>
    <row r="55">
      <c r="A55" s="8" t="n">
        <v>10</v>
      </c>
      <c r="B55" s="9" t="inlineStr">
        <is>
          <t>Beton K-225 sloof 15/25</t>
        </is>
      </c>
      <c r="C55" s="32">
        <f>43.30*0.0375</f>
        <v/>
      </c>
      <c r="D55" s="8" t="inlineStr">
        <is>
          <t>m³</t>
        </is>
      </c>
      <c r="E55" s="11">
        <f>AHSP!$F$117</f>
        <v/>
      </c>
      <c r="F55" s="12">
        <f>C55*E55</f>
        <v/>
      </c>
      <c r="G55" s="9" t="inlineStr"/>
    </row>
    <row r="56">
      <c r="A56" s="8" t="n">
        <v>11</v>
      </c>
      <c r="B56" s="9" t="inlineStr">
        <is>
          <t>Beton K-225 ring balk 15/20</t>
        </is>
      </c>
      <c r="C56" s="32">
        <f>43.30*0.03</f>
        <v/>
      </c>
      <c r="D56" s="8" t="inlineStr">
        <is>
          <t>m³</t>
        </is>
      </c>
      <c r="E56" s="11">
        <f>AHSP!$F$117</f>
        <v/>
      </c>
      <c r="F56" s="12">
        <f>C56*E56</f>
        <v/>
      </c>
      <c r="G56" s="9" t="inlineStr"/>
    </row>
    <row r="57">
      <c r="A57" s="8" t="n">
        <v>12</v>
      </c>
      <c r="B57" s="9" t="inlineStr">
        <is>
          <t>Pembesian</t>
        </is>
      </c>
      <c r="C57" s="32">
        <f>11*4.44+11*15.65+43.30*4.558+43.30*4.295</f>
        <v/>
      </c>
      <c r="D57" s="8" t="inlineStr">
        <is>
          <t>kg</t>
        </is>
      </c>
      <c r="E57" s="11">
        <f>AHSP!$F$128</f>
        <v/>
      </c>
      <c r="F57" s="12">
        <f>C57*E57</f>
        <v/>
      </c>
      <c r="G57" s="9" t="inlineStr">
        <is>
          <t>footplat + kolom + sloof + ring balk</t>
        </is>
      </c>
    </row>
    <row r="58">
      <c r="A58" s="8" t="n">
        <v>13</v>
      </c>
      <c r="B58" s="9" t="inlineStr">
        <is>
          <t>Bekisting</t>
        </is>
      </c>
      <c r="C58" s="32">
        <f>11*0.56+11*0.6*3.7+43.30*0.5+43.30*0.55</f>
        <v/>
      </c>
      <c r="D58" s="8" t="inlineStr">
        <is>
          <t>m²</t>
        </is>
      </c>
      <c r="E58" s="11">
        <f>AHSP!$F$140</f>
        <v/>
      </c>
      <c r="F58" s="12">
        <f>C58*E58</f>
        <v/>
      </c>
      <c r="G58" s="9" t="inlineStr"/>
    </row>
    <row r="59">
      <c r="A59" s="29" t="inlineStr"/>
      <c r="B59" s="30" t="inlineStr">
        <is>
          <t>III. DINDING, LANTAI, ATAP</t>
        </is>
      </c>
      <c r="C59" s="29" t="inlineStr"/>
      <c r="D59" s="29" t="inlineStr"/>
      <c r="E59" s="29" t="inlineStr"/>
      <c r="F59" s="29" t="inlineStr"/>
      <c r="G59" s="29" t="inlineStr"/>
    </row>
    <row r="60">
      <c r="A60" s="8" t="n">
        <v>14</v>
      </c>
      <c r="B60" s="9" t="inlineStr">
        <is>
          <t>Pasangan bata 1/2 bata</t>
        </is>
      </c>
      <c r="C60" s="32">
        <f>112.82</f>
        <v/>
      </c>
      <c r="D60" s="8" t="inlineStr">
        <is>
          <t>m²</t>
        </is>
      </c>
      <c r="E60" s="11">
        <f>AHSP!$F$152</f>
        <v/>
      </c>
      <c r="F60" s="12">
        <f>C60*E60</f>
        <v/>
      </c>
      <c r="G60" s="9" t="inlineStr">
        <is>
          <t>dinding luar h 3 m + dinding dalam 16.5 m, dikurangi bukaan</t>
        </is>
      </c>
    </row>
    <row r="61">
      <c r="A61" s="8" t="n">
        <v>15</v>
      </c>
      <c r="B61" s="9" t="inlineStr">
        <is>
          <t>Plesteran dua sisi</t>
        </is>
      </c>
      <c r="C61" s="32">
        <f>2*112.82</f>
        <v/>
      </c>
      <c r="D61" s="8" t="inlineStr">
        <is>
          <t>m²</t>
        </is>
      </c>
      <c r="E61" s="11">
        <f>AHSP!$F$163</f>
        <v/>
      </c>
      <c r="F61" s="12">
        <f>C61*E61</f>
        <v/>
      </c>
      <c r="G61" s="9" t="inlineStr"/>
    </row>
    <row r="62">
      <c r="A62" s="8" t="n">
        <v>16</v>
      </c>
      <c r="B62" s="9" t="inlineStr">
        <is>
          <t>Acian dua sisi</t>
        </is>
      </c>
      <c r="C62" s="32">
        <f>2*112.82</f>
        <v/>
      </c>
      <c r="D62" s="8" t="inlineStr">
        <is>
          <t>m²</t>
        </is>
      </c>
      <c r="E62" s="11">
        <f>AHSP!$F$173</f>
        <v/>
      </c>
      <c r="F62" s="12">
        <f>C62*E62</f>
        <v/>
      </c>
      <c r="G62" s="9" t="inlineStr"/>
    </row>
    <row r="63">
      <c r="A63" s="8" t="n">
        <v>17</v>
      </c>
      <c r="B63" s="9" t="inlineStr">
        <is>
          <t>Pengecatan dua sisi</t>
        </is>
      </c>
      <c r="C63" s="32">
        <f>2*112.82</f>
        <v/>
      </c>
      <c r="D63" s="8" t="inlineStr">
        <is>
          <t>m²</t>
        </is>
      </c>
      <c r="E63" s="11">
        <f>AHSP!$F$184</f>
        <v/>
      </c>
      <c r="F63" s="12">
        <f>C63*E63</f>
        <v/>
      </c>
      <c r="G63" s="9" t="inlineStr"/>
    </row>
    <row r="64">
      <c r="A64" s="8" t="n">
        <v>18</v>
      </c>
      <c r="B64" s="9" t="inlineStr">
        <is>
          <t>Lantai beton K-175 t=10 (dasar keramik)</t>
        </is>
      </c>
      <c r="C64" s="32">
        <f>45.922*0.1</f>
        <v/>
      </c>
      <c r="D64" s="8" t="inlineStr">
        <is>
          <t>m³</t>
        </is>
      </c>
      <c r="E64" s="11">
        <f>AHSP!$F$105</f>
        <v/>
      </c>
      <c r="F64" s="12">
        <f>C64*E64</f>
        <v/>
      </c>
      <c r="G64" s="9" t="inlineStr"/>
    </row>
    <row r="65">
      <c r="A65" s="8" t="n">
        <v>19</v>
      </c>
      <c r="B65" s="9" t="inlineStr">
        <is>
          <t>Rangka atap baja ringan</t>
        </is>
      </c>
      <c r="C65" s="32">
        <f>85.40</f>
        <v/>
      </c>
      <c r="D65" s="8" t="inlineStr">
        <is>
          <t>m²</t>
        </is>
      </c>
      <c r="E65" s="11">
        <f>AHSP!$F$218</f>
        <v/>
      </c>
      <c r="F65" s="12">
        <f>C65*E65</f>
        <v/>
      </c>
      <c r="G65" s="9" t="inlineStr">
        <is>
          <t>kemiringan sisi utara + selatan (termasuk teras) x (panjang + 1)</t>
        </is>
      </c>
    </row>
    <row r="66">
      <c r="A66" s="8" t="n">
        <v>20</v>
      </c>
      <c r="B66" s="9" t="inlineStr">
        <is>
          <t>Penutup atap galvalum</t>
        </is>
      </c>
      <c r="C66" s="32">
        <f>85.40</f>
        <v/>
      </c>
      <c r="D66" s="8" t="inlineStr">
        <is>
          <t>m²</t>
        </is>
      </c>
      <c r="E66" s="11">
        <f>AHSP!$F$229</f>
        <v/>
      </c>
      <c r="F66" s="12">
        <f>C66*E66</f>
        <v/>
      </c>
      <c r="G66" s="9" t="inlineStr"/>
    </row>
    <row r="67">
      <c r="A67" s="8" t="n">
        <v>21</v>
      </c>
      <c r="B67" s="9" t="inlineStr">
        <is>
          <t>Nok</t>
        </is>
      </c>
      <c r="C67" s="32">
        <f>8.0+1</f>
        <v/>
      </c>
      <c r="D67" s="8" t="inlineStr">
        <is>
          <t>m'</t>
        </is>
      </c>
      <c r="E67" s="11">
        <f>AHSP!$F$238</f>
        <v/>
      </c>
      <c r="F67" s="12">
        <f>C67*E67</f>
        <v/>
      </c>
      <c r="G67" s="9" t="inlineStr"/>
    </row>
    <row r="68">
      <c r="A68" s="8" t="n">
        <v>22</v>
      </c>
      <c r="B68" s="9" t="inlineStr">
        <is>
          <t>Lisplang/flashing</t>
        </is>
      </c>
      <c r="C68" s="32">
        <f>2*(8.0+1)+4*4.19</f>
        <v/>
      </c>
      <c r="D68" s="8" t="inlineStr">
        <is>
          <t>m'</t>
        </is>
      </c>
      <c r="E68" s="11">
        <f>AHSP!$F$247</f>
        <v/>
      </c>
      <c r="F68" s="12">
        <f>C68*E68</f>
        <v/>
      </c>
      <c r="G68" s="9" t="inlineStr"/>
    </row>
    <row r="69">
      <c r="A69" s="8" t="n">
        <v>23</v>
      </c>
      <c r="B69" s="9" t="inlineStr">
        <is>
          <t>Penutup gevel kawat harmonika</t>
        </is>
      </c>
      <c r="C69" s="32">
        <f>8.39</f>
        <v/>
      </c>
      <c r="D69" s="8" t="inlineStr">
        <is>
          <t>m²</t>
        </is>
      </c>
      <c r="E69" s="11">
        <f>AHSP!$F$270</f>
        <v/>
      </c>
      <c r="F69" s="12">
        <f>C69*E69</f>
        <v/>
      </c>
      <c r="G69" s="9" t="inlineStr">
        <is>
          <t>2 segitiga di atas ring balk</t>
        </is>
      </c>
    </row>
    <row r="70">
      <c r="A70" s="29" t="inlineStr"/>
      <c r="B70" s="30" t="inlineStr">
        <is>
          <t>IV. PINTU, JENDELA DAN UTILITAS</t>
        </is>
      </c>
      <c r="C70" s="29" t="inlineStr"/>
      <c r="D70" s="29" t="inlineStr"/>
      <c r="E70" s="29" t="inlineStr"/>
      <c r="F70" s="29" t="inlineStr"/>
      <c r="G70" s="29" t="inlineStr"/>
    </row>
    <row r="71">
      <c r="A71" s="8" t="n">
        <v>24</v>
      </c>
      <c r="B71" s="9" t="inlineStr">
        <is>
          <t>Keramik 40x40</t>
        </is>
      </c>
      <c r="C71" s="32">
        <f>45.922</f>
        <v/>
      </c>
      <c r="D71" s="8" t="inlineStr">
        <is>
          <t>m²</t>
        </is>
      </c>
      <c r="E71" s="11">
        <f>AHSP!$F$205</f>
        <v/>
      </c>
      <c r="F71" s="12">
        <f>C71*E71</f>
        <v/>
      </c>
      <c r="G71" s="9" t="inlineStr"/>
    </row>
    <row r="72">
      <c r="A72" s="8" t="n">
        <v>25</v>
      </c>
      <c r="B72" s="9" t="inlineStr">
        <is>
          <t>Plafon GRC rangka hollow</t>
        </is>
      </c>
      <c r="C72" s="32">
        <f>45.922</f>
        <v/>
      </c>
      <c r="D72" s="8" t="inlineStr">
        <is>
          <t>m²</t>
        </is>
      </c>
      <c r="E72" s="11">
        <f>AHSP!$F$259</f>
        <v/>
      </c>
      <c r="F72" s="12">
        <f>C72*E72</f>
        <v/>
      </c>
      <c r="G72" s="9" t="inlineStr"/>
    </row>
    <row r="73">
      <c r="A73" s="8" t="n">
        <v>26</v>
      </c>
      <c r="B73" s="9" t="inlineStr">
        <is>
          <t>Pintu panel kayu 90x210</t>
        </is>
      </c>
      <c r="C73" s="32">
        <f>6</f>
        <v/>
      </c>
      <c r="D73" s="8" t="inlineStr">
        <is>
          <t>unit</t>
        </is>
      </c>
      <c r="E73" s="11">
        <f>ROUND('Harga Dasar'!$D$62*(1+Petunjuk!$C$15),-2)</f>
        <v/>
      </c>
      <c r="F73" s="12">
        <f>C73*E73</f>
        <v/>
      </c>
      <c r="G73" s="9" t="inlineStr">
        <is>
          <t>sesuai denah GT-04</t>
        </is>
      </c>
    </row>
    <row r="74">
      <c r="A74" s="8" t="n">
        <v>27</v>
      </c>
      <c r="B74" s="9" t="inlineStr">
        <is>
          <t>Jendela + boven aluminium kaca</t>
        </is>
      </c>
      <c r="C74" s="32">
        <f>7.00</f>
        <v/>
      </c>
      <c r="D74" s="8" t="inlineStr">
        <is>
          <t>m²</t>
        </is>
      </c>
      <c r="E74" s="11">
        <f>ROUND('Harga Dasar'!$D$63*(1+Petunjuk!$C$15),-2)</f>
        <v/>
      </c>
      <c r="F74" s="12">
        <f>C74*E74</f>
        <v/>
      </c>
      <c r="G74" s="9" t="inlineStr">
        <is>
          <t>luas bukaan GT-04</t>
        </is>
      </c>
    </row>
    <row r="75">
      <c r="A75" s="8" t="n">
        <v>28</v>
      </c>
      <c r="B75" s="9" t="inlineStr">
        <is>
          <t>Kloset + perlengkapan KM</t>
        </is>
      </c>
      <c r="C75" s="32">
        <f>1</f>
        <v/>
      </c>
      <c r="D75" s="8" t="inlineStr">
        <is>
          <t>unit</t>
        </is>
      </c>
      <c r="E75" s="11">
        <f>ROUND('Harga Dasar'!$D$64*(1+Petunjuk!$C$15),-2)</f>
        <v/>
      </c>
      <c r="F75" s="12">
        <f>C75*E75</f>
        <v/>
      </c>
      <c r="G75" s="9" t="inlineStr"/>
    </row>
    <row r="76">
      <c r="A76" s="8" t="n">
        <v>29</v>
      </c>
      <c r="B76" s="9" t="inlineStr">
        <is>
          <t>Septic tank biofil 1 m³</t>
        </is>
      </c>
      <c r="C76" s="32">
        <f>1</f>
        <v/>
      </c>
      <c r="D76" s="8" t="inlineStr">
        <is>
          <t>unit</t>
        </is>
      </c>
      <c r="E76" s="11">
        <f>ROUND('Harga Dasar'!$D$65*(1+Petunjuk!$C$15),-2)</f>
        <v/>
      </c>
      <c r="F76" s="12">
        <f>C76*E76</f>
        <v/>
      </c>
      <c r="G76" s="9" t="inlineStr"/>
    </row>
    <row r="77">
      <c r="A77" s="8" t="n">
        <v>30</v>
      </c>
      <c r="B77" s="9" t="inlineStr">
        <is>
          <t>Titik lampu</t>
        </is>
      </c>
      <c r="C77" s="32">
        <f>7</f>
        <v/>
      </c>
      <c r="D77" s="8" t="inlineStr">
        <is>
          <t>titik</t>
        </is>
      </c>
      <c r="E77" s="11">
        <f>ROUND('Harga Dasar'!$D$60*(1+Petunjuk!$C$15),-2)</f>
        <v/>
      </c>
      <c r="F77" s="12">
        <f>C77*E77</f>
        <v/>
      </c>
      <c r="G77" s="9" t="inlineStr"/>
    </row>
    <row r="78">
      <c r="A78" s="8" t="n">
        <v>31</v>
      </c>
      <c r="B78" s="9" t="inlineStr">
        <is>
          <t>Stop kontak</t>
        </is>
      </c>
      <c r="C78" s="32">
        <f>6</f>
        <v/>
      </c>
      <c r="D78" s="8" t="inlineStr">
        <is>
          <t>titik</t>
        </is>
      </c>
      <c r="E78" s="11">
        <f>ROUND('Harga Dasar'!$D$61*(1+Petunjuk!$C$15),-2)</f>
        <v/>
      </c>
      <c r="F78" s="12">
        <f>C78*E78</f>
        <v/>
      </c>
      <c r="G78" s="9" t="inlineStr"/>
    </row>
    <row r="79">
      <c r="A79" s="8" t="n">
        <v>32</v>
      </c>
      <c r="B79" s="9" t="inlineStr">
        <is>
          <t>Lantai teras beton K-175 t=10</t>
        </is>
      </c>
      <c r="C79" s="32">
        <f>12.00*0.1</f>
        <v/>
      </c>
      <c r="D79" s="8" t="inlineStr">
        <is>
          <t>m³</t>
        </is>
      </c>
      <c r="E79" s="11">
        <f>AHSP!$F$105</f>
        <v/>
      </c>
      <c r="F79" s="12">
        <f>C79*E79</f>
        <v/>
      </c>
      <c r="G79" s="9" t="inlineStr"/>
    </row>
    <row r="80">
      <c r="A80" s="8" t="n">
        <v>33</v>
      </c>
      <c r="B80" s="9" t="inlineStr">
        <is>
          <t>Keramik teras 40x40</t>
        </is>
      </c>
      <c r="C80" s="32">
        <f>12.00</f>
        <v/>
      </c>
      <c r="D80" s="8" t="inlineStr">
        <is>
          <t>m²</t>
        </is>
      </c>
      <c r="E80" s="11">
        <f>AHSP!$F$205</f>
        <v/>
      </c>
      <c r="F80" s="12">
        <f>C80*E80</f>
        <v/>
      </c>
      <c r="G80" s="9" t="inlineStr"/>
    </row>
    <row r="81">
      <c r="A81" s="14" t="inlineStr"/>
      <c r="B81" s="15" t="inlineStr">
        <is>
          <t>Jumlah kantor</t>
        </is>
      </c>
      <c r="C81" s="14" t="inlineStr"/>
      <c r="D81" s="14" t="inlineStr"/>
      <c r="E81" s="14" t="inlineStr"/>
      <c r="F81" s="16">
        <f>SUM(F44:F80)</f>
        <v/>
      </c>
      <c r="G81" s="14" t="inlineStr"/>
    </row>
    <row r="83">
      <c r="A83" s="33" t="inlineStr"/>
      <c r="B83" s="26" t="inlineStr">
        <is>
          <t>MES ANAK KANDANG  (12 x 8 m)</t>
        </is>
      </c>
      <c r="C83" s="33" t="inlineStr"/>
      <c r="D83" s="33" t="inlineStr"/>
      <c r="E83" s="33" t="inlineStr"/>
      <c r="F83" s="33" t="inlineStr"/>
      <c r="G83" s="33" t="inlineStr"/>
    </row>
    <row r="84">
      <c r="A84" s="29" t="inlineStr"/>
      <c r="B84" s="30" t="inlineStr">
        <is>
          <t>I. PERSIAPAN DAN TANAH</t>
        </is>
      </c>
      <c r="C84" s="29" t="inlineStr"/>
      <c r="D84" s="29" t="inlineStr"/>
      <c r="E84" s="29" t="inlineStr"/>
      <c r="F84" s="29" t="inlineStr"/>
      <c r="G84" s="29" t="inlineStr"/>
    </row>
    <row r="85">
      <c r="A85" s="8" t="n">
        <v>1</v>
      </c>
      <c r="B85" s="9" t="inlineStr">
        <is>
          <t>Perataan lokasi dan peil</t>
        </is>
      </c>
      <c r="C85" s="32">
        <f>(12.0+4)*(8.0+4)</f>
        <v/>
      </c>
      <c r="D85" s="8" t="inlineStr">
        <is>
          <t>m²</t>
        </is>
      </c>
      <c r="E85" s="11">
        <f>AHSP!$F$9</f>
        <v/>
      </c>
      <c r="F85" s="12">
        <f>C85*E85</f>
        <v/>
      </c>
      <c r="G85" s="9" t="inlineStr">
        <is>
          <t>(panjang + 4) x (lebar + 4)</t>
        </is>
      </c>
    </row>
    <row r="86">
      <c r="A86" s="8" t="n">
        <v>2</v>
      </c>
      <c r="B86" s="9" t="inlineStr">
        <is>
          <t>Pengukuran dan bouwplank</t>
        </is>
      </c>
      <c r="C86" s="32">
        <f>2*(12.0+4+8.0+4)</f>
        <v/>
      </c>
      <c r="D86" s="8" t="inlineStr">
        <is>
          <t>m'</t>
        </is>
      </c>
      <c r="E86" s="11">
        <f>AHSP!$F$20</f>
        <v/>
      </c>
      <c r="F86" s="12">
        <f>C86*E86</f>
        <v/>
      </c>
      <c r="G86" s="9" t="inlineStr">
        <is>
          <t>keliling + 2 m</t>
        </is>
      </c>
    </row>
    <row r="87">
      <c r="A87" s="8" t="n">
        <v>3</v>
      </c>
      <c r="B87" s="9" t="inlineStr">
        <is>
          <t>Galian footplat 100x100x70</t>
        </is>
      </c>
      <c r="C87" s="32">
        <f>15*0.7</f>
        <v/>
      </c>
      <c r="D87" s="8" t="inlineStr">
        <is>
          <t>m³</t>
        </is>
      </c>
      <c r="E87" s="11">
        <f>AHSP!$F$27</f>
        <v/>
      </c>
      <c r="F87" s="12">
        <f>C87*E87</f>
        <v/>
      </c>
      <c r="G87" s="9" t="inlineStr">
        <is>
          <t>15 titik</t>
        </is>
      </c>
    </row>
    <row r="88">
      <c r="A88" s="8" t="n">
        <v>4</v>
      </c>
      <c r="B88" s="9" t="inlineStr">
        <is>
          <t>Urugan kembali</t>
        </is>
      </c>
      <c r="C88" s="32">
        <f>15*0.5015</f>
        <v/>
      </c>
      <c r="D88" s="8" t="inlineStr">
        <is>
          <t>m³</t>
        </is>
      </c>
      <c r="E88" s="11">
        <f>AHSP!$F$34</f>
        <v/>
      </c>
      <c r="F88" s="12">
        <f>C88*E88</f>
        <v/>
      </c>
      <c r="G88" s="9" t="inlineStr">
        <is>
          <t>sisa galian</t>
        </is>
      </c>
    </row>
    <row r="89">
      <c r="A89" s="8" t="n">
        <v>5</v>
      </c>
      <c r="B89" s="9" t="inlineStr">
        <is>
          <t>Urugan tanah peninggian dipadatkan</t>
        </is>
      </c>
      <c r="C89" s="32">
        <f>93.022*0.15</f>
        <v/>
      </c>
      <c r="D89" s="8" t="inlineStr">
        <is>
          <t>m³</t>
        </is>
      </c>
      <c r="E89" s="11">
        <f>AHSP!$F$42</f>
        <v/>
      </c>
      <c r="F89" s="12">
        <f>C89*E89</f>
        <v/>
      </c>
      <c r="G89" s="9" t="inlineStr">
        <is>
          <t>luas dalam x 0.15</t>
        </is>
      </c>
    </row>
    <row r="90">
      <c r="A90" s="8" t="n">
        <v>6</v>
      </c>
      <c r="B90" s="9" t="inlineStr">
        <is>
          <t>Urugan pasir bawah lantai, footplat, sloof</t>
        </is>
      </c>
      <c r="C90" s="32">
        <f>93.022*0.05+15*0.05+40.0*0.25*0.05</f>
        <v/>
      </c>
      <c r="D90" s="8" t="inlineStr">
        <is>
          <t>m³</t>
        </is>
      </c>
      <c r="E90" s="11">
        <f>AHSP!$F$50</f>
        <v/>
      </c>
      <c r="F90" s="12">
        <f>C90*E90</f>
        <v/>
      </c>
      <c r="G90" s="9" t="inlineStr"/>
    </row>
    <row r="91">
      <c r="A91" s="29" t="inlineStr"/>
      <c r="B91" s="30" t="inlineStr">
        <is>
          <t>II. STRUKTUR BETON</t>
        </is>
      </c>
      <c r="C91" s="29" t="inlineStr"/>
      <c r="D91" s="29" t="inlineStr"/>
      <c r="E91" s="29" t="inlineStr"/>
      <c r="F91" s="29" t="inlineStr"/>
      <c r="G91" s="29" t="inlineStr"/>
    </row>
    <row r="92">
      <c r="A92" s="8" t="n">
        <v>7</v>
      </c>
      <c r="B92" s="9" t="inlineStr">
        <is>
          <t>Lantai kerja K-100</t>
        </is>
      </c>
      <c r="C92" s="32">
        <f>15*0.0405</f>
        <v/>
      </c>
      <c r="D92" s="8" t="inlineStr">
        <is>
          <t>m³</t>
        </is>
      </c>
      <c r="E92" s="11">
        <f>AHSP!$F$93</f>
        <v/>
      </c>
      <c r="F92" s="12">
        <f>C92*E92</f>
        <v/>
      </c>
      <c r="G92" s="9" t="inlineStr"/>
    </row>
    <row r="93">
      <c r="A93" s="8" t="n">
        <v>8</v>
      </c>
      <c r="B93" s="9" t="inlineStr">
        <is>
          <t>Beton K-225 footplat 70x70x20</t>
        </is>
      </c>
      <c r="C93" s="32">
        <f>15*0.098</f>
        <v/>
      </c>
      <c r="D93" s="8" t="inlineStr">
        <is>
          <t>m³</t>
        </is>
      </c>
      <c r="E93" s="11">
        <f>AHSP!$F$117</f>
        <v/>
      </c>
      <c r="F93" s="12">
        <f>C93*E93</f>
        <v/>
      </c>
      <c r="G93" s="9" t="inlineStr"/>
    </row>
    <row r="94">
      <c r="A94" s="8" t="n">
        <v>9</v>
      </c>
      <c r="B94" s="9" t="inlineStr">
        <is>
          <t>Beton K-225 kolom 15/15 tinggi 3,70</t>
        </is>
      </c>
      <c r="C94" s="32">
        <f>15*0.0225*3.7</f>
        <v/>
      </c>
      <c r="D94" s="8" t="inlineStr">
        <is>
          <t>m³</t>
        </is>
      </c>
      <c r="E94" s="11">
        <f>AHSP!$F$117</f>
        <v/>
      </c>
      <c r="F94" s="12">
        <f>C94*E94</f>
        <v/>
      </c>
      <c r="G94" s="9" t="inlineStr">
        <is>
          <t>pedestal + kolom sampai +300</t>
        </is>
      </c>
    </row>
    <row r="95">
      <c r="A95" s="8" t="n">
        <v>10</v>
      </c>
      <c r="B95" s="9" t="inlineStr">
        <is>
          <t>Beton K-225 sloof 15/25</t>
        </is>
      </c>
      <c r="C95" s="32">
        <f>76.60*0.0375</f>
        <v/>
      </c>
      <c r="D95" s="8" t="inlineStr">
        <is>
          <t>m³</t>
        </is>
      </c>
      <c r="E95" s="11">
        <f>AHSP!$F$117</f>
        <v/>
      </c>
      <c r="F95" s="12">
        <f>C95*E95</f>
        <v/>
      </c>
      <c r="G95" s="9" t="inlineStr"/>
    </row>
    <row r="96">
      <c r="A96" s="8" t="n">
        <v>11</v>
      </c>
      <c r="B96" s="9" t="inlineStr">
        <is>
          <t>Beton K-225 ring balk 15/20</t>
        </is>
      </c>
      <c r="C96" s="32">
        <f>76.60*0.03</f>
        <v/>
      </c>
      <c r="D96" s="8" t="inlineStr">
        <is>
          <t>m³</t>
        </is>
      </c>
      <c r="E96" s="11">
        <f>AHSP!$F$117</f>
        <v/>
      </c>
      <c r="F96" s="12">
        <f>C96*E96</f>
        <v/>
      </c>
      <c r="G96" s="9" t="inlineStr"/>
    </row>
    <row r="97">
      <c r="A97" s="8" t="n">
        <v>12</v>
      </c>
      <c r="B97" s="9" t="inlineStr">
        <is>
          <t>Pembesian</t>
        </is>
      </c>
      <c r="C97" s="32">
        <f>15*4.44+15*15.65+76.60*4.558+76.60*4.295</f>
        <v/>
      </c>
      <c r="D97" s="8" t="inlineStr">
        <is>
          <t>kg</t>
        </is>
      </c>
      <c r="E97" s="11">
        <f>AHSP!$F$128</f>
        <v/>
      </c>
      <c r="F97" s="12">
        <f>C97*E97</f>
        <v/>
      </c>
      <c r="G97" s="9" t="inlineStr">
        <is>
          <t>footplat + kolom + sloof + ring balk</t>
        </is>
      </c>
    </row>
    <row r="98">
      <c r="A98" s="8" t="n">
        <v>13</v>
      </c>
      <c r="B98" s="9" t="inlineStr">
        <is>
          <t>Bekisting</t>
        </is>
      </c>
      <c r="C98" s="32">
        <f>15*0.56+15*0.6*3.7+76.60*0.5+76.60*0.55</f>
        <v/>
      </c>
      <c r="D98" s="8" t="inlineStr">
        <is>
          <t>m²</t>
        </is>
      </c>
      <c r="E98" s="11">
        <f>AHSP!$F$140</f>
        <v/>
      </c>
      <c r="F98" s="12">
        <f>C98*E98</f>
        <v/>
      </c>
      <c r="G98" s="9" t="inlineStr"/>
    </row>
    <row r="99">
      <c r="A99" s="29" t="inlineStr"/>
      <c r="B99" s="30" t="inlineStr">
        <is>
          <t>III. DINDING, LANTAI, ATAP</t>
        </is>
      </c>
      <c r="C99" s="29" t="inlineStr"/>
      <c r="D99" s="29" t="inlineStr"/>
      <c r="E99" s="29" t="inlineStr"/>
      <c r="F99" s="29" t="inlineStr"/>
      <c r="G99" s="29" t="inlineStr"/>
    </row>
    <row r="100">
      <c r="A100" s="8" t="n">
        <v>14</v>
      </c>
      <c r="B100" s="9" t="inlineStr">
        <is>
          <t>Pasangan bata 1/2 bata</t>
        </is>
      </c>
      <c r="C100" s="32">
        <f>204.37</f>
        <v/>
      </c>
      <c r="D100" s="8" t="inlineStr">
        <is>
          <t>m²</t>
        </is>
      </c>
      <c r="E100" s="11">
        <f>AHSP!$F$152</f>
        <v/>
      </c>
      <c r="F100" s="12">
        <f>C100*E100</f>
        <v/>
      </c>
      <c r="G100" s="9" t="inlineStr">
        <is>
          <t>dinding luar h 3 m + dinding dalam 38.4 m, dikurangi bukaan</t>
        </is>
      </c>
    </row>
    <row r="101">
      <c r="A101" s="8" t="n">
        <v>15</v>
      </c>
      <c r="B101" s="9" t="inlineStr">
        <is>
          <t>Plesteran dua sisi</t>
        </is>
      </c>
      <c r="C101" s="32">
        <f>2*204.37</f>
        <v/>
      </c>
      <c r="D101" s="8" t="inlineStr">
        <is>
          <t>m²</t>
        </is>
      </c>
      <c r="E101" s="11">
        <f>AHSP!$F$163</f>
        <v/>
      </c>
      <c r="F101" s="12">
        <f>C101*E101</f>
        <v/>
      </c>
      <c r="G101" s="9" t="inlineStr"/>
    </row>
    <row r="102">
      <c r="A102" s="8" t="n">
        <v>16</v>
      </c>
      <c r="B102" s="9" t="inlineStr">
        <is>
          <t>Acian sisi luar</t>
        </is>
      </c>
      <c r="C102" s="32">
        <f>1*204.37</f>
        <v/>
      </c>
      <c r="D102" s="8" t="inlineStr">
        <is>
          <t>m²</t>
        </is>
      </c>
      <c r="E102" s="11">
        <f>AHSP!$F$173</f>
        <v/>
      </c>
      <c r="F102" s="12">
        <f>C102*E102</f>
        <v/>
      </c>
      <c r="G102" s="9" t="inlineStr"/>
    </row>
    <row r="103">
      <c r="A103" s="8" t="n">
        <v>17</v>
      </c>
      <c r="B103" s="9" t="inlineStr">
        <is>
          <t>Pengecatan sisi luar</t>
        </is>
      </c>
      <c r="C103" s="32">
        <f>1*204.37</f>
        <v/>
      </c>
      <c r="D103" s="8" t="inlineStr">
        <is>
          <t>m²</t>
        </is>
      </c>
      <c r="E103" s="11">
        <f>AHSP!$F$184</f>
        <v/>
      </c>
      <c r="F103" s="12">
        <f>C103*E103</f>
        <v/>
      </c>
      <c r="G103" s="9" t="inlineStr"/>
    </row>
    <row r="104">
      <c r="A104" s="8" t="n">
        <v>18</v>
      </c>
      <c r="B104" s="9" t="inlineStr">
        <is>
          <t>Lantai beton K-175 t=10 (dasar keramik)</t>
        </is>
      </c>
      <c r="C104" s="32">
        <f>93.022*0.1</f>
        <v/>
      </c>
      <c r="D104" s="8" t="inlineStr">
        <is>
          <t>m³</t>
        </is>
      </c>
      <c r="E104" s="11">
        <f>AHSP!$F$105</f>
        <v/>
      </c>
      <c r="F104" s="12">
        <f>C104*E104</f>
        <v/>
      </c>
      <c r="G104" s="9" t="inlineStr"/>
    </row>
    <row r="105">
      <c r="A105" s="8" t="n">
        <v>19</v>
      </c>
      <c r="B105" s="9" t="inlineStr">
        <is>
          <t>Rangka atap baja ringan</t>
        </is>
      </c>
      <c r="C105" s="32">
        <f>159.22</f>
        <v/>
      </c>
      <c r="D105" s="8" t="inlineStr">
        <is>
          <t>m²</t>
        </is>
      </c>
      <c r="E105" s="11">
        <f>AHSP!$F$218</f>
        <v/>
      </c>
      <c r="F105" s="12">
        <f>C105*E105</f>
        <v/>
      </c>
      <c r="G105" s="9" t="inlineStr">
        <is>
          <t>kemiringan sisi utara + selatan (termasuk teras) x (panjang + 1)</t>
        </is>
      </c>
    </row>
    <row r="106">
      <c r="A106" s="8" t="n">
        <v>20</v>
      </c>
      <c r="B106" s="9" t="inlineStr">
        <is>
          <t>Penutup atap galvalum</t>
        </is>
      </c>
      <c r="C106" s="32">
        <f>159.22</f>
        <v/>
      </c>
      <c r="D106" s="8" t="inlineStr">
        <is>
          <t>m²</t>
        </is>
      </c>
      <c r="E106" s="11">
        <f>AHSP!$F$229</f>
        <v/>
      </c>
      <c r="F106" s="12">
        <f>C106*E106</f>
        <v/>
      </c>
      <c r="G106" s="9" t="inlineStr"/>
    </row>
    <row r="107">
      <c r="A107" s="8" t="n">
        <v>21</v>
      </c>
      <c r="B107" s="9" t="inlineStr">
        <is>
          <t>Nok</t>
        </is>
      </c>
      <c r="C107" s="32">
        <f>12.0+1</f>
        <v/>
      </c>
      <c r="D107" s="8" t="inlineStr">
        <is>
          <t>m'</t>
        </is>
      </c>
      <c r="E107" s="11">
        <f>AHSP!$F$238</f>
        <v/>
      </c>
      <c r="F107" s="12">
        <f>C107*E107</f>
        <v/>
      </c>
      <c r="G107" s="9" t="inlineStr"/>
    </row>
    <row r="108">
      <c r="A108" s="8" t="n">
        <v>22</v>
      </c>
      <c r="B108" s="9" t="inlineStr">
        <is>
          <t>Lisplang/flashing</t>
        </is>
      </c>
      <c r="C108" s="32">
        <f>2*(12.0+1)+4*5.30</f>
        <v/>
      </c>
      <c r="D108" s="8" t="inlineStr">
        <is>
          <t>m'</t>
        </is>
      </c>
      <c r="E108" s="11">
        <f>AHSP!$F$247</f>
        <v/>
      </c>
      <c r="F108" s="12">
        <f>C108*E108</f>
        <v/>
      </c>
      <c r="G108" s="9" t="inlineStr"/>
    </row>
    <row r="109">
      <c r="A109" s="8" t="n">
        <v>23</v>
      </c>
      <c r="B109" s="9" t="inlineStr">
        <is>
          <t>Penutup gevel kawat harmonika</t>
        </is>
      </c>
      <c r="C109" s="32">
        <f>14.92</f>
        <v/>
      </c>
      <c r="D109" s="8" t="inlineStr">
        <is>
          <t>m²</t>
        </is>
      </c>
      <c r="E109" s="11">
        <f>AHSP!$F$270</f>
        <v/>
      </c>
      <c r="F109" s="12">
        <f>C109*E109</f>
        <v/>
      </c>
      <c r="G109" s="9" t="inlineStr">
        <is>
          <t>2 segitiga di atas ring balk</t>
        </is>
      </c>
    </row>
    <row r="110">
      <c r="A110" s="29" t="inlineStr"/>
      <c r="B110" s="30" t="inlineStr">
        <is>
          <t>IV. PINTU, JENDELA DAN UTILITAS</t>
        </is>
      </c>
      <c r="C110" s="29" t="inlineStr"/>
      <c r="D110" s="29" t="inlineStr"/>
      <c r="E110" s="29" t="inlineStr"/>
      <c r="F110" s="29" t="inlineStr"/>
      <c r="G110" s="29" t="inlineStr"/>
    </row>
    <row r="111">
      <c r="A111" s="8" t="n">
        <v>24</v>
      </c>
      <c r="B111" s="9" t="inlineStr">
        <is>
          <t>Keramik 40x40</t>
        </is>
      </c>
      <c r="C111" s="32">
        <f>93.022</f>
        <v/>
      </c>
      <c r="D111" s="8" t="inlineStr">
        <is>
          <t>m²</t>
        </is>
      </c>
      <c r="E111" s="11">
        <f>AHSP!$F$205</f>
        <v/>
      </c>
      <c r="F111" s="12">
        <f>C111*E111</f>
        <v/>
      </c>
      <c r="G111" s="9" t="inlineStr"/>
    </row>
    <row r="112">
      <c r="A112" s="8" t="n">
        <v>25</v>
      </c>
      <c r="B112" s="9" t="inlineStr">
        <is>
          <t>Plafon GRC rangka hollow</t>
        </is>
      </c>
      <c r="C112" s="32">
        <f>93.022</f>
        <v/>
      </c>
      <c r="D112" s="8" t="inlineStr">
        <is>
          <t>m²</t>
        </is>
      </c>
      <c r="E112" s="11">
        <f>AHSP!$F$259</f>
        <v/>
      </c>
      <c r="F112" s="12">
        <f>C112*E112</f>
        <v/>
      </c>
      <c r="G112" s="9" t="inlineStr"/>
    </row>
    <row r="113">
      <c r="A113" s="8" t="n">
        <v>26</v>
      </c>
      <c r="B113" s="9" t="inlineStr">
        <is>
          <t>Pintu panel kayu 90x210</t>
        </is>
      </c>
      <c r="C113" s="32">
        <f>9</f>
        <v/>
      </c>
      <c r="D113" s="8" t="inlineStr">
        <is>
          <t>unit</t>
        </is>
      </c>
      <c r="E113" s="11">
        <f>ROUND('Harga Dasar'!$D$62*(1+Petunjuk!$C$15),-2)</f>
        <v/>
      </c>
      <c r="F113" s="12">
        <f>C113*E113</f>
        <v/>
      </c>
      <c r="G113" s="9" t="inlineStr">
        <is>
          <t>sesuai denah GT-04</t>
        </is>
      </c>
    </row>
    <row r="114">
      <c r="A114" s="8" t="n">
        <v>27</v>
      </c>
      <c r="B114" s="9" t="inlineStr">
        <is>
          <t>Jendela + boven aluminium kaca</t>
        </is>
      </c>
      <c r="C114" s="32">
        <f>10.52</f>
        <v/>
      </c>
      <c r="D114" s="8" t="inlineStr">
        <is>
          <t>m²</t>
        </is>
      </c>
      <c r="E114" s="11">
        <f>ROUND('Harga Dasar'!$D$63*(1+Petunjuk!$C$15),-2)</f>
        <v/>
      </c>
      <c r="F114" s="12">
        <f>C114*E114</f>
        <v/>
      </c>
      <c r="G114" s="9" t="inlineStr">
        <is>
          <t>luas bukaan GT-04</t>
        </is>
      </c>
    </row>
    <row r="115">
      <c r="A115" s="8" t="n">
        <v>28</v>
      </c>
      <c r="B115" s="9" t="inlineStr">
        <is>
          <t>Kloset + perlengkapan KM</t>
        </is>
      </c>
      <c r="C115" s="32">
        <f>2</f>
        <v/>
      </c>
      <c r="D115" s="8" t="inlineStr">
        <is>
          <t>unit</t>
        </is>
      </c>
      <c r="E115" s="11">
        <f>ROUND('Harga Dasar'!$D$64*(1+Petunjuk!$C$15),-2)</f>
        <v/>
      </c>
      <c r="F115" s="12">
        <f>C115*E115</f>
        <v/>
      </c>
      <c r="G115" s="9" t="inlineStr"/>
    </row>
    <row r="116">
      <c r="A116" s="8" t="n">
        <v>29</v>
      </c>
      <c r="B116" s="9" t="inlineStr">
        <is>
          <t>Septic tank biofil 1 m³</t>
        </is>
      </c>
      <c r="C116" s="32">
        <f>2</f>
        <v/>
      </c>
      <c r="D116" s="8" t="inlineStr">
        <is>
          <t>unit</t>
        </is>
      </c>
      <c r="E116" s="11">
        <f>ROUND('Harga Dasar'!$D$65*(1+Petunjuk!$C$15),-2)</f>
        <v/>
      </c>
      <c r="F116" s="12">
        <f>C116*E116</f>
        <v/>
      </c>
      <c r="G116" s="9" t="inlineStr"/>
    </row>
    <row r="117">
      <c r="A117" s="8" t="n">
        <v>30</v>
      </c>
      <c r="B117" s="9" t="inlineStr">
        <is>
          <t>Titik lampu</t>
        </is>
      </c>
      <c r="C117" s="32">
        <f>12</f>
        <v/>
      </c>
      <c r="D117" s="8" t="inlineStr">
        <is>
          <t>titik</t>
        </is>
      </c>
      <c r="E117" s="11">
        <f>ROUND('Harga Dasar'!$D$60*(1+Petunjuk!$C$15),-2)</f>
        <v/>
      </c>
      <c r="F117" s="12">
        <f>C117*E117</f>
        <v/>
      </c>
      <c r="G117" s="9" t="inlineStr"/>
    </row>
    <row r="118">
      <c r="A118" s="8" t="n">
        <v>31</v>
      </c>
      <c r="B118" s="9" t="inlineStr">
        <is>
          <t>Stop kontak</t>
        </is>
      </c>
      <c r="C118" s="32">
        <f>8</f>
        <v/>
      </c>
      <c r="D118" s="8" t="inlineStr">
        <is>
          <t>titik</t>
        </is>
      </c>
      <c r="E118" s="11">
        <f>ROUND('Harga Dasar'!$D$61*(1+Petunjuk!$C$15),-2)</f>
        <v/>
      </c>
      <c r="F118" s="12">
        <f>C118*E118</f>
        <v/>
      </c>
      <c r="G118" s="9" t="inlineStr"/>
    </row>
    <row r="119">
      <c r="A119" s="8" t="n">
        <v>32</v>
      </c>
      <c r="B119" s="9" t="inlineStr">
        <is>
          <t>Lantai teras beton K-175 t=10</t>
        </is>
      </c>
      <c r="C119" s="32">
        <f>24.00*0.1</f>
        <v/>
      </c>
      <c r="D119" s="8" t="inlineStr">
        <is>
          <t>m³</t>
        </is>
      </c>
      <c r="E119" s="11">
        <f>AHSP!$F$105</f>
        <v/>
      </c>
      <c r="F119" s="12">
        <f>C119*E119</f>
        <v/>
      </c>
      <c r="G119" s="9" t="inlineStr"/>
    </row>
    <row r="120">
      <c r="A120" s="8" t="n">
        <v>33</v>
      </c>
      <c r="B120" s="9" t="inlineStr">
        <is>
          <t>Keramik teras 40x40</t>
        </is>
      </c>
      <c r="C120" s="32">
        <f>24.00</f>
        <v/>
      </c>
      <c r="D120" s="8" t="inlineStr">
        <is>
          <t>m²</t>
        </is>
      </c>
      <c r="E120" s="11">
        <f>AHSP!$F$205</f>
        <v/>
      </c>
      <c r="F120" s="12">
        <f>C120*E120</f>
        <v/>
      </c>
      <c r="G120" s="9" t="inlineStr"/>
    </row>
    <row r="121">
      <c r="A121" s="14" t="inlineStr"/>
      <c r="B121" s="15" t="inlineStr">
        <is>
          <t>Jumlah mes anak kandang</t>
        </is>
      </c>
      <c r="C121" s="14" t="inlineStr"/>
      <c r="D121" s="14" t="inlineStr"/>
      <c r="E121" s="14" t="inlineStr"/>
      <c r="F121" s="16">
        <f>SUM(F84:F120)</f>
        <v/>
      </c>
      <c r="G121" s="14" t="inlineStr"/>
    </row>
    <row r="123">
      <c r="A123" s="33" t="inlineStr"/>
      <c r="B123" s="26" t="inlineStr">
        <is>
          <t>RUMAH TELUR (SORTIR &amp; SIMPAN)  (12 x 8 m)</t>
        </is>
      </c>
      <c r="C123" s="33" t="inlineStr"/>
      <c r="D123" s="33" t="inlineStr"/>
      <c r="E123" s="33" t="inlineStr"/>
      <c r="F123" s="33" t="inlineStr"/>
      <c r="G123" s="33" t="inlineStr"/>
    </row>
    <row r="124">
      <c r="A124" s="29" t="inlineStr"/>
      <c r="B124" s="30" t="inlineStr">
        <is>
          <t>I. PERSIAPAN DAN TANAH</t>
        </is>
      </c>
      <c r="C124" s="29" t="inlineStr"/>
      <c r="D124" s="29" t="inlineStr"/>
      <c r="E124" s="29" t="inlineStr"/>
      <c r="F124" s="29" t="inlineStr"/>
      <c r="G124" s="29" t="inlineStr"/>
    </row>
    <row r="125">
      <c r="A125" s="8" t="n">
        <v>1</v>
      </c>
      <c r="B125" s="9" t="inlineStr">
        <is>
          <t>Perataan lokasi dan peil</t>
        </is>
      </c>
      <c r="C125" s="32">
        <f>(12.0+4)*(8.0+4)</f>
        <v/>
      </c>
      <c r="D125" s="8" t="inlineStr">
        <is>
          <t>m²</t>
        </is>
      </c>
      <c r="E125" s="11">
        <f>AHSP!$F$9</f>
        <v/>
      </c>
      <c r="F125" s="12">
        <f>C125*E125</f>
        <v/>
      </c>
      <c r="G125" s="9" t="inlineStr">
        <is>
          <t>(panjang + 4) x (lebar + 4)</t>
        </is>
      </c>
    </row>
    <row r="126">
      <c r="A126" s="8" t="n">
        <v>2</v>
      </c>
      <c r="B126" s="9" t="inlineStr">
        <is>
          <t>Pengukuran dan bouwplank</t>
        </is>
      </c>
      <c r="C126" s="32">
        <f>2*(12.0+4+8.0+4)</f>
        <v/>
      </c>
      <c r="D126" s="8" t="inlineStr">
        <is>
          <t>m'</t>
        </is>
      </c>
      <c r="E126" s="11">
        <f>AHSP!$F$20</f>
        <v/>
      </c>
      <c r="F126" s="12">
        <f>C126*E126</f>
        <v/>
      </c>
      <c r="G126" s="9" t="inlineStr">
        <is>
          <t>keliling + 2 m</t>
        </is>
      </c>
    </row>
    <row r="127">
      <c r="A127" s="8" t="n">
        <v>3</v>
      </c>
      <c r="B127" s="9" t="inlineStr">
        <is>
          <t>Galian footplat 100x100x70</t>
        </is>
      </c>
      <c r="C127" s="32">
        <f>13*0.7</f>
        <v/>
      </c>
      <c r="D127" s="8" t="inlineStr">
        <is>
          <t>m³</t>
        </is>
      </c>
      <c r="E127" s="11">
        <f>AHSP!$F$27</f>
        <v/>
      </c>
      <c r="F127" s="12">
        <f>C127*E127</f>
        <v/>
      </c>
      <c r="G127" s="9" t="inlineStr">
        <is>
          <t>13 titik</t>
        </is>
      </c>
    </row>
    <row r="128">
      <c r="A128" s="8" t="n">
        <v>4</v>
      </c>
      <c r="B128" s="9" t="inlineStr">
        <is>
          <t>Urugan kembali</t>
        </is>
      </c>
      <c r="C128" s="32">
        <f>13*0.5015</f>
        <v/>
      </c>
      <c r="D128" s="8" t="inlineStr">
        <is>
          <t>m³</t>
        </is>
      </c>
      <c r="E128" s="11">
        <f>AHSP!$F$34</f>
        <v/>
      </c>
      <c r="F128" s="12">
        <f>C128*E128</f>
        <v/>
      </c>
      <c r="G128" s="9" t="inlineStr">
        <is>
          <t>sisa galian</t>
        </is>
      </c>
    </row>
    <row r="129">
      <c r="A129" s="8" t="n">
        <v>5</v>
      </c>
      <c r="B129" s="9" t="inlineStr">
        <is>
          <t>Urugan tanah peninggian dipadatkan</t>
        </is>
      </c>
      <c r="C129" s="32">
        <f>93.022*0.15</f>
        <v/>
      </c>
      <c r="D129" s="8" t="inlineStr">
        <is>
          <t>m³</t>
        </is>
      </c>
      <c r="E129" s="11">
        <f>AHSP!$F$42</f>
        <v/>
      </c>
      <c r="F129" s="12">
        <f>C129*E129</f>
        <v/>
      </c>
      <c r="G129" s="9" t="inlineStr">
        <is>
          <t>luas dalam x 0.15</t>
        </is>
      </c>
    </row>
    <row r="130">
      <c r="A130" s="8" t="n">
        <v>6</v>
      </c>
      <c r="B130" s="9" t="inlineStr">
        <is>
          <t>Urugan pasir bawah lantai, footplat, sloof</t>
        </is>
      </c>
      <c r="C130" s="32">
        <f>93.022*0.05+13*0.05+40.0*0.25*0.05</f>
        <v/>
      </c>
      <c r="D130" s="8" t="inlineStr">
        <is>
          <t>m³</t>
        </is>
      </c>
      <c r="E130" s="11">
        <f>AHSP!$F$50</f>
        <v/>
      </c>
      <c r="F130" s="12">
        <f>C130*E130</f>
        <v/>
      </c>
      <c r="G130" s="9" t="inlineStr"/>
    </row>
    <row r="131">
      <c r="A131" s="29" t="inlineStr"/>
      <c r="B131" s="30" t="inlineStr">
        <is>
          <t>II. STRUKTUR BETON</t>
        </is>
      </c>
      <c r="C131" s="29" t="inlineStr"/>
      <c r="D131" s="29" t="inlineStr"/>
      <c r="E131" s="29" t="inlineStr"/>
      <c r="F131" s="29" t="inlineStr"/>
      <c r="G131" s="29" t="inlineStr"/>
    </row>
    <row r="132">
      <c r="A132" s="8" t="n">
        <v>7</v>
      </c>
      <c r="B132" s="9" t="inlineStr">
        <is>
          <t>Lantai kerja K-100</t>
        </is>
      </c>
      <c r="C132" s="32">
        <f>13*0.0405</f>
        <v/>
      </c>
      <c r="D132" s="8" t="inlineStr">
        <is>
          <t>m³</t>
        </is>
      </c>
      <c r="E132" s="11">
        <f>AHSP!$F$93</f>
        <v/>
      </c>
      <c r="F132" s="12">
        <f>C132*E132</f>
        <v/>
      </c>
      <c r="G132" s="9" t="inlineStr"/>
    </row>
    <row r="133">
      <c r="A133" s="8" t="n">
        <v>8</v>
      </c>
      <c r="B133" s="9" t="inlineStr">
        <is>
          <t>Beton K-225 footplat 70x70x20</t>
        </is>
      </c>
      <c r="C133" s="32">
        <f>13*0.098</f>
        <v/>
      </c>
      <c r="D133" s="8" t="inlineStr">
        <is>
          <t>m³</t>
        </is>
      </c>
      <c r="E133" s="11">
        <f>AHSP!$F$117</f>
        <v/>
      </c>
      <c r="F133" s="12">
        <f>C133*E133</f>
        <v/>
      </c>
      <c r="G133" s="9" t="inlineStr"/>
    </row>
    <row r="134">
      <c r="A134" s="8" t="n">
        <v>9</v>
      </c>
      <c r="B134" s="9" t="inlineStr">
        <is>
          <t>Beton K-225 kolom 15/15 tinggi 3,70</t>
        </is>
      </c>
      <c r="C134" s="32">
        <f>13*0.0225*3.7</f>
        <v/>
      </c>
      <c r="D134" s="8" t="inlineStr">
        <is>
          <t>m³</t>
        </is>
      </c>
      <c r="E134" s="11">
        <f>AHSP!$F$117</f>
        <v/>
      </c>
      <c r="F134" s="12">
        <f>C134*E134</f>
        <v/>
      </c>
      <c r="G134" s="9" t="inlineStr">
        <is>
          <t>pedestal + kolom sampai +300</t>
        </is>
      </c>
    </row>
    <row r="135">
      <c r="A135" s="8" t="n">
        <v>10</v>
      </c>
      <c r="B135" s="9" t="inlineStr">
        <is>
          <t>Beton K-225 sloof 15/25</t>
        </is>
      </c>
      <c r="C135" s="32">
        <f>62.50*0.0375</f>
        <v/>
      </c>
      <c r="D135" s="8" t="inlineStr">
        <is>
          <t>m³</t>
        </is>
      </c>
      <c r="E135" s="11">
        <f>AHSP!$F$117</f>
        <v/>
      </c>
      <c r="F135" s="12">
        <f>C135*E135</f>
        <v/>
      </c>
      <c r="G135" s="9" t="inlineStr"/>
    </row>
    <row r="136">
      <c r="A136" s="8" t="n">
        <v>11</v>
      </c>
      <c r="B136" s="9" t="inlineStr">
        <is>
          <t>Beton K-225 ring balk 15/20</t>
        </is>
      </c>
      <c r="C136" s="32">
        <f>62.50*0.03</f>
        <v/>
      </c>
      <c r="D136" s="8" t="inlineStr">
        <is>
          <t>m³</t>
        </is>
      </c>
      <c r="E136" s="11">
        <f>AHSP!$F$117</f>
        <v/>
      </c>
      <c r="F136" s="12">
        <f>C136*E136</f>
        <v/>
      </c>
      <c r="G136" s="9" t="inlineStr"/>
    </row>
    <row r="137">
      <c r="A137" s="8" t="n">
        <v>12</v>
      </c>
      <c r="B137" s="9" t="inlineStr">
        <is>
          <t>Pembesian</t>
        </is>
      </c>
      <c r="C137" s="32">
        <f>13*4.44+13*15.65+62.50*4.558+62.50*4.295</f>
        <v/>
      </c>
      <c r="D137" s="8" t="inlineStr">
        <is>
          <t>kg</t>
        </is>
      </c>
      <c r="E137" s="11">
        <f>AHSP!$F$128</f>
        <v/>
      </c>
      <c r="F137" s="12">
        <f>C137*E137</f>
        <v/>
      </c>
      <c r="G137" s="9" t="inlineStr">
        <is>
          <t>footplat + kolom + sloof + ring balk</t>
        </is>
      </c>
    </row>
    <row r="138">
      <c r="A138" s="8" t="n">
        <v>13</v>
      </c>
      <c r="B138" s="9" t="inlineStr">
        <is>
          <t>Bekisting</t>
        </is>
      </c>
      <c r="C138" s="32">
        <f>13*0.56+13*0.6*3.7+62.50*0.5+62.50*0.55</f>
        <v/>
      </c>
      <c r="D138" s="8" t="inlineStr">
        <is>
          <t>m²</t>
        </is>
      </c>
      <c r="E138" s="11">
        <f>AHSP!$F$140</f>
        <v/>
      </c>
      <c r="F138" s="12">
        <f>C138*E138</f>
        <v/>
      </c>
      <c r="G138" s="9" t="inlineStr"/>
    </row>
    <row r="139">
      <c r="A139" s="29" t="inlineStr"/>
      <c r="B139" s="30" t="inlineStr">
        <is>
          <t>III. DINDING, LANTAI, ATAP</t>
        </is>
      </c>
      <c r="C139" s="29" t="inlineStr"/>
      <c r="D139" s="29" t="inlineStr"/>
      <c r="E139" s="29" t="inlineStr"/>
      <c r="F139" s="29" t="inlineStr"/>
      <c r="G139" s="29" t="inlineStr"/>
    </row>
    <row r="140">
      <c r="A140" s="8" t="n">
        <v>14</v>
      </c>
      <c r="B140" s="9" t="inlineStr">
        <is>
          <t>Pasangan bata 1/2 bata</t>
        </is>
      </c>
      <c r="C140" s="32">
        <f>165.55</f>
        <v/>
      </c>
      <c r="D140" s="8" t="inlineStr">
        <is>
          <t>m²</t>
        </is>
      </c>
      <c r="E140" s="11">
        <f>AHSP!$F$152</f>
        <v/>
      </c>
      <c r="F140" s="12">
        <f>C140*E140</f>
        <v/>
      </c>
      <c r="G140" s="9" t="inlineStr">
        <is>
          <t>dinding luar h 3 m + dinding dalam 24.0 m, dikurangi bukaan</t>
        </is>
      </c>
    </row>
    <row r="141">
      <c r="A141" s="8" t="n">
        <v>15</v>
      </c>
      <c r="B141" s="9" t="inlineStr">
        <is>
          <t>Plesteran dua sisi</t>
        </is>
      </c>
      <c r="C141" s="32">
        <f>2*165.55</f>
        <v/>
      </c>
      <c r="D141" s="8" t="inlineStr">
        <is>
          <t>m²</t>
        </is>
      </c>
      <c r="E141" s="11">
        <f>AHSP!$F$163</f>
        <v/>
      </c>
      <c r="F141" s="12">
        <f>C141*E141</f>
        <v/>
      </c>
      <c r="G141" s="9" t="inlineStr"/>
    </row>
    <row r="142">
      <c r="A142" s="8" t="n">
        <v>16</v>
      </c>
      <c r="B142" s="9" t="inlineStr">
        <is>
          <t>Acian dua sisi</t>
        </is>
      </c>
      <c r="C142" s="32">
        <f>2*165.55</f>
        <v/>
      </c>
      <c r="D142" s="8" t="inlineStr">
        <is>
          <t>m²</t>
        </is>
      </c>
      <c r="E142" s="11">
        <f>AHSP!$F$173</f>
        <v/>
      </c>
      <c r="F142" s="12">
        <f>C142*E142</f>
        <v/>
      </c>
      <c r="G142" s="9" t="inlineStr"/>
    </row>
    <row r="143">
      <c r="A143" s="8" t="n">
        <v>17</v>
      </c>
      <c r="B143" s="9" t="inlineStr">
        <is>
          <t>Pengecatan dua sisi</t>
        </is>
      </c>
      <c r="C143" s="32">
        <f>2*165.55</f>
        <v/>
      </c>
      <c r="D143" s="8" t="inlineStr">
        <is>
          <t>m²</t>
        </is>
      </c>
      <c r="E143" s="11">
        <f>AHSP!$F$184</f>
        <v/>
      </c>
      <c r="F143" s="12">
        <f>C143*E143</f>
        <v/>
      </c>
      <c r="G143" s="9" t="inlineStr"/>
    </row>
    <row r="144">
      <c r="A144" s="8" t="n">
        <v>18</v>
      </c>
      <c r="B144" s="9" t="inlineStr">
        <is>
          <t>Lantai beton K-175 t=10 (dasar keramik)</t>
        </is>
      </c>
      <c r="C144" s="32">
        <f>93.022*0.1</f>
        <v/>
      </c>
      <c r="D144" s="8" t="inlineStr">
        <is>
          <t>m³</t>
        </is>
      </c>
      <c r="E144" s="11">
        <f>AHSP!$F$105</f>
        <v/>
      </c>
      <c r="F144" s="12">
        <f>C144*E144</f>
        <v/>
      </c>
      <c r="G144" s="9" t="inlineStr"/>
    </row>
    <row r="145">
      <c r="A145" s="8" t="n">
        <v>19</v>
      </c>
      <c r="B145" s="9" t="inlineStr">
        <is>
          <t>Rangka atap baja ringan</t>
        </is>
      </c>
      <c r="C145" s="32">
        <f>152.05</f>
        <v/>
      </c>
      <c r="D145" s="8" t="inlineStr">
        <is>
          <t>m²</t>
        </is>
      </c>
      <c r="E145" s="11">
        <f>AHSP!$F$218</f>
        <v/>
      </c>
      <c r="F145" s="12">
        <f>C145*E145</f>
        <v/>
      </c>
      <c r="G145" s="9" t="inlineStr">
        <is>
          <t>kemiringan sisi utara + selatan (termasuk teras) x (panjang + 1)</t>
        </is>
      </c>
    </row>
    <row r="146">
      <c r="A146" s="8" t="n">
        <v>20</v>
      </c>
      <c r="B146" s="9" t="inlineStr">
        <is>
          <t>Penutup atap galvalum</t>
        </is>
      </c>
      <c r="C146" s="32">
        <f>152.05</f>
        <v/>
      </c>
      <c r="D146" s="8" t="inlineStr">
        <is>
          <t>m²</t>
        </is>
      </c>
      <c r="E146" s="11">
        <f>AHSP!$F$229</f>
        <v/>
      </c>
      <c r="F146" s="12">
        <f>C146*E146</f>
        <v/>
      </c>
      <c r="G146" s="9" t="inlineStr"/>
    </row>
    <row r="147">
      <c r="A147" s="8" t="n">
        <v>21</v>
      </c>
      <c r="B147" s="9" t="inlineStr">
        <is>
          <t>Nok</t>
        </is>
      </c>
      <c r="C147" s="32">
        <f>12.0+1</f>
        <v/>
      </c>
      <c r="D147" s="8" t="inlineStr">
        <is>
          <t>m'</t>
        </is>
      </c>
      <c r="E147" s="11">
        <f>AHSP!$F$238</f>
        <v/>
      </c>
      <c r="F147" s="12">
        <f>C147*E147</f>
        <v/>
      </c>
      <c r="G147" s="9" t="inlineStr"/>
    </row>
    <row r="148">
      <c r="A148" s="8" t="n">
        <v>22</v>
      </c>
      <c r="B148" s="9" t="inlineStr">
        <is>
          <t>Lisplang/flashing</t>
        </is>
      </c>
      <c r="C148" s="32">
        <f>2*(12.0+1)+4*5.30</f>
        <v/>
      </c>
      <c r="D148" s="8" t="inlineStr">
        <is>
          <t>m'</t>
        </is>
      </c>
      <c r="E148" s="11">
        <f>AHSP!$F$247</f>
        <v/>
      </c>
      <c r="F148" s="12">
        <f>C148*E148</f>
        <v/>
      </c>
      <c r="G148" s="9" t="inlineStr"/>
    </row>
    <row r="149">
      <c r="A149" s="8" t="n">
        <v>23</v>
      </c>
      <c r="B149" s="9" t="inlineStr">
        <is>
          <t>Penutup gevel kawat harmonika</t>
        </is>
      </c>
      <c r="C149" s="32">
        <f>14.92</f>
        <v/>
      </c>
      <c r="D149" s="8" t="inlineStr">
        <is>
          <t>m²</t>
        </is>
      </c>
      <c r="E149" s="11">
        <f>AHSP!$F$270</f>
        <v/>
      </c>
      <c r="F149" s="12">
        <f>C149*E149</f>
        <v/>
      </c>
      <c r="G149" s="9" t="inlineStr">
        <is>
          <t>2 segitiga di atas ring balk</t>
        </is>
      </c>
    </row>
    <row r="150">
      <c r="A150" s="29" t="inlineStr"/>
      <c r="B150" s="30" t="inlineStr">
        <is>
          <t>IV. PINTU, JENDELA DAN UTILITAS</t>
        </is>
      </c>
      <c r="C150" s="29" t="inlineStr"/>
      <c r="D150" s="29" t="inlineStr"/>
      <c r="E150" s="29" t="inlineStr"/>
      <c r="F150" s="29" t="inlineStr"/>
      <c r="G150" s="29" t="inlineStr"/>
    </row>
    <row r="151">
      <c r="A151" s="8" t="n">
        <v>24</v>
      </c>
      <c r="B151" s="9" t="inlineStr">
        <is>
          <t>Keramik 40x40</t>
        </is>
      </c>
      <c r="C151" s="32">
        <f>93.022</f>
        <v/>
      </c>
      <c r="D151" s="8" t="inlineStr">
        <is>
          <t>m²</t>
        </is>
      </c>
      <c r="E151" s="11">
        <f>AHSP!$F$205</f>
        <v/>
      </c>
      <c r="F151" s="12">
        <f>C151*E151</f>
        <v/>
      </c>
      <c r="G151" s="9" t="inlineStr">
        <is>
          <t>mudah dibersihkan</t>
        </is>
      </c>
    </row>
    <row r="152">
      <c r="A152" s="8" t="n">
        <v>25</v>
      </c>
      <c r="B152" s="9" t="inlineStr">
        <is>
          <t>Plafon GRC rangka hollow</t>
        </is>
      </c>
      <c r="C152" s="32">
        <f>93.022</f>
        <v/>
      </c>
      <c r="D152" s="8" t="inlineStr">
        <is>
          <t>m²</t>
        </is>
      </c>
      <c r="E152" s="11">
        <f>AHSP!$F$259</f>
        <v/>
      </c>
      <c r="F152" s="12">
        <f>C152*E152</f>
        <v/>
      </c>
      <c r="G152" s="9" t="inlineStr">
        <is>
          <t>menjaga suhu telur</t>
        </is>
      </c>
    </row>
    <row r="153">
      <c r="A153" s="8" t="n">
        <v>26</v>
      </c>
      <c r="B153" s="9" t="inlineStr">
        <is>
          <t>Pintu panel kayu (P1/P2)</t>
        </is>
      </c>
      <c r="C153" s="32">
        <f>6</f>
        <v/>
      </c>
      <c r="D153" s="8" t="inlineStr">
        <is>
          <t>unit</t>
        </is>
      </c>
      <c r="E153" s="11">
        <f>ROUND('Harga Dasar'!$D$62*(1+Petunjuk!$C$15),-2)</f>
        <v/>
      </c>
      <c r="F153" s="12">
        <f>C153*E153</f>
        <v/>
      </c>
      <c r="G153" s="9" t="inlineStr">
        <is>
          <t>sesuai denah B-04</t>
        </is>
      </c>
    </row>
    <row r="154">
      <c r="A154" s="8" t="n">
        <v>27</v>
      </c>
      <c r="B154" s="9" t="inlineStr">
        <is>
          <t>Jendela + boven aluminium kaca</t>
        </is>
      </c>
      <c r="C154" s="32">
        <f>9.56</f>
        <v/>
      </c>
      <c r="D154" s="8" t="inlineStr">
        <is>
          <t>m²</t>
        </is>
      </c>
      <c r="E154" s="11">
        <f>ROUND('Harga Dasar'!$D$63*(1+Petunjuk!$C$15),-2)</f>
        <v/>
      </c>
      <c r="F154" s="12">
        <f>C154*E154</f>
        <v/>
      </c>
      <c r="G154" s="9" t="inlineStr"/>
    </row>
    <row r="155">
      <c r="A155" s="8" t="n">
        <v>28</v>
      </c>
      <c r="B155" s="9" t="inlineStr">
        <is>
          <t>Titik lampu</t>
        </is>
      </c>
      <c r="C155" s="32">
        <f>8</f>
        <v/>
      </c>
      <c r="D155" s="8" t="inlineStr">
        <is>
          <t>titik</t>
        </is>
      </c>
      <c r="E155" s="11">
        <f>ROUND('Harga Dasar'!$D$60*(1+Petunjuk!$C$15),-2)</f>
        <v/>
      </c>
      <c r="F155" s="12">
        <f>C155*E155</f>
        <v/>
      </c>
      <c r="G155" s="9" t="inlineStr"/>
    </row>
    <row r="156">
      <c r="A156" s="8" t="n">
        <v>29</v>
      </c>
      <c r="B156" s="9" t="inlineStr">
        <is>
          <t>Stop kontak + kipas exhaust</t>
        </is>
      </c>
      <c r="C156" s="32">
        <f>5</f>
        <v/>
      </c>
      <c r="D156" s="8" t="inlineStr">
        <is>
          <t>titik</t>
        </is>
      </c>
      <c r="E156" s="11">
        <f>ROUND('Harga Dasar'!$D$61*(1+Petunjuk!$C$15),-2)</f>
        <v/>
      </c>
      <c r="F156" s="12">
        <f>C156*E156</f>
        <v/>
      </c>
      <c r="G156" s="9" t="inlineStr"/>
    </row>
    <row r="157">
      <c r="A157" s="8" t="n">
        <v>30</v>
      </c>
      <c r="B157" s="9" t="inlineStr">
        <is>
          <t>Lantai teras beton K-175 t=10</t>
        </is>
      </c>
      <c r="C157" s="32">
        <f>12.00*0.1</f>
        <v/>
      </c>
      <c r="D157" s="8" t="inlineStr">
        <is>
          <t>m³</t>
        </is>
      </c>
      <c r="E157" s="11">
        <f>AHSP!$F$105</f>
        <v/>
      </c>
      <c r="F157" s="12">
        <f>C157*E157</f>
        <v/>
      </c>
      <c r="G157" s="9" t="inlineStr"/>
    </row>
    <row r="158">
      <c r="A158" s="8" t="n">
        <v>31</v>
      </c>
      <c r="B158" s="9" t="inlineStr">
        <is>
          <t>Keramik teras 40x40</t>
        </is>
      </c>
      <c r="C158" s="32">
        <f>12.00</f>
        <v/>
      </c>
      <c r="D158" s="8" t="inlineStr">
        <is>
          <t>m²</t>
        </is>
      </c>
      <c r="E158" s="11">
        <f>AHSP!$F$205</f>
        <v/>
      </c>
      <c r="F158" s="12">
        <f>C158*E158</f>
        <v/>
      </c>
      <c r="G158" s="9" t="inlineStr"/>
    </row>
    <row r="159">
      <c r="A159" s="14" t="inlineStr"/>
      <c r="B159" s="15" t="inlineStr">
        <is>
          <t>Jumlah rumah telur (sortir &amp; simpan)</t>
        </is>
      </c>
      <c r="C159" s="14" t="inlineStr"/>
      <c r="D159" s="14" t="inlineStr"/>
      <c r="E159" s="14" t="inlineStr"/>
      <c r="F159" s="16">
        <f>SUM(F124:F158)</f>
        <v/>
      </c>
      <c r="G159" s="14" t="inlineStr"/>
    </row>
    <row r="161">
      <c r="A161" s="33" t="inlineStr"/>
      <c r="B161" s="26" t="inlineStr">
        <is>
          <t>RUMAH PAKAN (OLAH &amp; CAMPUR)  (16 x 12 m)</t>
        </is>
      </c>
      <c r="C161" s="33" t="inlineStr"/>
      <c r="D161" s="33" t="inlineStr"/>
      <c r="E161" s="33" t="inlineStr"/>
      <c r="F161" s="33" t="inlineStr"/>
      <c r="G161" s="33" t="inlineStr"/>
    </row>
    <row r="162">
      <c r="A162" s="29" t="inlineStr"/>
      <c r="B162" s="30" t="inlineStr">
        <is>
          <t>I. PERSIAPAN DAN TANAH</t>
        </is>
      </c>
      <c r="C162" s="29" t="inlineStr"/>
      <c r="D162" s="29" t="inlineStr"/>
      <c r="E162" s="29" t="inlineStr"/>
      <c r="F162" s="29" t="inlineStr"/>
      <c r="G162" s="29" t="inlineStr"/>
    </row>
    <row r="163">
      <c r="A163" s="8" t="n">
        <v>1</v>
      </c>
      <c r="B163" s="9" t="inlineStr">
        <is>
          <t>Perataan lokasi dan peil</t>
        </is>
      </c>
      <c r="C163" s="32">
        <f>(16.0+4)*(12.0+4)</f>
        <v/>
      </c>
      <c r="D163" s="8" t="inlineStr">
        <is>
          <t>m²</t>
        </is>
      </c>
      <c r="E163" s="11">
        <f>AHSP!$F$9</f>
        <v/>
      </c>
      <c r="F163" s="12">
        <f>C163*E163</f>
        <v/>
      </c>
      <c r="G163" s="9" t="inlineStr">
        <is>
          <t>(panjang + 4) x (lebar + 4)</t>
        </is>
      </c>
    </row>
    <row r="164">
      <c r="A164" s="8" t="n">
        <v>2</v>
      </c>
      <c r="B164" s="9" t="inlineStr">
        <is>
          <t>Pengukuran dan bouwplank</t>
        </is>
      </c>
      <c r="C164" s="32">
        <f>2*(16.0+4+12.0+4)</f>
        <v/>
      </c>
      <c r="D164" s="8" t="inlineStr">
        <is>
          <t>m'</t>
        </is>
      </c>
      <c r="E164" s="11">
        <f>AHSP!$F$20</f>
        <v/>
      </c>
      <c r="F164" s="12">
        <f>C164*E164</f>
        <v/>
      </c>
      <c r="G164" s="9" t="inlineStr">
        <is>
          <t>keliling + 2 m</t>
        </is>
      </c>
    </row>
    <row r="165">
      <c r="A165" s="8" t="n">
        <v>3</v>
      </c>
      <c r="B165" s="9" t="inlineStr">
        <is>
          <t>Galian footplat 100x100x70</t>
        </is>
      </c>
      <c r="C165" s="32">
        <f>14*0.7</f>
        <v/>
      </c>
      <c r="D165" s="8" t="inlineStr">
        <is>
          <t>m³</t>
        </is>
      </c>
      <c r="E165" s="11">
        <f>AHSP!$F$27</f>
        <v/>
      </c>
      <c r="F165" s="12">
        <f>C165*E165</f>
        <v/>
      </c>
      <c r="G165" s="9" t="inlineStr">
        <is>
          <t>14 titik</t>
        </is>
      </c>
    </row>
    <row r="166">
      <c r="A166" s="8" t="n">
        <v>4</v>
      </c>
      <c r="B166" s="9" t="inlineStr">
        <is>
          <t>Urugan kembali</t>
        </is>
      </c>
      <c r="C166" s="32">
        <f>14*0.5015</f>
        <v/>
      </c>
      <c r="D166" s="8" t="inlineStr">
        <is>
          <t>m³</t>
        </is>
      </c>
      <c r="E166" s="11">
        <f>AHSP!$F$34</f>
        <v/>
      </c>
      <c r="F166" s="12">
        <f>C166*E166</f>
        <v/>
      </c>
      <c r="G166" s="9" t="inlineStr">
        <is>
          <t>sisa galian</t>
        </is>
      </c>
    </row>
    <row r="167">
      <c r="A167" s="8" t="n">
        <v>5</v>
      </c>
      <c r="B167" s="9" t="inlineStr">
        <is>
          <t>Urugan tanah peninggian dipadatkan</t>
        </is>
      </c>
      <c r="C167" s="32">
        <f>187.822*0.15</f>
        <v/>
      </c>
      <c r="D167" s="8" t="inlineStr">
        <is>
          <t>m³</t>
        </is>
      </c>
      <c r="E167" s="11">
        <f>AHSP!$F$42</f>
        <v/>
      </c>
      <c r="F167" s="12">
        <f>C167*E167</f>
        <v/>
      </c>
      <c r="G167" s="9" t="inlineStr">
        <is>
          <t>luas dalam x 0.15</t>
        </is>
      </c>
    </row>
    <row r="168">
      <c r="A168" s="8" t="n">
        <v>6</v>
      </c>
      <c r="B168" s="9" t="inlineStr">
        <is>
          <t>Urugan pasir bawah lantai, footplat, sloof</t>
        </is>
      </c>
      <c r="C168" s="32">
        <f>187.822*0.05+14*0.05+56.0*0.25*0.05</f>
        <v/>
      </c>
      <c r="D168" s="8" t="inlineStr">
        <is>
          <t>m³</t>
        </is>
      </c>
      <c r="E168" s="11">
        <f>AHSP!$F$50</f>
        <v/>
      </c>
      <c r="F168" s="12">
        <f>C168*E168</f>
        <v/>
      </c>
      <c r="G168" s="9" t="inlineStr"/>
    </row>
    <row r="169">
      <c r="A169" s="29" t="inlineStr"/>
      <c r="B169" s="30" t="inlineStr">
        <is>
          <t>II. STRUKTUR BETON</t>
        </is>
      </c>
      <c r="C169" s="29" t="inlineStr"/>
      <c r="D169" s="29" t="inlineStr"/>
      <c r="E169" s="29" t="inlineStr"/>
      <c r="F169" s="29" t="inlineStr"/>
      <c r="G169" s="29" t="inlineStr"/>
    </row>
    <row r="170">
      <c r="A170" s="8" t="n">
        <v>7</v>
      </c>
      <c r="B170" s="9" t="inlineStr">
        <is>
          <t>Lantai kerja K-100</t>
        </is>
      </c>
      <c r="C170" s="32">
        <f>14*0.0405</f>
        <v/>
      </c>
      <c r="D170" s="8" t="inlineStr">
        <is>
          <t>m³</t>
        </is>
      </c>
      <c r="E170" s="11">
        <f>AHSP!$F$93</f>
        <v/>
      </c>
      <c r="F170" s="12">
        <f>C170*E170</f>
        <v/>
      </c>
      <c r="G170" s="9" t="inlineStr"/>
    </row>
    <row r="171">
      <c r="A171" s="8" t="n">
        <v>8</v>
      </c>
      <c r="B171" s="9" t="inlineStr">
        <is>
          <t>Beton K-225 footplat 70x70x20</t>
        </is>
      </c>
      <c r="C171" s="32">
        <f>14*0.098</f>
        <v/>
      </c>
      <c r="D171" s="8" t="inlineStr">
        <is>
          <t>m³</t>
        </is>
      </c>
      <c r="E171" s="11">
        <f>AHSP!$F$117</f>
        <v/>
      </c>
      <c r="F171" s="12">
        <f>C171*E171</f>
        <v/>
      </c>
      <c r="G171" s="9" t="inlineStr"/>
    </row>
    <row r="172">
      <c r="A172" s="8" t="n">
        <v>9</v>
      </c>
      <c r="B172" s="9" t="inlineStr">
        <is>
          <t>Beton K-225 kolom 15/15 tinggi 3,70</t>
        </is>
      </c>
      <c r="C172" s="32">
        <f>14*0.0225*3.7</f>
        <v/>
      </c>
      <c r="D172" s="8" t="inlineStr">
        <is>
          <t>m³</t>
        </is>
      </c>
      <c r="E172" s="11">
        <f>AHSP!$F$117</f>
        <v/>
      </c>
      <c r="F172" s="12">
        <f>C172*E172</f>
        <v/>
      </c>
      <c r="G172" s="9" t="inlineStr">
        <is>
          <t>pedestal + kolom sampai +300</t>
        </is>
      </c>
    </row>
    <row r="173">
      <c r="A173" s="8" t="n">
        <v>10</v>
      </c>
      <c r="B173" s="9" t="inlineStr">
        <is>
          <t>Beton K-225 sloof 15/25</t>
        </is>
      </c>
      <c r="C173" s="32">
        <f>59.90*0.0375</f>
        <v/>
      </c>
      <c r="D173" s="8" t="inlineStr">
        <is>
          <t>m³</t>
        </is>
      </c>
      <c r="E173" s="11">
        <f>AHSP!$F$117</f>
        <v/>
      </c>
      <c r="F173" s="12">
        <f>C173*E173</f>
        <v/>
      </c>
      <c r="G173" s="9" t="inlineStr"/>
    </row>
    <row r="174">
      <c r="A174" s="8" t="n">
        <v>11</v>
      </c>
      <c r="B174" s="9" t="inlineStr">
        <is>
          <t>Beton K-225 ring balk 15/20</t>
        </is>
      </c>
      <c r="C174" s="32">
        <f>59.90*0.03</f>
        <v/>
      </c>
      <c r="D174" s="8" t="inlineStr">
        <is>
          <t>m³</t>
        </is>
      </c>
      <c r="E174" s="11">
        <f>AHSP!$F$117</f>
        <v/>
      </c>
      <c r="F174" s="12">
        <f>C174*E174</f>
        <v/>
      </c>
      <c r="G174" s="9" t="inlineStr"/>
    </row>
    <row r="175">
      <c r="A175" s="8" t="n">
        <v>12</v>
      </c>
      <c r="B175" s="9" t="inlineStr">
        <is>
          <t>Pembesian</t>
        </is>
      </c>
      <c r="C175" s="32">
        <f>14*4.44+14*15.65+59.90*4.558+59.90*4.295</f>
        <v/>
      </c>
      <c r="D175" s="8" t="inlineStr">
        <is>
          <t>kg</t>
        </is>
      </c>
      <c r="E175" s="11">
        <f>AHSP!$F$128</f>
        <v/>
      </c>
      <c r="F175" s="12">
        <f>C175*E175</f>
        <v/>
      </c>
      <c r="G175" s="9" t="inlineStr">
        <is>
          <t>footplat + kolom + sloof + ring balk</t>
        </is>
      </c>
    </row>
    <row r="176">
      <c r="A176" s="8" t="n">
        <v>13</v>
      </c>
      <c r="B176" s="9" t="inlineStr">
        <is>
          <t>Bekisting</t>
        </is>
      </c>
      <c r="C176" s="32">
        <f>14*0.56+14*0.6*3.7+59.90*0.5+59.90*0.55</f>
        <v/>
      </c>
      <c r="D176" s="8" t="inlineStr">
        <is>
          <t>m²</t>
        </is>
      </c>
      <c r="E176" s="11">
        <f>AHSP!$F$140</f>
        <v/>
      </c>
      <c r="F176" s="12">
        <f>C176*E176</f>
        <v/>
      </c>
      <c r="G176" s="9" t="inlineStr"/>
    </row>
    <row r="177">
      <c r="A177" s="29" t="inlineStr"/>
      <c r="B177" s="30" t="inlineStr">
        <is>
          <t>III. DINDING, LANTAI, ATAP</t>
        </is>
      </c>
      <c r="C177" s="29" t="inlineStr"/>
      <c r="D177" s="29" t="inlineStr"/>
      <c r="E177" s="29" t="inlineStr"/>
      <c r="F177" s="29" t="inlineStr"/>
      <c r="G177" s="29" t="inlineStr"/>
    </row>
    <row r="178">
      <c r="A178" s="8" t="n">
        <v>14</v>
      </c>
      <c r="B178" s="9" t="inlineStr">
        <is>
          <t>Pasangan bata 1/2 bata</t>
        </is>
      </c>
      <c r="C178" s="32">
        <f>68.28</f>
        <v/>
      </c>
      <c r="D178" s="8" t="inlineStr">
        <is>
          <t>m²</t>
        </is>
      </c>
      <c r="E178" s="11">
        <f>AHSP!$F$152</f>
        <v/>
      </c>
      <c r="F178" s="12">
        <f>C178*E178</f>
        <v/>
      </c>
      <c r="G178" s="9" t="inlineStr">
        <is>
          <t>dinding luar h 1.5 m + dinding dalam 6.0 m, dikurangi bukaan</t>
        </is>
      </c>
    </row>
    <row r="179">
      <c r="A179" s="8" t="n">
        <v>15</v>
      </c>
      <c r="B179" s="9" t="inlineStr">
        <is>
          <t>Plesteran dua sisi</t>
        </is>
      </c>
      <c r="C179" s="32">
        <f>2*68.28</f>
        <v/>
      </c>
      <c r="D179" s="8" t="inlineStr">
        <is>
          <t>m²</t>
        </is>
      </c>
      <c r="E179" s="11">
        <f>AHSP!$F$163</f>
        <v/>
      </c>
      <c r="F179" s="12">
        <f>C179*E179</f>
        <v/>
      </c>
      <c r="G179" s="9" t="inlineStr"/>
    </row>
    <row r="180">
      <c r="A180" s="8" t="n">
        <v>16</v>
      </c>
      <c r="B180" s="9" t="inlineStr">
        <is>
          <t>Acian sisi luar</t>
        </is>
      </c>
      <c r="C180" s="32">
        <f>1*68.28</f>
        <v/>
      </c>
      <c r="D180" s="8" t="inlineStr">
        <is>
          <t>m²</t>
        </is>
      </c>
      <c r="E180" s="11">
        <f>AHSP!$F$173</f>
        <v/>
      </c>
      <c r="F180" s="12">
        <f>C180*E180</f>
        <v/>
      </c>
      <c r="G180" s="9" t="inlineStr"/>
    </row>
    <row r="181">
      <c r="A181" s="8" t="n">
        <v>17</v>
      </c>
      <c r="B181" s="9" t="inlineStr">
        <is>
          <t>Pengecatan sisi luar</t>
        </is>
      </c>
      <c r="C181" s="32">
        <f>1*68.28</f>
        <v/>
      </c>
      <c r="D181" s="8" t="inlineStr">
        <is>
          <t>m²</t>
        </is>
      </c>
      <c r="E181" s="11">
        <f>AHSP!$F$184</f>
        <v/>
      </c>
      <c r="F181" s="12">
        <f>C181*E181</f>
        <v/>
      </c>
      <c r="G181" s="9" t="inlineStr"/>
    </row>
    <row r="182">
      <c r="A182" s="8" t="n">
        <v>18</v>
      </c>
      <c r="B182" s="9" t="inlineStr">
        <is>
          <t>Lantai beton K-175 t=10</t>
        </is>
      </c>
      <c r="C182" s="32">
        <f>187.822*0.1</f>
        <v/>
      </c>
      <c r="D182" s="8" t="inlineStr">
        <is>
          <t>m³</t>
        </is>
      </c>
      <c r="E182" s="11">
        <f>AHSP!$F$105</f>
        <v/>
      </c>
      <c r="F182" s="12">
        <f>C182*E182</f>
        <v/>
      </c>
      <c r="G182" s="9" t="inlineStr"/>
    </row>
    <row r="183">
      <c r="A183" s="8" t="n">
        <v>19</v>
      </c>
      <c r="B183" s="9" t="inlineStr">
        <is>
          <t>Rangka atap baja ringan</t>
        </is>
      </c>
      <c r="C183" s="32">
        <f>255.10</f>
        <v/>
      </c>
      <c r="D183" s="8" t="inlineStr">
        <is>
          <t>m²</t>
        </is>
      </c>
      <c r="E183" s="11">
        <f>AHSP!$F$218</f>
        <v/>
      </c>
      <c r="F183" s="12">
        <f>C183*E183</f>
        <v/>
      </c>
      <c r="G183" s="9" t="inlineStr">
        <is>
          <t>kemiringan sisi utara + selatan (termasuk teras) x (panjang + 1)</t>
        </is>
      </c>
    </row>
    <row r="184">
      <c r="A184" s="8" t="n">
        <v>20</v>
      </c>
      <c r="B184" s="9" t="inlineStr">
        <is>
          <t>Penutup atap galvalum</t>
        </is>
      </c>
      <c r="C184" s="32">
        <f>255.10</f>
        <v/>
      </c>
      <c r="D184" s="8" t="inlineStr">
        <is>
          <t>m²</t>
        </is>
      </c>
      <c r="E184" s="11">
        <f>AHSP!$F$229</f>
        <v/>
      </c>
      <c r="F184" s="12">
        <f>C184*E184</f>
        <v/>
      </c>
      <c r="G184" s="9" t="inlineStr"/>
    </row>
    <row r="185">
      <c r="A185" s="8" t="n">
        <v>21</v>
      </c>
      <c r="B185" s="9" t="inlineStr">
        <is>
          <t>Nok</t>
        </is>
      </c>
      <c r="C185" s="32">
        <f>16.0+1</f>
        <v/>
      </c>
      <c r="D185" s="8" t="inlineStr">
        <is>
          <t>m'</t>
        </is>
      </c>
      <c r="E185" s="11">
        <f>AHSP!$F$238</f>
        <v/>
      </c>
      <c r="F185" s="12">
        <f>C185*E185</f>
        <v/>
      </c>
      <c r="G185" s="9" t="inlineStr"/>
    </row>
    <row r="186">
      <c r="A186" s="8" t="n">
        <v>22</v>
      </c>
      <c r="B186" s="9" t="inlineStr">
        <is>
          <t>Lisplang/flashing</t>
        </is>
      </c>
      <c r="C186" s="32">
        <f>2*(16.0+1)+4*7.50</f>
        <v/>
      </c>
      <c r="D186" s="8" t="inlineStr">
        <is>
          <t>m'</t>
        </is>
      </c>
      <c r="E186" s="11">
        <f>AHSP!$F$247</f>
        <v/>
      </c>
      <c r="F186" s="12">
        <f>C186*E186</f>
        <v/>
      </c>
      <c r="G186" s="9" t="inlineStr"/>
    </row>
    <row r="187">
      <c r="A187" s="8" t="n">
        <v>23</v>
      </c>
      <c r="B187" s="9" t="inlineStr">
        <is>
          <t>Penutup gevel kawat harmonika</t>
        </is>
      </c>
      <c r="C187" s="32">
        <f>33.57</f>
        <v/>
      </c>
      <c r="D187" s="8" t="inlineStr">
        <is>
          <t>m²</t>
        </is>
      </c>
      <c r="E187" s="11">
        <f>AHSP!$F$270</f>
        <v/>
      </c>
      <c r="F187" s="12">
        <f>C187*E187</f>
        <v/>
      </c>
      <c r="G187" s="9" t="inlineStr">
        <is>
          <t>2 segitiga di atas ring balk</t>
        </is>
      </c>
    </row>
    <row r="188">
      <c r="A188" s="29" t="inlineStr"/>
      <c r="B188" s="30" t="inlineStr">
        <is>
          <t>IV. PINTU, JENDELA DAN UTILITAS</t>
        </is>
      </c>
      <c r="C188" s="29" t="inlineStr"/>
      <c r="D188" s="29" t="inlineStr"/>
      <c r="E188" s="29" t="inlineStr"/>
      <c r="F188" s="29" t="inlineStr"/>
      <c r="G188" s="29" t="inlineStr"/>
    </row>
    <row r="189">
      <c r="A189" s="8" t="n">
        <v>24</v>
      </c>
      <c r="B189" s="9" t="inlineStr">
        <is>
          <t>Finishing lantai</t>
        </is>
      </c>
      <c r="C189" s="32">
        <f>187.822</f>
        <v/>
      </c>
      <c r="D189" s="8" t="inlineStr">
        <is>
          <t>m²</t>
        </is>
      </c>
      <c r="E189" s="11">
        <f>AHSP!$F$192</f>
        <v/>
      </c>
      <c r="F189" s="12">
        <f>C189*E189</f>
        <v/>
      </c>
      <c r="G189" s="9" t="inlineStr"/>
    </row>
    <row r="190">
      <c r="A190" s="8" t="n">
        <v>25</v>
      </c>
      <c r="B190" s="9" t="inlineStr">
        <is>
          <t>Pintu geser 300x300 rangka hollow + plat galvalum</t>
        </is>
      </c>
      <c r="C190" s="32">
        <f>3*3.0*3.0</f>
        <v/>
      </c>
      <c r="D190" s="8" t="inlineStr">
        <is>
          <t>m²</t>
        </is>
      </c>
      <c r="E190" s="11">
        <f>AHSP!$F$328</f>
        <v/>
      </c>
      <c r="F190" s="12">
        <f>C190*E190</f>
        <v/>
      </c>
      <c r="G190" s="9" t="inlineStr"/>
    </row>
    <row r="191">
      <c r="A191" s="8" t="n">
        <v>26</v>
      </c>
      <c r="B191" s="9" t="inlineStr">
        <is>
          <t>Ventilasi/jendela kawat + teralis</t>
        </is>
      </c>
      <c r="C191" s="32">
        <f>0*0.72</f>
        <v/>
      </c>
      <c r="D191" s="8" t="inlineStr">
        <is>
          <t>m²</t>
        </is>
      </c>
      <c r="E191" s="11">
        <f>AHSP!$F$328</f>
        <v/>
      </c>
      <c r="F191" s="12">
        <f>C191*E191</f>
        <v/>
      </c>
      <c r="G191" s="9" t="inlineStr"/>
    </row>
    <row r="192">
      <c r="A192" s="8" t="n">
        <v>27</v>
      </c>
      <c r="B192" s="9" t="inlineStr">
        <is>
          <t>Titik lampu</t>
        </is>
      </c>
      <c r="C192" s="32">
        <f>4</f>
        <v/>
      </c>
      <c r="D192" s="8" t="inlineStr">
        <is>
          <t>titik</t>
        </is>
      </c>
      <c r="E192" s="11">
        <f>ROUND('Harga Dasar'!$D$60*(1+Petunjuk!$C$15),-2)</f>
        <v/>
      </c>
      <c r="F192" s="12">
        <f>C192*E192</f>
        <v/>
      </c>
      <c r="G192" s="9" t="inlineStr"/>
    </row>
    <row r="193">
      <c r="A193" s="8" t="n">
        <v>28</v>
      </c>
      <c r="B193" s="9" t="inlineStr">
        <is>
          <t>Kawat harmonika di atas dinding 150 cm</t>
        </is>
      </c>
      <c r="C193" s="32">
        <f>45.20*1.5</f>
        <v/>
      </c>
      <c r="D193" s="8" t="inlineStr">
        <is>
          <t>m²</t>
        </is>
      </c>
      <c r="E193" s="11">
        <f>AHSP!$F$270</f>
        <v/>
      </c>
      <c r="F193" s="12">
        <f>C193*E193</f>
        <v/>
      </c>
      <c r="G193" s="9" t="inlineStr"/>
    </row>
    <row r="194">
      <c r="A194" s="8" t="n">
        <v>29</v>
      </c>
      <c r="B194" s="9" t="inlineStr">
        <is>
          <t>Rangka hollow pemegang kawat</t>
        </is>
      </c>
      <c r="C194" s="32">
        <f>2*45.20</f>
        <v/>
      </c>
      <c r="D194" s="8" t="inlineStr">
        <is>
          <t>m'</t>
        </is>
      </c>
      <c r="E194" s="11">
        <f>AHSP!$F$280</f>
        <v/>
      </c>
      <c r="F194" s="12">
        <f>C194*E194</f>
        <v/>
      </c>
      <c r="G194" s="9" t="inlineStr"/>
    </row>
    <row r="195">
      <c r="A195" s="8" t="n">
        <v>30</v>
      </c>
      <c r="B195" s="9" t="inlineStr">
        <is>
          <t>Pondasi mesin beton K-225 (hammer mill + mixer)</t>
        </is>
      </c>
      <c r="C195" s="32">
        <f>1.5*1.0*0.5+3.0*1.3*0.5</f>
        <v/>
      </c>
      <c r="D195" s="8" t="inlineStr">
        <is>
          <t>m³</t>
        </is>
      </c>
      <c r="E195" s="11">
        <f>AHSP!$F$117</f>
        <v/>
      </c>
      <c r="F195" s="12">
        <f>C195*E195</f>
        <v/>
      </c>
      <c r="G195" s="9" t="inlineStr">
        <is>
          <t>B-09 detail A</t>
        </is>
      </c>
    </row>
    <row r="196">
      <c r="A196" s="8" t="n">
        <v>31</v>
      </c>
      <c r="B196" s="9" t="inlineStr">
        <is>
          <t>Pembesian pondasi mesin</t>
        </is>
      </c>
      <c r="C196" s="32">
        <f>100*(1.5*1.0*0.5+3.0*1.3*0.5)</f>
        <v/>
      </c>
      <c r="D196" s="8" t="inlineStr">
        <is>
          <t>kg</t>
        </is>
      </c>
      <c r="E196" s="11">
        <f>AHSP!$F$128</f>
        <v/>
      </c>
      <c r="F196" s="12">
        <f>C196*E196</f>
        <v/>
      </c>
      <c r="G196" s="9" t="inlineStr">
        <is>
          <t>±100 kg/m³</t>
        </is>
      </c>
    </row>
    <row r="197">
      <c r="A197" s="8" t="n">
        <v>32</v>
      </c>
      <c r="B197" s="9" t="inlineStr">
        <is>
          <t>Pintu panel kayu R. premix</t>
        </is>
      </c>
      <c r="C197" s="32">
        <f>1</f>
        <v/>
      </c>
      <c r="D197" s="8" t="inlineStr">
        <is>
          <t>unit</t>
        </is>
      </c>
      <c r="E197" s="11">
        <f>ROUND('Harga Dasar'!$D$62*(1+Petunjuk!$C$15),-2)</f>
        <v/>
      </c>
      <c r="F197" s="12">
        <f>C197*E197</f>
        <v/>
      </c>
      <c r="G197" s="9" t="inlineStr"/>
    </row>
    <row r="198">
      <c r="A198" s="8" t="n">
        <v>33</v>
      </c>
      <c r="B198" s="9" t="inlineStr">
        <is>
          <t>Daya mesin (mixer) + stop kontak</t>
        </is>
      </c>
      <c r="C198" s="32">
        <f>4</f>
        <v/>
      </c>
      <c r="D198" s="8" t="inlineStr">
        <is>
          <t>titik</t>
        </is>
      </c>
      <c r="E198" s="11">
        <f>ROUND('Harga Dasar'!$D$61*(1+Petunjuk!$C$15),-2)</f>
        <v/>
      </c>
      <c r="F198" s="12">
        <f>C198*E198</f>
        <v/>
      </c>
      <c r="G198" s="9" t="inlineStr"/>
    </row>
    <row r="199">
      <c r="A199" s="14" t="inlineStr"/>
      <c r="B199" s="15" t="inlineStr">
        <is>
          <t>Jumlah rumah pakan (olah &amp; campur)</t>
        </is>
      </c>
      <c r="C199" s="14" t="inlineStr"/>
      <c r="D199" s="14" t="inlineStr"/>
      <c r="E199" s="14" t="inlineStr"/>
      <c r="F199" s="16">
        <f>SUM(F162:F198)</f>
        <v/>
      </c>
      <c r="G199" s="14" t="inlineStr"/>
    </row>
    <row r="201">
      <c r="A201" s="33" t="inlineStr"/>
      <c r="B201" s="26" t="inlineStr">
        <is>
          <t>GUDANG PAKAN JADI  (20 x 10 m)</t>
        </is>
      </c>
      <c r="C201" s="33" t="inlineStr"/>
      <c r="D201" s="33" t="inlineStr"/>
      <c r="E201" s="33" t="inlineStr"/>
      <c r="F201" s="33" t="inlineStr"/>
      <c r="G201" s="33" t="inlineStr"/>
    </row>
    <row r="202">
      <c r="A202" s="29" t="inlineStr"/>
      <c r="B202" s="30" t="inlineStr">
        <is>
          <t>I. PERSIAPAN DAN TANAH</t>
        </is>
      </c>
      <c r="C202" s="29" t="inlineStr"/>
      <c r="D202" s="29" t="inlineStr"/>
      <c r="E202" s="29" t="inlineStr"/>
      <c r="F202" s="29" t="inlineStr"/>
      <c r="G202" s="29" t="inlineStr"/>
    </row>
    <row r="203">
      <c r="A203" s="8" t="n">
        <v>1</v>
      </c>
      <c r="B203" s="9" t="inlineStr">
        <is>
          <t>Perataan lokasi dan peil</t>
        </is>
      </c>
      <c r="C203" s="32">
        <f>(20.0+4)*(10.0+4)</f>
        <v/>
      </c>
      <c r="D203" s="8" t="inlineStr">
        <is>
          <t>m²</t>
        </is>
      </c>
      <c r="E203" s="11">
        <f>AHSP!$F$9</f>
        <v/>
      </c>
      <c r="F203" s="12">
        <f>C203*E203</f>
        <v/>
      </c>
      <c r="G203" s="9" t="inlineStr">
        <is>
          <t>(panjang + 4) x (lebar + 4)</t>
        </is>
      </c>
    </row>
    <row r="204">
      <c r="A204" s="8" t="n">
        <v>2</v>
      </c>
      <c r="B204" s="9" t="inlineStr">
        <is>
          <t>Pengukuran dan bouwplank</t>
        </is>
      </c>
      <c r="C204" s="32">
        <f>2*(20.0+4+10.0+4)</f>
        <v/>
      </c>
      <c r="D204" s="8" t="inlineStr">
        <is>
          <t>m'</t>
        </is>
      </c>
      <c r="E204" s="11">
        <f>AHSP!$F$20</f>
        <v/>
      </c>
      <c r="F204" s="12">
        <f>C204*E204</f>
        <v/>
      </c>
      <c r="G204" s="9" t="inlineStr">
        <is>
          <t>keliling + 2 m</t>
        </is>
      </c>
    </row>
    <row r="205">
      <c r="A205" s="8" t="n">
        <v>3</v>
      </c>
      <c r="B205" s="9" t="inlineStr">
        <is>
          <t>Galian footplat 100x100x70</t>
        </is>
      </c>
      <c r="C205" s="32">
        <f>14*0.7</f>
        <v/>
      </c>
      <c r="D205" s="8" t="inlineStr">
        <is>
          <t>m³</t>
        </is>
      </c>
      <c r="E205" s="11">
        <f>AHSP!$F$27</f>
        <v/>
      </c>
      <c r="F205" s="12">
        <f>C205*E205</f>
        <v/>
      </c>
      <c r="G205" s="9" t="inlineStr">
        <is>
          <t>14 titik</t>
        </is>
      </c>
    </row>
    <row r="206">
      <c r="A206" s="8" t="n">
        <v>4</v>
      </c>
      <c r="B206" s="9" t="inlineStr">
        <is>
          <t>Urugan kembali</t>
        </is>
      </c>
      <c r="C206" s="32">
        <f>14*0.5015</f>
        <v/>
      </c>
      <c r="D206" s="8" t="inlineStr">
        <is>
          <t>m³</t>
        </is>
      </c>
      <c r="E206" s="11">
        <f>AHSP!$F$34</f>
        <v/>
      </c>
      <c r="F206" s="12">
        <f>C206*E206</f>
        <v/>
      </c>
      <c r="G206" s="9" t="inlineStr">
        <is>
          <t>sisa galian</t>
        </is>
      </c>
    </row>
    <row r="207">
      <c r="A207" s="8" t="n">
        <v>5</v>
      </c>
      <c r="B207" s="9" t="inlineStr">
        <is>
          <t>Urugan tanah peninggian dipadatkan</t>
        </is>
      </c>
      <c r="C207" s="32">
        <f>195.523*0.15</f>
        <v/>
      </c>
      <c r="D207" s="8" t="inlineStr">
        <is>
          <t>m³</t>
        </is>
      </c>
      <c r="E207" s="11">
        <f>AHSP!$F$42</f>
        <v/>
      </c>
      <c r="F207" s="12">
        <f>C207*E207</f>
        <v/>
      </c>
      <c r="G207" s="9" t="inlineStr">
        <is>
          <t>luas dalam x 0.15</t>
        </is>
      </c>
    </row>
    <row r="208">
      <c r="A208" s="8" t="n">
        <v>6</v>
      </c>
      <c r="B208" s="9" t="inlineStr">
        <is>
          <t>Urugan pasir bawah lantai, footplat, sloof</t>
        </is>
      </c>
      <c r="C208" s="32">
        <f>195.523*0.05+14*0.05+60.0*0.25*0.05</f>
        <v/>
      </c>
      <c r="D208" s="8" t="inlineStr">
        <is>
          <t>m³</t>
        </is>
      </c>
      <c r="E208" s="11">
        <f>AHSP!$F$50</f>
        <v/>
      </c>
      <c r="F208" s="12">
        <f>C208*E208</f>
        <v/>
      </c>
      <c r="G208" s="9" t="inlineStr"/>
    </row>
    <row r="209">
      <c r="A209" s="29" t="inlineStr"/>
      <c r="B209" s="30" t="inlineStr">
        <is>
          <t>II. STRUKTUR BETON</t>
        </is>
      </c>
      <c r="C209" s="29" t="inlineStr"/>
      <c r="D209" s="29" t="inlineStr"/>
      <c r="E209" s="29" t="inlineStr"/>
      <c r="F209" s="29" t="inlineStr"/>
      <c r="G209" s="29" t="inlineStr"/>
    </row>
    <row r="210">
      <c r="A210" s="8" t="n">
        <v>7</v>
      </c>
      <c r="B210" s="9" t="inlineStr">
        <is>
          <t>Lantai kerja K-100</t>
        </is>
      </c>
      <c r="C210" s="32">
        <f>14*0.0405</f>
        <v/>
      </c>
      <c r="D210" s="8" t="inlineStr">
        <is>
          <t>m³</t>
        </is>
      </c>
      <c r="E210" s="11">
        <f>AHSP!$F$93</f>
        <v/>
      </c>
      <c r="F210" s="12">
        <f>C210*E210</f>
        <v/>
      </c>
      <c r="G210" s="9" t="inlineStr"/>
    </row>
    <row r="211">
      <c r="A211" s="8" t="n">
        <v>8</v>
      </c>
      <c r="B211" s="9" t="inlineStr">
        <is>
          <t>Beton K-225 footplat 70x70x20</t>
        </is>
      </c>
      <c r="C211" s="32">
        <f>14*0.098</f>
        <v/>
      </c>
      <c r="D211" s="8" t="inlineStr">
        <is>
          <t>m³</t>
        </is>
      </c>
      <c r="E211" s="11">
        <f>AHSP!$F$117</f>
        <v/>
      </c>
      <c r="F211" s="12">
        <f>C211*E211</f>
        <v/>
      </c>
      <c r="G211" s="9" t="inlineStr"/>
    </row>
    <row r="212">
      <c r="A212" s="8" t="n">
        <v>9</v>
      </c>
      <c r="B212" s="9" t="inlineStr">
        <is>
          <t>Beton K-225 kolom 15/15 tinggi 3,70</t>
        </is>
      </c>
      <c r="C212" s="32">
        <f>14*0.0225*3.7</f>
        <v/>
      </c>
      <c r="D212" s="8" t="inlineStr">
        <is>
          <t>m³</t>
        </is>
      </c>
      <c r="E212" s="11">
        <f>AHSP!$F$117</f>
        <v/>
      </c>
      <c r="F212" s="12">
        <f>C212*E212</f>
        <v/>
      </c>
      <c r="G212" s="9" t="inlineStr">
        <is>
          <t>pedestal + kolom sampai +300</t>
        </is>
      </c>
    </row>
    <row r="213">
      <c r="A213" s="8" t="n">
        <v>10</v>
      </c>
      <c r="B213" s="9" t="inlineStr">
        <is>
          <t>Beton K-225 sloof 15/25</t>
        </is>
      </c>
      <c r="C213" s="32">
        <f>57.90*0.0375</f>
        <v/>
      </c>
      <c r="D213" s="8" t="inlineStr">
        <is>
          <t>m³</t>
        </is>
      </c>
      <c r="E213" s="11">
        <f>AHSP!$F$117</f>
        <v/>
      </c>
      <c r="F213" s="12">
        <f>C213*E213</f>
        <v/>
      </c>
      <c r="G213" s="9" t="inlineStr"/>
    </row>
    <row r="214">
      <c r="A214" s="8" t="n">
        <v>11</v>
      </c>
      <c r="B214" s="9" t="inlineStr">
        <is>
          <t>Beton K-225 ring balk 15/20</t>
        </is>
      </c>
      <c r="C214" s="32">
        <f>57.90*0.03</f>
        <v/>
      </c>
      <c r="D214" s="8" t="inlineStr">
        <is>
          <t>m³</t>
        </is>
      </c>
      <c r="E214" s="11">
        <f>AHSP!$F$117</f>
        <v/>
      </c>
      <c r="F214" s="12">
        <f>C214*E214</f>
        <v/>
      </c>
      <c r="G214" s="9" t="inlineStr"/>
    </row>
    <row r="215">
      <c r="A215" s="8" t="n">
        <v>12</v>
      </c>
      <c r="B215" s="9" t="inlineStr">
        <is>
          <t>Pembesian</t>
        </is>
      </c>
      <c r="C215" s="32">
        <f>14*4.44+14*15.65+57.90*4.558+57.90*4.295</f>
        <v/>
      </c>
      <c r="D215" s="8" t="inlineStr">
        <is>
          <t>kg</t>
        </is>
      </c>
      <c r="E215" s="11">
        <f>AHSP!$F$128</f>
        <v/>
      </c>
      <c r="F215" s="12">
        <f>C215*E215</f>
        <v/>
      </c>
      <c r="G215" s="9" t="inlineStr">
        <is>
          <t>footplat + kolom + sloof + ring balk</t>
        </is>
      </c>
    </row>
    <row r="216">
      <c r="A216" s="8" t="n">
        <v>13</v>
      </c>
      <c r="B216" s="9" t="inlineStr">
        <is>
          <t>Bekisting</t>
        </is>
      </c>
      <c r="C216" s="32">
        <f>14*0.56+14*0.6*3.7+57.90*0.5+57.90*0.55</f>
        <v/>
      </c>
      <c r="D216" s="8" t="inlineStr">
        <is>
          <t>m²</t>
        </is>
      </c>
      <c r="E216" s="11">
        <f>AHSP!$F$140</f>
        <v/>
      </c>
      <c r="F216" s="12">
        <f>C216*E216</f>
        <v/>
      </c>
      <c r="G216" s="9" t="inlineStr"/>
    </row>
    <row r="217">
      <c r="A217" s="29" t="inlineStr"/>
      <c r="B217" s="30" t="inlineStr">
        <is>
          <t>III. DINDING, LANTAI, ATAP</t>
        </is>
      </c>
      <c r="C217" s="29" t="inlineStr"/>
      <c r="D217" s="29" t="inlineStr"/>
      <c r="E217" s="29" t="inlineStr"/>
      <c r="F217" s="29" t="inlineStr"/>
      <c r="G217" s="29" t="inlineStr"/>
    </row>
    <row r="218">
      <c r="A218" s="8" t="n">
        <v>14</v>
      </c>
      <c r="B218" s="9" t="inlineStr">
        <is>
          <t>Pasangan bata 1/2 bata</t>
        </is>
      </c>
      <c r="C218" s="32">
        <f>151.38</f>
        <v/>
      </c>
      <c r="D218" s="8" t="inlineStr">
        <is>
          <t>m²</t>
        </is>
      </c>
      <c r="E218" s="11">
        <f>AHSP!$F$152</f>
        <v/>
      </c>
      <c r="F218" s="12">
        <f>C218*E218</f>
        <v/>
      </c>
      <c r="G218" s="9" t="inlineStr">
        <is>
          <t>dinding luar h 3 m, dikurangi bukaan</t>
        </is>
      </c>
    </row>
    <row r="219">
      <c r="A219" s="8" t="n">
        <v>15</v>
      </c>
      <c r="B219" s="9" t="inlineStr">
        <is>
          <t>Plesteran dua sisi</t>
        </is>
      </c>
      <c r="C219" s="32">
        <f>2*151.38</f>
        <v/>
      </c>
      <c r="D219" s="8" t="inlineStr">
        <is>
          <t>m²</t>
        </is>
      </c>
      <c r="E219" s="11">
        <f>AHSP!$F$163</f>
        <v/>
      </c>
      <c r="F219" s="12">
        <f>C219*E219</f>
        <v/>
      </c>
      <c r="G219" s="9" t="inlineStr"/>
    </row>
    <row r="220">
      <c r="A220" s="8" t="n">
        <v>16</v>
      </c>
      <c r="B220" s="9" t="inlineStr">
        <is>
          <t>Acian sisi luar</t>
        </is>
      </c>
      <c r="C220" s="32">
        <f>1*151.38</f>
        <v/>
      </c>
      <c r="D220" s="8" t="inlineStr">
        <is>
          <t>m²</t>
        </is>
      </c>
      <c r="E220" s="11">
        <f>AHSP!$F$173</f>
        <v/>
      </c>
      <c r="F220" s="12">
        <f>C220*E220</f>
        <v/>
      </c>
      <c r="G220" s="9" t="inlineStr"/>
    </row>
    <row r="221">
      <c r="A221" s="8" t="n">
        <v>17</v>
      </c>
      <c r="B221" s="9" t="inlineStr">
        <is>
          <t>Pengecatan sisi luar</t>
        </is>
      </c>
      <c r="C221" s="32">
        <f>1*151.38</f>
        <v/>
      </c>
      <c r="D221" s="8" t="inlineStr">
        <is>
          <t>m²</t>
        </is>
      </c>
      <c r="E221" s="11">
        <f>AHSP!$F$184</f>
        <v/>
      </c>
      <c r="F221" s="12">
        <f>C221*E221</f>
        <v/>
      </c>
      <c r="G221" s="9" t="inlineStr"/>
    </row>
    <row r="222">
      <c r="A222" s="8" t="n">
        <v>18</v>
      </c>
      <c r="B222" s="9" t="inlineStr">
        <is>
          <t>Lantai beton K-175 t=10</t>
        </is>
      </c>
      <c r="C222" s="32">
        <f>195.523*0.1</f>
        <v/>
      </c>
      <c r="D222" s="8" t="inlineStr">
        <is>
          <t>m³</t>
        </is>
      </c>
      <c r="E222" s="11">
        <f>AHSP!$F$105</f>
        <v/>
      </c>
      <c r="F222" s="12">
        <f>C222*E222</f>
        <v/>
      </c>
      <c r="G222" s="9" t="inlineStr"/>
    </row>
    <row r="223">
      <c r="A223" s="8" t="n">
        <v>19</v>
      </c>
      <c r="B223" s="9" t="inlineStr">
        <is>
          <t>Rangka atap baja ringan</t>
        </is>
      </c>
      <c r="C223" s="32">
        <f>268.78</f>
        <v/>
      </c>
      <c r="D223" s="8" t="inlineStr">
        <is>
          <t>m²</t>
        </is>
      </c>
      <c r="E223" s="11">
        <f>AHSP!$F$218</f>
        <v/>
      </c>
      <c r="F223" s="12">
        <f>C223*E223</f>
        <v/>
      </c>
      <c r="G223" s="9" t="inlineStr">
        <is>
          <t>kemiringan sisi utara + selatan (termasuk teras) x (panjang + 1)</t>
        </is>
      </c>
    </row>
    <row r="224">
      <c r="A224" s="8" t="n">
        <v>20</v>
      </c>
      <c r="B224" s="9" t="inlineStr">
        <is>
          <t>Penutup atap galvalum</t>
        </is>
      </c>
      <c r="C224" s="32">
        <f>268.78</f>
        <v/>
      </c>
      <c r="D224" s="8" t="inlineStr">
        <is>
          <t>m²</t>
        </is>
      </c>
      <c r="E224" s="11">
        <f>AHSP!$F$229</f>
        <v/>
      </c>
      <c r="F224" s="12">
        <f>C224*E224</f>
        <v/>
      </c>
      <c r="G224" s="9" t="inlineStr"/>
    </row>
    <row r="225">
      <c r="A225" s="8" t="n">
        <v>21</v>
      </c>
      <c r="B225" s="9" t="inlineStr">
        <is>
          <t>Nok</t>
        </is>
      </c>
      <c r="C225" s="32">
        <f>20.0+1</f>
        <v/>
      </c>
      <c r="D225" s="8" t="inlineStr">
        <is>
          <t>m'</t>
        </is>
      </c>
      <c r="E225" s="11">
        <f>AHSP!$F$238</f>
        <v/>
      </c>
      <c r="F225" s="12">
        <f>C225*E225</f>
        <v/>
      </c>
      <c r="G225" s="9" t="inlineStr"/>
    </row>
    <row r="226">
      <c r="A226" s="8" t="n">
        <v>22</v>
      </c>
      <c r="B226" s="9" t="inlineStr">
        <is>
          <t>Lisplang/flashing</t>
        </is>
      </c>
      <c r="C226" s="32">
        <f>2*(20.0+1)+4*6.40</f>
        <v/>
      </c>
      <c r="D226" s="8" t="inlineStr">
        <is>
          <t>m'</t>
        </is>
      </c>
      <c r="E226" s="11">
        <f>AHSP!$F$247</f>
        <v/>
      </c>
      <c r="F226" s="12">
        <f>C226*E226</f>
        <v/>
      </c>
      <c r="G226" s="9" t="inlineStr"/>
    </row>
    <row r="227">
      <c r="A227" s="8" t="n">
        <v>23</v>
      </c>
      <c r="B227" s="9" t="inlineStr">
        <is>
          <t>Penutup gevel kawat harmonika</t>
        </is>
      </c>
      <c r="C227" s="32">
        <f>23.32</f>
        <v/>
      </c>
      <c r="D227" s="8" t="inlineStr">
        <is>
          <t>m²</t>
        </is>
      </c>
      <c r="E227" s="11">
        <f>AHSP!$F$270</f>
        <v/>
      </c>
      <c r="F227" s="12">
        <f>C227*E227</f>
        <v/>
      </c>
      <c r="G227" s="9" t="inlineStr">
        <is>
          <t>2 segitiga di atas ring balk</t>
        </is>
      </c>
    </row>
    <row r="228">
      <c r="A228" s="29" t="inlineStr"/>
      <c r="B228" s="30" t="inlineStr">
        <is>
          <t>IV. PINTU, JENDELA DAN UTILITAS</t>
        </is>
      </c>
      <c r="C228" s="29" t="inlineStr"/>
      <c r="D228" s="29" t="inlineStr"/>
      <c r="E228" s="29" t="inlineStr"/>
      <c r="F228" s="29" t="inlineStr"/>
      <c r="G228" s="29" t="inlineStr"/>
    </row>
    <row r="229">
      <c r="A229" s="8" t="n">
        <v>24</v>
      </c>
      <c r="B229" s="9" t="inlineStr">
        <is>
          <t>Finishing lantai</t>
        </is>
      </c>
      <c r="C229" s="32">
        <f>195.523</f>
        <v/>
      </c>
      <c r="D229" s="8" t="inlineStr">
        <is>
          <t>m²</t>
        </is>
      </c>
      <c r="E229" s="11">
        <f>AHSP!$F$192</f>
        <v/>
      </c>
      <c r="F229" s="12">
        <f>C229*E229</f>
        <v/>
      </c>
      <c r="G229" s="9" t="inlineStr"/>
    </row>
    <row r="230">
      <c r="A230" s="8" t="n">
        <v>25</v>
      </c>
      <c r="B230" s="9" t="inlineStr">
        <is>
          <t>Pintu geser 300x300 rangka hollow + plat galvalum</t>
        </is>
      </c>
      <c r="C230" s="32">
        <f>2*3.0*3.0</f>
        <v/>
      </c>
      <c r="D230" s="8" t="inlineStr">
        <is>
          <t>m²</t>
        </is>
      </c>
      <c r="E230" s="11">
        <f>AHSP!$F$328</f>
        <v/>
      </c>
      <c r="F230" s="12">
        <f>C230*E230</f>
        <v/>
      </c>
      <c r="G230" s="9" t="inlineStr"/>
    </row>
    <row r="231">
      <c r="A231" s="8" t="n">
        <v>26</v>
      </c>
      <c r="B231" s="9" t="inlineStr">
        <is>
          <t>Ventilasi/jendela kawat + teralis</t>
        </is>
      </c>
      <c r="C231" s="32">
        <f>6*0.72</f>
        <v/>
      </c>
      <c r="D231" s="8" t="inlineStr">
        <is>
          <t>m²</t>
        </is>
      </c>
      <c r="E231" s="11">
        <f>AHSP!$F$328</f>
        <v/>
      </c>
      <c r="F231" s="12">
        <f>C231*E231</f>
        <v/>
      </c>
      <c r="G231" s="9" t="inlineStr"/>
    </row>
    <row r="232">
      <c r="A232" s="8" t="n">
        <v>27</v>
      </c>
      <c r="B232" s="9" t="inlineStr">
        <is>
          <t>Titik lampu</t>
        </is>
      </c>
      <c r="C232" s="32">
        <f>4</f>
        <v/>
      </c>
      <c r="D232" s="8" t="inlineStr">
        <is>
          <t>titik</t>
        </is>
      </c>
      <c r="E232" s="11">
        <f>ROUND('Harga Dasar'!$D$60*(1+Petunjuk!$C$15),-2)</f>
        <v/>
      </c>
      <c r="F232" s="12">
        <f>C232*E232</f>
        <v/>
      </c>
      <c r="G232" s="9" t="inlineStr"/>
    </row>
    <row r="233">
      <c r="A233" s="14" t="inlineStr"/>
      <c r="B233" s="15" t="inlineStr">
        <is>
          <t>Jumlah gudang pakan jadi</t>
        </is>
      </c>
      <c r="C233" s="14" t="inlineStr"/>
      <c r="D233" s="14" t="inlineStr"/>
      <c r="E233" s="14" t="inlineStr"/>
      <c r="F233" s="16">
        <f>SUM(F202:F232)</f>
        <v/>
      </c>
      <c r="G233" s="14" t="inlineStr"/>
    </row>
    <row r="235">
      <c r="A235" s="33" t="inlineStr"/>
      <c r="B235" s="26" t="inlineStr">
        <is>
          <t>GUDANG JAGUNG  (20 x 12 m)</t>
        </is>
      </c>
      <c r="C235" s="33" t="inlineStr"/>
      <c r="D235" s="33" t="inlineStr"/>
      <c r="E235" s="33" t="inlineStr"/>
      <c r="F235" s="33" t="inlineStr"/>
      <c r="G235" s="33" t="inlineStr"/>
    </row>
    <row r="236">
      <c r="A236" s="29" t="inlineStr"/>
      <c r="B236" s="30" t="inlineStr">
        <is>
          <t>I. PERSIAPAN DAN TANAH</t>
        </is>
      </c>
      <c r="C236" s="29" t="inlineStr"/>
      <c r="D236" s="29" t="inlineStr"/>
      <c r="E236" s="29" t="inlineStr"/>
      <c r="F236" s="29" t="inlineStr"/>
      <c r="G236" s="29" t="inlineStr"/>
    </row>
    <row r="237">
      <c r="A237" s="8" t="n">
        <v>1</v>
      </c>
      <c r="B237" s="9" t="inlineStr">
        <is>
          <t>Perataan lokasi dan peil</t>
        </is>
      </c>
      <c r="C237" s="32">
        <f>(20.0+4)*(12.0+4)</f>
        <v/>
      </c>
      <c r="D237" s="8" t="inlineStr">
        <is>
          <t>m²</t>
        </is>
      </c>
      <c r="E237" s="11">
        <f>AHSP!$F$9</f>
        <v/>
      </c>
      <c r="F237" s="12">
        <f>C237*E237</f>
        <v/>
      </c>
      <c r="G237" s="9" t="inlineStr">
        <is>
          <t>(panjang + 4) x (lebar + 4)</t>
        </is>
      </c>
    </row>
    <row r="238">
      <c r="A238" s="8" t="n">
        <v>2</v>
      </c>
      <c r="B238" s="9" t="inlineStr">
        <is>
          <t>Pengukuran dan bouwplank</t>
        </is>
      </c>
      <c r="C238" s="32">
        <f>2*(20.0+4+12.0+4)</f>
        <v/>
      </c>
      <c r="D238" s="8" t="inlineStr">
        <is>
          <t>m'</t>
        </is>
      </c>
      <c r="E238" s="11">
        <f>AHSP!$F$20</f>
        <v/>
      </c>
      <c r="F238" s="12">
        <f>C238*E238</f>
        <v/>
      </c>
      <c r="G238" s="9" t="inlineStr">
        <is>
          <t>keliling + 2 m</t>
        </is>
      </c>
    </row>
    <row r="239">
      <c r="A239" s="8" t="n">
        <v>3</v>
      </c>
      <c r="B239" s="9" t="inlineStr">
        <is>
          <t>Galian footplat 100x100x70</t>
        </is>
      </c>
      <c r="C239" s="32">
        <f>14*0.7</f>
        <v/>
      </c>
      <c r="D239" s="8" t="inlineStr">
        <is>
          <t>m³</t>
        </is>
      </c>
      <c r="E239" s="11">
        <f>AHSP!$F$27</f>
        <v/>
      </c>
      <c r="F239" s="12">
        <f>C239*E239</f>
        <v/>
      </c>
      <c r="G239" s="9" t="inlineStr">
        <is>
          <t>14 titik</t>
        </is>
      </c>
    </row>
    <row r="240">
      <c r="A240" s="8" t="n">
        <v>4</v>
      </c>
      <c r="B240" s="9" t="inlineStr">
        <is>
          <t>Urugan kembali</t>
        </is>
      </c>
      <c r="C240" s="32">
        <f>14*0.5015</f>
        <v/>
      </c>
      <c r="D240" s="8" t="inlineStr">
        <is>
          <t>m³</t>
        </is>
      </c>
      <c r="E240" s="11">
        <f>AHSP!$F$34</f>
        <v/>
      </c>
      <c r="F240" s="12">
        <f>C240*E240</f>
        <v/>
      </c>
      <c r="G240" s="9" t="inlineStr">
        <is>
          <t>sisa galian</t>
        </is>
      </c>
    </row>
    <row r="241">
      <c r="A241" s="8" t="n">
        <v>5</v>
      </c>
      <c r="B241" s="9" t="inlineStr">
        <is>
          <t>Urugan tanah peninggian dipadatkan</t>
        </is>
      </c>
      <c r="C241" s="32">
        <f>235.222*0.15</f>
        <v/>
      </c>
      <c r="D241" s="8" t="inlineStr">
        <is>
          <t>m³</t>
        </is>
      </c>
      <c r="E241" s="11">
        <f>AHSP!$F$42</f>
        <v/>
      </c>
      <c r="F241" s="12">
        <f>C241*E241</f>
        <v/>
      </c>
      <c r="G241" s="9" t="inlineStr">
        <is>
          <t>luas dalam x 0.15</t>
        </is>
      </c>
    </row>
    <row r="242">
      <c r="A242" s="8" t="n">
        <v>6</v>
      </c>
      <c r="B242" s="9" t="inlineStr">
        <is>
          <t>Urugan pasir bawah lantai, footplat, sloof</t>
        </is>
      </c>
      <c r="C242" s="32">
        <f>235.222*0.05+14*0.05+64.0*0.25*0.05</f>
        <v/>
      </c>
      <c r="D242" s="8" t="inlineStr">
        <is>
          <t>m³</t>
        </is>
      </c>
      <c r="E242" s="11">
        <f>AHSP!$F$50</f>
        <v/>
      </c>
      <c r="F242" s="12">
        <f>C242*E242</f>
        <v/>
      </c>
      <c r="G242" s="9" t="inlineStr"/>
    </row>
    <row r="243">
      <c r="A243" s="29" t="inlineStr"/>
      <c r="B243" s="30" t="inlineStr">
        <is>
          <t>II. STRUKTUR BETON</t>
        </is>
      </c>
      <c r="C243" s="29" t="inlineStr"/>
      <c r="D243" s="29" t="inlineStr"/>
      <c r="E243" s="29" t="inlineStr"/>
      <c r="F243" s="29" t="inlineStr"/>
      <c r="G243" s="29" t="inlineStr"/>
    </row>
    <row r="244">
      <c r="A244" s="8" t="n">
        <v>7</v>
      </c>
      <c r="B244" s="9" t="inlineStr">
        <is>
          <t>Lantai kerja K-100</t>
        </is>
      </c>
      <c r="C244" s="32">
        <f>14*0.0405</f>
        <v/>
      </c>
      <c r="D244" s="8" t="inlineStr">
        <is>
          <t>m³</t>
        </is>
      </c>
      <c r="E244" s="11">
        <f>AHSP!$F$93</f>
        <v/>
      </c>
      <c r="F244" s="12">
        <f>C244*E244</f>
        <v/>
      </c>
      <c r="G244" s="9" t="inlineStr"/>
    </row>
    <row r="245">
      <c r="A245" s="8" t="n">
        <v>8</v>
      </c>
      <c r="B245" s="9" t="inlineStr">
        <is>
          <t>Beton K-225 footplat 70x70x20</t>
        </is>
      </c>
      <c r="C245" s="32">
        <f>14*0.098</f>
        <v/>
      </c>
      <c r="D245" s="8" t="inlineStr">
        <is>
          <t>m³</t>
        </is>
      </c>
      <c r="E245" s="11">
        <f>AHSP!$F$117</f>
        <v/>
      </c>
      <c r="F245" s="12">
        <f>C245*E245</f>
        <v/>
      </c>
      <c r="G245" s="9" t="inlineStr"/>
    </row>
    <row r="246">
      <c r="A246" s="8" t="n">
        <v>9</v>
      </c>
      <c r="B246" s="9" t="inlineStr">
        <is>
          <t>Beton K-225 kolom 15/15 tinggi 3,70</t>
        </is>
      </c>
      <c r="C246" s="32">
        <f>14*0.0225*3.7</f>
        <v/>
      </c>
      <c r="D246" s="8" t="inlineStr">
        <is>
          <t>m³</t>
        </is>
      </c>
      <c r="E246" s="11">
        <f>AHSP!$F$117</f>
        <v/>
      </c>
      <c r="F246" s="12">
        <f>C246*E246</f>
        <v/>
      </c>
      <c r="G246" s="9" t="inlineStr">
        <is>
          <t>pedestal + kolom sampai +300</t>
        </is>
      </c>
    </row>
    <row r="247">
      <c r="A247" s="8" t="n">
        <v>10</v>
      </c>
      <c r="B247" s="9" t="inlineStr">
        <is>
          <t>Beton K-225 sloof 15/25</t>
        </is>
      </c>
      <c r="C247" s="32">
        <f>61.90*0.0375</f>
        <v/>
      </c>
      <c r="D247" s="8" t="inlineStr">
        <is>
          <t>m³</t>
        </is>
      </c>
      <c r="E247" s="11">
        <f>AHSP!$F$117</f>
        <v/>
      </c>
      <c r="F247" s="12">
        <f>C247*E247</f>
        <v/>
      </c>
      <c r="G247" s="9" t="inlineStr"/>
    </row>
    <row r="248">
      <c r="A248" s="8" t="n">
        <v>11</v>
      </c>
      <c r="B248" s="9" t="inlineStr">
        <is>
          <t>Beton K-225 ring balk 15/20</t>
        </is>
      </c>
      <c r="C248" s="32">
        <f>61.90*0.03</f>
        <v/>
      </c>
      <c r="D248" s="8" t="inlineStr">
        <is>
          <t>m³</t>
        </is>
      </c>
      <c r="E248" s="11">
        <f>AHSP!$F$117</f>
        <v/>
      </c>
      <c r="F248" s="12">
        <f>C248*E248</f>
        <v/>
      </c>
      <c r="G248" s="9" t="inlineStr"/>
    </row>
    <row r="249">
      <c r="A249" s="8" t="n">
        <v>12</v>
      </c>
      <c r="B249" s="9" t="inlineStr">
        <is>
          <t>Pembesian</t>
        </is>
      </c>
      <c r="C249" s="32">
        <f>14*4.44+14*15.65+61.90*4.558+61.90*4.295</f>
        <v/>
      </c>
      <c r="D249" s="8" t="inlineStr">
        <is>
          <t>kg</t>
        </is>
      </c>
      <c r="E249" s="11">
        <f>AHSP!$F$128</f>
        <v/>
      </c>
      <c r="F249" s="12">
        <f>C249*E249</f>
        <v/>
      </c>
      <c r="G249" s="9" t="inlineStr">
        <is>
          <t>footplat + kolom + sloof + ring balk</t>
        </is>
      </c>
    </row>
    <row r="250">
      <c r="A250" s="8" t="n">
        <v>13</v>
      </c>
      <c r="B250" s="9" t="inlineStr">
        <is>
          <t>Bekisting</t>
        </is>
      </c>
      <c r="C250" s="32">
        <f>14*0.56+14*0.6*3.7+61.90*0.5+61.90*0.55</f>
        <v/>
      </c>
      <c r="D250" s="8" t="inlineStr">
        <is>
          <t>m²</t>
        </is>
      </c>
      <c r="E250" s="11">
        <f>AHSP!$F$140</f>
        <v/>
      </c>
      <c r="F250" s="12">
        <f>C250*E250</f>
        <v/>
      </c>
      <c r="G250" s="9" t="inlineStr"/>
    </row>
    <row r="251">
      <c r="A251" s="29" t="inlineStr"/>
      <c r="B251" s="30" t="inlineStr">
        <is>
          <t>III. DINDING, LANTAI, ATAP</t>
        </is>
      </c>
      <c r="C251" s="29" t="inlineStr"/>
      <c r="D251" s="29" t="inlineStr"/>
      <c r="E251" s="29" t="inlineStr"/>
      <c r="F251" s="29" t="inlineStr"/>
      <c r="G251" s="29" t="inlineStr"/>
    </row>
    <row r="252">
      <c r="A252" s="8" t="n">
        <v>14</v>
      </c>
      <c r="B252" s="9" t="inlineStr">
        <is>
          <t>Pasangan bata 1/2 bata</t>
        </is>
      </c>
      <c r="C252" s="32">
        <f>160.50</f>
        <v/>
      </c>
      <c r="D252" s="8" t="inlineStr">
        <is>
          <t>m²</t>
        </is>
      </c>
      <c r="E252" s="11">
        <f>AHSP!$F$152</f>
        <v/>
      </c>
      <c r="F252" s="12">
        <f>C252*E252</f>
        <v/>
      </c>
      <c r="G252" s="9" t="inlineStr">
        <is>
          <t>dinding luar h 3 m, dikurangi bukaan</t>
        </is>
      </c>
    </row>
    <row r="253">
      <c r="A253" s="8" t="n">
        <v>15</v>
      </c>
      <c r="B253" s="9" t="inlineStr">
        <is>
          <t>Plesteran dua sisi</t>
        </is>
      </c>
      <c r="C253" s="32">
        <f>2*160.50</f>
        <v/>
      </c>
      <c r="D253" s="8" t="inlineStr">
        <is>
          <t>m²</t>
        </is>
      </c>
      <c r="E253" s="11">
        <f>AHSP!$F$163</f>
        <v/>
      </c>
      <c r="F253" s="12">
        <f>C253*E253</f>
        <v/>
      </c>
      <c r="G253" s="9" t="inlineStr"/>
    </row>
    <row r="254">
      <c r="A254" s="8" t="n">
        <v>16</v>
      </c>
      <c r="B254" s="9" t="inlineStr">
        <is>
          <t>Acian sisi luar</t>
        </is>
      </c>
      <c r="C254" s="32">
        <f>1*160.50</f>
        <v/>
      </c>
      <c r="D254" s="8" t="inlineStr">
        <is>
          <t>m²</t>
        </is>
      </c>
      <c r="E254" s="11">
        <f>AHSP!$F$173</f>
        <v/>
      </c>
      <c r="F254" s="12">
        <f>C254*E254</f>
        <v/>
      </c>
      <c r="G254" s="9" t="inlineStr"/>
    </row>
    <row r="255">
      <c r="A255" s="8" t="n">
        <v>17</v>
      </c>
      <c r="B255" s="9" t="inlineStr">
        <is>
          <t>Pengecatan sisi luar</t>
        </is>
      </c>
      <c r="C255" s="32">
        <f>1*160.50</f>
        <v/>
      </c>
      <c r="D255" s="8" t="inlineStr">
        <is>
          <t>m²</t>
        </is>
      </c>
      <c r="E255" s="11">
        <f>AHSP!$F$184</f>
        <v/>
      </c>
      <c r="F255" s="12">
        <f>C255*E255</f>
        <v/>
      </c>
      <c r="G255" s="9" t="inlineStr"/>
    </row>
    <row r="256">
      <c r="A256" s="8" t="n">
        <v>18</v>
      </c>
      <c r="B256" s="9" t="inlineStr">
        <is>
          <t>Lantai beton K-175 t=10</t>
        </is>
      </c>
      <c r="C256" s="32">
        <f>235.222*0.1</f>
        <v/>
      </c>
      <c r="D256" s="8" t="inlineStr">
        <is>
          <t>m³</t>
        </is>
      </c>
      <c r="E256" s="11">
        <f>AHSP!$F$105</f>
        <v/>
      </c>
      <c r="F256" s="12">
        <f>C256*E256</f>
        <v/>
      </c>
      <c r="G256" s="9" t="inlineStr"/>
    </row>
    <row r="257">
      <c r="A257" s="8" t="n">
        <v>19</v>
      </c>
      <c r="B257" s="9" t="inlineStr">
        <is>
          <t>Rangka atap baja ringan</t>
        </is>
      </c>
      <c r="C257" s="32">
        <f>315.12</f>
        <v/>
      </c>
      <c r="D257" s="8" t="inlineStr">
        <is>
          <t>m²</t>
        </is>
      </c>
      <c r="E257" s="11">
        <f>AHSP!$F$218</f>
        <v/>
      </c>
      <c r="F257" s="12">
        <f>C257*E257</f>
        <v/>
      </c>
      <c r="G257" s="9" t="inlineStr">
        <is>
          <t>kemiringan sisi utara + selatan (termasuk teras) x (panjang + 1)</t>
        </is>
      </c>
    </row>
    <row r="258">
      <c r="A258" s="8" t="n">
        <v>20</v>
      </c>
      <c r="B258" s="9" t="inlineStr">
        <is>
          <t>Penutup atap galvalum</t>
        </is>
      </c>
      <c r="C258" s="32">
        <f>315.12</f>
        <v/>
      </c>
      <c r="D258" s="8" t="inlineStr">
        <is>
          <t>m²</t>
        </is>
      </c>
      <c r="E258" s="11">
        <f>AHSP!$F$229</f>
        <v/>
      </c>
      <c r="F258" s="12">
        <f>C258*E258</f>
        <v/>
      </c>
      <c r="G258" s="9" t="inlineStr"/>
    </row>
    <row r="259">
      <c r="A259" s="8" t="n">
        <v>21</v>
      </c>
      <c r="B259" s="9" t="inlineStr">
        <is>
          <t>Nok</t>
        </is>
      </c>
      <c r="C259" s="32">
        <f>20.0+1</f>
        <v/>
      </c>
      <c r="D259" s="8" t="inlineStr">
        <is>
          <t>m'</t>
        </is>
      </c>
      <c r="E259" s="11">
        <f>AHSP!$F$238</f>
        <v/>
      </c>
      <c r="F259" s="12">
        <f>C259*E259</f>
        <v/>
      </c>
      <c r="G259" s="9" t="inlineStr"/>
    </row>
    <row r="260">
      <c r="A260" s="8" t="n">
        <v>22</v>
      </c>
      <c r="B260" s="9" t="inlineStr">
        <is>
          <t>Lisplang/flashing</t>
        </is>
      </c>
      <c r="C260" s="32">
        <f>2*(20.0+1)+4*7.50</f>
        <v/>
      </c>
      <c r="D260" s="8" t="inlineStr">
        <is>
          <t>m'</t>
        </is>
      </c>
      <c r="E260" s="11">
        <f>AHSP!$F$247</f>
        <v/>
      </c>
      <c r="F260" s="12">
        <f>C260*E260</f>
        <v/>
      </c>
      <c r="G260" s="9" t="inlineStr"/>
    </row>
    <row r="261">
      <c r="A261" s="8" t="n">
        <v>23</v>
      </c>
      <c r="B261" s="9" t="inlineStr">
        <is>
          <t>Penutup gevel kawat harmonika</t>
        </is>
      </c>
      <c r="C261" s="32">
        <f>33.57</f>
        <v/>
      </c>
      <c r="D261" s="8" t="inlineStr">
        <is>
          <t>m²</t>
        </is>
      </c>
      <c r="E261" s="11">
        <f>AHSP!$F$270</f>
        <v/>
      </c>
      <c r="F261" s="12">
        <f>C261*E261</f>
        <v/>
      </c>
      <c r="G261" s="9" t="inlineStr">
        <is>
          <t>2 segitiga di atas ring balk</t>
        </is>
      </c>
    </row>
    <row r="262">
      <c r="A262" s="29" t="inlineStr"/>
      <c r="B262" s="30" t="inlineStr">
        <is>
          <t>IV. PINTU, JENDELA DAN UTILITAS</t>
        </is>
      </c>
      <c r="C262" s="29" t="inlineStr"/>
      <c r="D262" s="29" t="inlineStr"/>
      <c r="E262" s="29" t="inlineStr"/>
      <c r="F262" s="29" t="inlineStr"/>
      <c r="G262" s="29" t="inlineStr"/>
    </row>
    <row r="263">
      <c r="A263" s="8" t="n">
        <v>24</v>
      </c>
      <c r="B263" s="9" t="inlineStr">
        <is>
          <t>Finishing lantai</t>
        </is>
      </c>
      <c r="C263" s="32">
        <f>235.222</f>
        <v/>
      </c>
      <c r="D263" s="8" t="inlineStr">
        <is>
          <t>m²</t>
        </is>
      </c>
      <c r="E263" s="11">
        <f>AHSP!$F$192</f>
        <v/>
      </c>
      <c r="F263" s="12">
        <f>C263*E263</f>
        <v/>
      </c>
      <c r="G263" s="9" t="inlineStr"/>
    </row>
    <row r="264">
      <c r="A264" s="8" t="n">
        <v>25</v>
      </c>
      <c r="B264" s="9" t="inlineStr">
        <is>
          <t>Pintu geser 300x300 rangka hollow + plat galvalum</t>
        </is>
      </c>
      <c r="C264" s="32">
        <f>2*3.0*3.0</f>
        <v/>
      </c>
      <c r="D264" s="8" t="inlineStr">
        <is>
          <t>m²</t>
        </is>
      </c>
      <c r="E264" s="11">
        <f>AHSP!$F$328</f>
        <v/>
      </c>
      <c r="F264" s="12">
        <f>C264*E264</f>
        <v/>
      </c>
      <c r="G264" s="9" t="inlineStr"/>
    </row>
    <row r="265">
      <c r="A265" s="8" t="n">
        <v>26</v>
      </c>
      <c r="B265" s="9" t="inlineStr">
        <is>
          <t>Ventilasi/jendela kawat + teralis</t>
        </is>
      </c>
      <c r="C265" s="32">
        <f>6*1.2</f>
        <v/>
      </c>
      <c r="D265" s="8" t="inlineStr">
        <is>
          <t>m²</t>
        </is>
      </c>
      <c r="E265" s="11">
        <f>AHSP!$F$328</f>
        <v/>
      </c>
      <c r="F265" s="12">
        <f>C265*E265</f>
        <v/>
      </c>
      <c r="G265" s="9" t="inlineStr"/>
    </row>
    <row r="266">
      <c r="A266" s="8" t="n">
        <v>27</v>
      </c>
      <c r="B266" s="9" t="inlineStr">
        <is>
          <t>Titik lampu</t>
        </is>
      </c>
      <c r="C266" s="32">
        <f>4</f>
        <v/>
      </c>
      <c r="D266" s="8" t="inlineStr">
        <is>
          <t>titik</t>
        </is>
      </c>
      <c r="E266" s="11">
        <f>ROUND('Harga Dasar'!$D$60*(1+Petunjuk!$C$15),-2)</f>
        <v/>
      </c>
      <c r="F266" s="12">
        <f>C266*E266</f>
        <v/>
      </c>
      <c r="G266" s="9" t="inlineStr"/>
    </row>
    <row r="267">
      <c r="A267" s="14" t="inlineStr"/>
      <c r="B267" s="15" t="inlineStr">
        <is>
          <t>Jumlah gudang jagung</t>
        </is>
      </c>
      <c r="C267" s="14" t="inlineStr"/>
      <c r="D267" s="14" t="inlineStr"/>
      <c r="E267" s="14" t="inlineStr"/>
      <c r="F267" s="16">
        <f>SUM(F236:F266)</f>
        <v/>
      </c>
      <c r="G267" s="14" t="inlineStr"/>
    </row>
    <row r="269">
      <c r="A269" s="33" t="inlineStr"/>
      <c r="B269" s="26" t="inlineStr">
        <is>
          <t>RUANG GANTI + CELUP KAKI  (6 x 4 m)</t>
        </is>
      </c>
      <c r="C269" s="33" t="inlineStr"/>
      <c r="D269" s="33" t="inlineStr"/>
      <c r="E269" s="33" t="inlineStr"/>
      <c r="F269" s="33" t="inlineStr"/>
      <c r="G269" s="33" t="inlineStr"/>
    </row>
    <row r="270">
      <c r="A270" s="29" t="inlineStr"/>
      <c r="B270" s="30" t="inlineStr">
        <is>
          <t>I. PERSIAPAN DAN TANAH</t>
        </is>
      </c>
      <c r="C270" s="29" t="inlineStr"/>
      <c r="D270" s="29" t="inlineStr"/>
      <c r="E270" s="29" t="inlineStr"/>
      <c r="F270" s="29" t="inlineStr"/>
      <c r="G270" s="29" t="inlineStr"/>
    </row>
    <row r="271">
      <c r="A271" s="8" t="n">
        <v>1</v>
      </c>
      <c r="B271" s="9" t="inlineStr">
        <is>
          <t>Perataan lokasi dan peil</t>
        </is>
      </c>
      <c r="C271" s="32">
        <f>(6.0+4)*(4.0+4)</f>
        <v/>
      </c>
      <c r="D271" s="8" t="inlineStr">
        <is>
          <t>m²</t>
        </is>
      </c>
      <c r="E271" s="11">
        <f>AHSP!$F$9</f>
        <v/>
      </c>
      <c r="F271" s="12">
        <f>C271*E271</f>
        <v/>
      </c>
      <c r="G271" s="9" t="inlineStr">
        <is>
          <t>(panjang + 4) x (lebar + 4)</t>
        </is>
      </c>
    </row>
    <row r="272">
      <c r="A272" s="8" t="n">
        <v>2</v>
      </c>
      <c r="B272" s="9" t="inlineStr">
        <is>
          <t>Pengukuran dan bouwplank</t>
        </is>
      </c>
      <c r="C272" s="32">
        <f>2*(6.0+4+4.0+4)</f>
        <v/>
      </c>
      <c r="D272" s="8" t="inlineStr">
        <is>
          <t>m'</t>
        </is>
      </c>
      <c r="E272" s="11">
        <f>AHSP!$F$20</f>
        <v/>
      </c>
      <c r="F272" s="12">
        <f>C272*E272</f>
        <v/>
      </c>
      <c r="G272" s="9" t="inlineStr">
        <is>
          <t>keliling + 2 m</t>
        </is>
      </c>
    </row>
    <row r="273">
      <c r="A273" s="8" t="n">
        <v>3</v>
      </c>
      <c r="B273" s="9" t="inlineStr">
        <is>
          <t>Galian footplat 100x100x70</t>
        </is>
      </c>
      <c r="C273" s="32">
        <f>6*0.7</f>
        <v/>
      </c>
      <c r="D273" s="8" t="inlineStr">
        <is>
          <t>m³</t>
        </is>
      </c>
      <c r="E273" s="11">
        <f>AHSP!$F$27</f>
        <v/>
      </c>
      <c r="F273" s="12">
        <f>C273*E273</f>
        <v/>
      </c>
      <c r="G273" s="9" t="inlineStr">
        <is>
          <t>6 titik</t>
        </is>
      </c>
    </row>
    <row r="274">
      <c r="A274" s="8" t="n">
        <v>4</v>
      </c>
      <c r="B274" s="9" t="inlineStr">
        <is>
          <t>Urugan kembali</t>
        </is>
      </c>
      <c r="C274" s="32">
        <f>6*0.5015</f>
        <v/>
      </c>
      <c r="D274" s="8" t="inlineStr">
        <is>
          <t>m³</t>
        </is>
      </c>
      <c r="E274" s="11">
        <f>AHSP!$F$34</f>
        <v/>
      </c>
      <c r="F274" s="12">
        <f>C274*E274</f>
        <v/>
      </c>
      <c r="G274" s="9" t="inlineStr">
        <is>
          <t>sisa galian</t>
        </is>
      </c>
    </row>
    <row r="275">
      <c r="A275" s="8" t="n">
        <v>5</v>
      </c>
      <c r="B275" s="9" t="inlineStr">
        <is>
          <t>Urugan tanah peninggian dipadatkan</t>
        </is>
      </c>
      <c r="C275" s="32">
        <f>22.523*0.15</f>
        <v/>
      </c>
      <c r="D275" s="8" t="inlineStr">
        <is>
          <t>m³</t>
        </is>
      </c>
      <c r="E275" s="11">
        <f>AHSP!$F$42</f>
        <v/>
      </c>
      <c r="F275" s="12">
        <f>C275*E275</f>
        <v/>
      </c>
      <c r="G275" s="9" t="inlineStr">
        <is>
          <t>luas dalam x 0.15</t>
        </is>
      </c>
    </row>
    <row r="276">
      <c r="A276" s="8" t="n">
        <v>6</v>
      </c>
      <c r="B276" s="9" t="inlineStr">
        <is>
          <t>Urugan pasir bawah lantai, footplat, sloof</t>
        </is>
      </c>
      <c r="C276" s="32">
        <f>22.523*0.05+6*0.05+20.0*0.25*0.05</f>
        <v/>
      </c>
      <c r="D276" s="8" t="inlineStr">
        <is>
          <t>m³</t>
        </is>
      </c>
      <c r="E276" s="11">
        <f>AHSP!$F$50</f>
        <v/>
      </c>
      <c r="F276" s="12">
        <f>C276*E276</f>
        <v/>
      </c>
      <c r="G276" s="9" t="inlineStr"/>
    </row>
    <row r="277">
      <c r="A277" s="29" t="inlineStr"/>
      <c r="B277" s="30" t="inlineStr">
        <is>
          <t>II. STRUKTUR BETON</t>
        </is>
      </c>
      <c r="C277" s="29" t="inlineStr"/>
      <c r="D277" s="29" t="inlineStr"/>
      <c r="E277" s="29" t="inlineStr"/>
      <c r="F277" s="29" t="inlineStr"/>
      <c r="G277" s="29" t="inlineStr"/>
    </row>
    <row r="278">
      <c r="A278" s="8" t="n">
        <v>7</v>
      </c>
      <c r="B278" s="9" t="inlineStr">
        <is>
          <t>Lantai kerja K-100</t>
        </is>
      </c>
      <c r="C278" s="32">
        <f>6*0.0405</f>
        <v/>
      </c>
      <c r="D278" s="8" t="inlineStr">
        <is>
          <t>m³</t>
        </is>
      </c>
      <c r="E278" s="11">
        <f>AHSP!$F$93</f>
        <v/>
      </c>
      <c r="F278" s="12">
        <f>C278*E278</f>
        <v/>
      </c>
      <c r="G278" s="9" t="inlineStr"/>
    </row>
    <row r="279">
      <c r="A279" s="8" t="n">
        <v>8</v>
      </c>
      <c r="B279" s="9" t="inlineStr">
        <is>
          <t>Beton K-225 footplat 70x70x20</t>
        </is>
      </c>
      <c r="C279" s="32">
        <f>6*0.098</f>
        <v/>
      </c>
      <c r="D279" s="8" t="inlineStr">
        <is>
          <t>m³</t>
        </is>
      </c>
      <c r="E279" s="11">
        <f>AHSP!$F$117</f>
        <v/>
      </c>
      <c r="F279" s="12">
        <f>C279*E279</f>
        <v/>
      </c>
      <c r="G279" s="9" t="inlineStr"/>
    </row>
    <row r="280">
      <c r="A280" s="8" t="n">
        <v>9</v>
      </c>
      <c r="B280" s="9" t="inlineStr">
        <is>
          <t>Beton K-225 kolom 15/15 tinggi 3,70</t>
        </is>
      </c>
      <c r="C280" s="32">
        <f>6*0.0225*3.7</f>
        <v/>
      </c>
      <c r="D280" s="8" t="inlineStr">
        <is>
          <t>m³</t>
        </is>
      </c>
      <c r="E280" s="11">
        <f>AHSP!$F$117</f>
        <v/>
      </c>
      <c r="F280" s="12">
        <f>C280*E280</f>
        <v/>
      </c>
      <c r="G280" s="9" t="inlineStr">
        <is>
          <t>pedestal + kolom sampai +300</t>
        </is>
      </c>
    </row>
    <row r="281">
      <c r="A281" s="8" t="n">
        <v>10</v>
      </c>
      <c r="B281" s="9" t="inlineStr">
        <is>
          <t>Beton K-225 sloof 15/25</t>
        </is>
      </c>
      <c r="C281" s="32">
        <f>19.10*0.0375</f>
        <v/>
      </c>
      <c r="D281" s="8" t="inlineStr">
        <is>
          <t>m³</t>
        </is>
      </c>
      <c r="E281" s="11">
        <f>AHSP!$F$117</f>
        <v/>
      </c>
      <c r="F281" s="12">
        <f>C281*E281</f>
        <v/>
      </c>
      <c r="G281" s="9" t="inlineStr"/>
    </row>
    <row r="282">
      <c r="A282" s="8" t="n">
        <v>11</v>
      </c>
      <c r="B282" s="9" t="inlineStr">
        <is>
          <t>Beton K-225 ring balk 15/20</t>
        </is>
      </c>
      <c r="C282" s="32">
        <f>19.10*0.03</f>
        <v/>
      </c>
      <c r="D282" s="8" t="inlineStr">
        <is>
          <t>m³</t>
        </is>
      </c>
      <c r="E282" s="11">
        <f>AHSP!$F$117</f>
        <v/>
      </c>
      <c r="F282" s="12">
        <f>C282*E282</f>
        <v/>
      </c>
      <c r="G282" s="9" t="inlineStr"/>
    </row>
    <row r="283">
      <c r="A283" s="8" t="n">
        <v>12</v>
      </c>
      <c r="B283" s="9" t="inlineStr">
        <is>
          <t>Pembesian</t>
        </is>
      </c>
      <c r="C283" s="32">
        <f>6*4.44+6*15.65+19.10*4.558+19.10*4.295</f>
        <v/>
      </c>
      <c r="D283" s="8" t="inlineStr">
        <is>
          <t>kg</t>
        </is>
      </c>
      <c r="E283" s="11">
        <f>AHSP!$F$128</f>
        <v/>
      </c>
      <c r="F283" s="12">
        <f>C283*E283</f>
        <v/>
      </c>
      <c r="G283" s="9" t="inlineStr">
        <is>
          <t>footplat + kolom + sloof + ring balk</t>
        </is>
      </c>
    </row>
    <row r="284">
      <c r="A284" s="8" t="n">
        <v>13</v>
      </c>
      <c r="B284" s="9" t="inlineStr">
        <is>
          <t>Bekisting</t>
        </is>
      </c>
      <c r="C284" s="32">
        <f>6*0.56+6*0.6*3.7+19.10*0.5+19.10*0.55</f>
        <v/>
      </c>
      <c r="D284" s="8" t="inlineStr">
        <is>
          <t>m²</t>
        </is>
      </c>
      <c r="E284" s="11">
        <f>AHSP!$F$140</f>
        <v/>
      </c>
      <c r="F284" s="12">
        <f>C284*E284</f>
        <v/>
      </c>
      <c r="G284" s="9" t="inlineStr"/>
    </row>
    <row r="285">
      <c r="A285" s="29" t="inlineStr"/>
      <c r="B285" s="30" t="inlineStr">
        <is>
          <t>III. DINDING, LANTAI, ATAP</t>
        </is>
      </c>
      <c r="C285" s="29" t="inlineStr"/>
      <c r="D285" s="29" t="inlineStr"/>
      <c r="E285" s="29" t="inlineStr"/>
      <c r="F285" s="29" t="inlineStr"/>
      <c r="G285" s="29" t="inlineStr"/>
    </row>
    <row r="286">
      <c r="A286" s="8" t="n">
        <v>14</v>
      </c>
      <c r="B286" s="9" t="inlineStr">
        <is>
          <t>Pasangan bata 1/2 bata</t>
        </is>
      </c>
      <c r="C286" s="32">
        <f>49.50</f>
        <v/>
      </c>
      <c r="D286" s="8" t="inlineStr">
        <is>
          <t>m²</t>
        </is>
      </c>
      <c r="E286" s="11">
        <f>AHSP!$F$152</f>
        <v/>
      </c>
      <c r="F286" s="12">
        <f>C286*E286</f>
        <v/>
      </c>
      <c r="G286" s="9" t="inlineStr">
        <is>
          <t>dinding luar h 3 m, dikurangi bukaan</t>
        </is>
      </c>
    </row>
    <row r="287">
      <c r="A287" s="8" t="n">
        <v>15</v>
      </c>
      <c r="B287" s="9" t="inlineStr">
        <is>
          <t>Plesteran dua sisi</t>
        </is>
      </c>
      <c r="C287" s="32">
        <f>2*49.50</f>
        <v/>
      </c>
      <c r="D287" s="8" t="inlineStr">
        <is>
          <t>m²</t>
        </is>
      </c>
      <c r="E287" s="11">
        <f>AHSP!$F$163</f>
        <v/>
      </c>
      <c r="F287" s="12">
        <f>C287*E287</f>
        <v/>
      </c>
      <c r="G287" s="9" t="inlineStr"/>
    </row>
    <row r="288">
      <c r="A288" s="8" t="n">
        <v>16</v>
      </c>
      <c r="B288" s="9" t="inlineStr">
        <is>
          <t>Acian dua sisi</t>
        </is>
      </c>
      <c r="C288" s="32">
        <f>2*49.50</f>
        <v/>
      </c>
      <c r="D288" s="8" t="inlineStr">
        <is>
          <t>m²</t>
        </is>
      </c>
      <c r="E288" s="11">
        <f>AHSP!$F$173</f>
        <v/>
      </c>
      <c r="F288" s="12">
        <f>C288*E288</f>
        <v/>
      </c>
      <c r="G288" s="9" t="inlineStr"/>
    </row>
    <row r="289">
      <c r="A289" s="8" t="n">
        <v>17</v>
      </c>
      <c r="B289" s="9" t="inlineStr">
        <is>
          <t>Pengecatan dua sisi</t>
        </is>
      </c>
      <c r="C289" s="32">
        <f>2*49.50</f>
        <v/>
      </c>
      <c r="D289" s="8" t="inlineStr">
        <is>
          <t>m²</t>
        </is>
      </c>
      <c r="E289" s="11">
        <f>AHSP!$F$184</f>
        <v/>
      </c>
      <c r="F289" s="12">
        <f>C289*E289</f>
        <v/>
      </c>
      <c r="G289" s="9" t="inlineStr"/>
    </row>
    <row r="290">
      <c r="A290" s="8" t="n">
        <v>18</v>
      </c>
      <c r="B290" s="9" t="inlineStr">
        <is>
          <t>Lantai beton K-175 t=10</t>
        </is>
      </c>
      <c r="C290" s="32">
        <f>22.523*0.1</f>
        <v/>
      </c>
      <c r="D290" s="8" t="inlineStr">
        <is>
          <t>m³</t>
        </is>
      </c>
      <c r="E290" s="11">
        <f>AHSP!$F$105</f>
        <v/>
      </c>
      <c r="F290" s="12">
        <f>C290*E290</f>
        <v/>
      </c>
      <c r="G290" s="9" t="inlineStr"/>
    </row>
    <row r="291">
      <c r="A291" s="8" t="n">
        <v>19</v>
      </c>
      <c r="B291" s="9" t="inlineStr">
        <is>
          <t>Rangka atap baja ringan</t>
        </is>
      </c>
      <c r="C291" s="32">
        <f>43.25</f>
        <v/>
      </c>
      <c r="D291" s="8" t="inlineStr">
        <is>
          <t>m²</t>
        </is>
      </c>
      <c r="E291" s="11">
        <f>AHSP!$F$218</f>
        <v/>
      </c>
      <c r="F291" s="12">
        <f>C291*E291</f>
        <v/>
      </c>
      <c r="G291" s="9" t="inlineStr">
        <is>
          <t>kemiringan sisi utara + selatan (termasuk teras) x (panjang + 1)</t>
        </is>
      </c>
    </row>
    <row r="292">
      <c r="A292" s="8" t="n">
        <v>20</v>
      </c>
      <c r="B292" s="9" t="inlineStr">
        <is>
          <t>Penutup atap galvalum</t>
        </is>
      </c>
      <c r="C292" s="32">
        <f>43.25</f>
        <v/>
      </c>
      <c r="D292" s="8" t="inlineStr">
        <is>
          <t>m²</t>
        </is>
      </c>
      <c r="E292" s="11">
        <f>AHSP!$F$229</f>
        <v/>
      </c>
      <c r="F292" s="12">
        <f>C292*E292</f>
        <v/>
      </c>
      <c r="G292" s="9" t="inlineStr"/>
    </row>
    <row r="293">
      <c r="A293" s="8" t="n">
        <v>21</v>
      </c>
      <c r="B293" s="9" t="inlineStr">
        <is>
          <t>Nok</t>
        </is>
      </c>
      <c r="C293" s="32">
        <f>6.0+1</f>
        <v/>
      </c>
      <c r="D293" s="8" t="inlineStr">
        <is>
          <t>m'</t>
        </is>
      </c>
      <c r="E293" s="11">
        <f>AHSP!$F$238</f>
        <v/>
      </c>
      <c r="F293" s="12">
        <f>C293*E293</f>
        <v/>
      </c>
      <c r="G293" s="9" t="inlineStr"/>
    </row>
    <row r="294">
      <c r="A294" s="8" t="n">
        <v>22</v>
      </c>
      <c r="B294" s="9" t="inlineStr">
        <is>
          <t>Lisplang/flashing</t>
        </is>
      </c>
      <c r="C294" s="32">
        <f>2*(6.0+1)+4*3.09</f>
        <v/>
      </c>
      <c r="D294" s="8" t="inlineStr">
        <is>
          <t>m'</t>
        </is>
      </c>
      <c r="E294" s="11">
        <f>AHSP!$F$247</f>
        <v/>
      </c>
      <c r="F294" s="12">
        <f>C294*E294</f>
        <v/>
      </c>
      <c r="G294" s="9" t="inlineStr"/>
    </row>
    <row r="295">
      <c r="A295" s="8" t="n">
        <v>23</v>
      </c>
      <c r="B295" s="9" t="inlineStr">
        <is>
          <t>Penutup gevel kawat harmonika</t>
        </is>
      </c>
      <c r="C295" s="32">
        <f>3.73</f>
        <v/>
      </c>
      <c r="D295" s="8" t="inlineStr">
        <is>
          <t>m²</t>
        </is>
      </c>
      <c r="E295" s="11">
        <f>AHSP!$F$270</f>
        <v/>
      </c>
      <c r="F295" s="12">
        <f>C295*E295</f>
        <v/>
      </c>
      <c r="G295" s="9" t="inlineStr">
        <is>
          <t>2 segitiga di atas ring balk</t>
        </is>
      </c>
    </row>
    <row r="296">
      <c r="A296" s="29" t="inlineStr"/>
      <c r="B296" s="30" t="inlineStr">
        <is>
          <t>IV. PINTU, JENDELA DAN UTILITAS</t>
        </is>
      </c>
      <c r="C296" s="29" t="inlineStr"/>
      <c r="D296" s="29" t="inlineStr"/>
      <c r="E296" s="29" t="inlineStr"/>
      <c r="F296" s="29" t="inlineStr"/>
      <c r="G296" s="29" t="inlineStr"/>
    </row>
    <row r="297">
      <c r="A297" s="8" t="n">
        <v>24</v>
      </c>
      <c r="B297" s="9" t="inlineStr">
        <is>
          <t>Finishing lantai</t>
        </is>
      </c>
      <c r="C297" s="32">
        <f>22.523</f>
        <v/>
      </c>
      <c r="D297" s="8" t="inlineStr">
        <is>
          <t>m²</t>
        </is>
      </c>
      <c r="E297" s="11">
        <f>AHSP!$F$192</f>
        <v/>
      </c>
      <c r="F297" s="12">
        <f>C297*E297</f>
        <v/>
      </c>
      <c r="G297" s="9" t="inlineStr"/>
    </row>
    <row r="298">
      <c r="A298" s="8" t="n">
        <v>25</v>
      </c>
      <c r="B298" s="9" t="inlineStr">
        <is>
          <t>Pintu panel kayu 90x210</t>
        </is>
      </c>
      <c r="C298" s="32">
        <f>2</f>
        <v/>
      </c>
      <c r="D298" s="8" t="inlineStr">
        <is>
          <t>unit</t>
        </is>
      </c>
      <c r="E298" s="11">
        <f>ROUND('Harga Dasar'!$D$62*(1+Petunjuk!$C$15),-2)</f>
        <v/>
      </c>
      <c r="F298" s="12">
        <f>C298*E298</f>
        <v/>
      </c>
      <c r="G298" s="9" t="inlineStr">
        <is>
          <t>pintu luar dan dalam</t>
        </is>
      </c>
    </row>
    <row r="299">
      <c r="A299" s="8" t="n">
        <v>26</v>
      </c>
      <c r="B299" s="9" t="inlineStr">
        <is>
          <t>Jendela aluminium kaca</t>
        </is>
      </c>
      <c r="C299" s="32">
        <f>2*0.5</f>
        <v/>
      </c>
      <c r="D299" s="8" t="inlineStr">
        <is>
          <t>m²</t>
        </is>
      </c>
      <c r="E299" s="11">
        <f>ROUND('Harga Dasar'!$D$63*(1+Petunjuk!$C$15),-2)</f>
        <v/>
      </c>
      <c r="F299" s="12">
        <f>C299*E299</f>
        <v/>
      </c>
      <c r="G299" s="9" t="inlineStr"/>
    </row>
    <row r="300">
      <c r="A300" s="8" t="n">
        <v>27</v>
      </c>
      <c r="B300" s="9" t="inlineStr">
        <is>
          <t>Bak celup kaki</t>
        </is>
      </c>
      <c r="C300" s="32">
        <f>1</f>
        <v/>
      </c>
      <c r="D300" s="8" t="inlineStr">
        <is>
          <t>unit</t>
        </is>
      </c>
      <c r="E300" s="11">
        <f>AHSP!$F$391</f>
        <v/>
      </c>
      <c r="F300" s="12">
        <f>C300*E300</f>
        <v/>
      </c>
      <c r="G300" s="9" t="inlineStr"/>
    </row>
    <row r="301">
      <c r="A301" s="8" t="n">
        <v>28</v>
      </c>
      <c r="B301" s="9" t="inlineStr">
        <is>
          <t>Instalasi air shower</t>
        </is>
      </c>
      <c r="C301" s="32">
        <f>15</f>
        <v/>
      </c>
      <c r="D301" s="8" t="inlineStr">
        <is>
          <t>m'</t>
        </is>
      </c>
      <c r="E301" s="11">
        <f>AHSP!$F$399</f>
        <v/>
      </c>
      <c r="F301" s="12">
        <f>C301*E301</f>
        <v/>
      </c>
      <c r="G301" s="9" t="inlineStr"/>
    </row>
    <row r="302">
      <c r="A302" s="8" t="n">
        <v>29</v>
      </c>
      <c r="B302" s="9" t="inlineStr">
        <is>
          <t>Kloset + perlengkapan</t>
        </is>
      </c>
      <c r="C302" s="32">
        <f>1</f>
        <v/>
      </c>
      <c r="D302" s="8" t="inlineStr">
        <is>
          <t>unit</t>
        </is>
      </c>
      <c r="E302" s="11">
        <f>ROUND('Harga Dasar'!$D$64*(1+Petunjuk!$C$15),-2)</f>
        <v/>
      </c>
      <c r="F302" s="12">
        <f>C302*E302</f>
        <v/>
      </c>
      <c r="G302" s="9" t="inlineStr"/>
    </row>
    <row r="303">
      <c r="A303" s="8" t="n">
        <v>30</v>
      </c>
      <c r="B303" s="9" t="inlineStr">
        <is>
          <t>Septic tank biofil 1 m³</t>
        </is>
      </c>
      <c r="C303" s="32">
        <f>1</f>
        <v/>
      </c>
      <c r="D303" s="8" t="inlineStr">
        <is>
          <t>unit</t>
        </is>
      </c>
      <c r="E303" s="11">
        <f>ROUND('Harga Dasar'!$D$65*(1+Petunjuk!$C$15),-2)</f>
        <v/>
      </c>
      <c r="F303" s="12">
        <f>C303*E303</f>
        <v/>
      </c>
      <c r="G303" s="9" t="inlineStr"/>
    </row>
    <row r="304">
      <c r="A304" s="8" t="n">
        <v>31</v>
      </c>
      <c r="B304" s="9" t="inlineStr">
        <is>
          <t>Titik lampu</t>
        </is>
      </c>
      <c r="C304" s="32">
        <f>3</f>
        <v/>
      </c>
      <c r="D304" s="8" t="inlineStr">
        <is>
          <t>titik</t>
        </is>
      </c>
      <c r="E304" s="11">
        <f>ROUND('Harga Dasar'!$D$60*(1+Petunjuk!$C$15),-2)</f>
        <v/>
      </c>
      <c r="F304" s="12">
        <f>C304*E304</f>
        <v/>
      </c>
      <c r="G304" s="9" t="inlineStr"/>
    </row>
    <row r="305">
      <c r="A305" s="14" t="inlineStr"/>
      <c r="B305" s="15" t="inlineStr">
        <is>
          <t>Jumlah ruang ganti + celup kaki</t>
        </is>
      </c>
      <c r="C305" s="14" t="inlineStr"/>
      <c r="D305" s="14" t="inlineStr"/>
      <c r="E305" s="14" t="inlineStr"/>
      <c r="F305" s="16">
        <f>SUM(F270:F304)</f>
        <v/>
      </c>
      <c r="G305" s="14" t="inlineStr"/>
    </row>
    <row r="307">
      <c r="A307" s="33" t="inlineStr"/>
      <c r="B307" s="26" t="inlineStr">
        <is>
          <t>RUMAH KOMPOS  (16 x 10 m)</t>
        </is>
      </c>
      <c r="C307" s="33" t="inlineStr"/>
      <c r="D307" s="33" t="inlineStr"/>
      <c r="E307" s="33" t="inlineStr"/>
      <c r="F307" s="33" t="inlineStr"/>
      <c r="G307" s="33" t="inlineStr"/>
    </row>
    <row r="308">
      <c r="A308" s="29" t="inlineStr"/>
      <c r="B308" s="30" t="inlineStr">
        <is>
          <t>I. PERSIAPAN DAN TANAH</t>
        </is>
      </c>
      <c r="C308" s="29" t="inlineStr"/>
      <c r="D308" s="29" t="inlineStr"/>
      <c r="E308" s="29" t="inlineStr"/>
      <c r="F308" s="29" t="inlineStr"/>
      <c r="G308" s="29" t="inlineStr"/>
    </row>
    <row r="309">
      <c r="A309" s="8" t="n">
        <v>1</v>
      </c>
      <c r="B309" s="9" t="inlineStr">
        <is>
          <t>Perataan lokasi dan peil</t>
        </is>
      </c>
      <c r="C309" s="32">
        <f>(16.0+4)*(10.0+4)</f>
        <v/>
      </c>
      <c r="D309" s="8" t="inlineStr">
        <is>
          <t>m²</t>
        </is>
      </c>
      <c r="E309" s="11">
        <f>AHSP!$F$9</f>
        <v/>
      </c>
      <c r="F309" s="12">
        <f>C309*E309</f>
        <v/>
      </c>
      <c r="G309" s="9" t="inlineStr">
        <is>
          <t>(panjang + 4) x (lebar + 4)</t>
        </is>
      </c>
    </row>
    <row r="310">
      <c r="A310" s="8" t="n">
        <v>2</v>
      </c>
      <c r="B310" s="9" t="inlineStr">
        <is>
          <t>Pengukuran dan bouwplank</t>
        </is>
      </c>
      <c r="C310" s="32">
        <f>2*(16.0+4+10.0+4)</f>
        <v/>
      </c>
      <c r="D310" s="8" t="inlineStr">
        <is>
          <t>m'</t>
        </is>
      </c>
      <c r="E310" s="11">
        <f>AHSP!$F$20</f>
        <v/>
      </c>
      <c r="F310" s="12">
        <f>C310*E310</f>
        <v/>
      </c>
      <c r="G310" s="9" t="inlineStr">
        <is>
          <t>keliling + 2 m</t>
        </is>
      </c>
    </row>
    <row r="311">
      <c r="A311" s="8" t="n">
        <v>3</v>
      </c>
      <c r="B311" s="9" t="inlineStr">
        <is>
          <t>Galian footplat 100x100x70</t>
        </is>
      </c>
      <c r="C311" s="32">
        <f>12*0.7</f>
        <v/>
      </c>
      <c r="D311" s="8" t="inlineStr">
        <is>
          <t>m³</t>
        </is>
      </c>
      <c r="E311" s="11">
        <f>AHSP!$F$27</f>
        <v/>
      </c>
      <c r="F311" s="12">
        <f>C311*E311</f>
        <v/>
      </c>
      <c r="G311" s="9" t="inlineStr">
        <is>
          <t>12 titik</t>
        </is>
      </c>
    </row>
    <row r="312">
      <c r="A312" s="8" t="n">
        <v>4</v>
      </c>
      <c r="B312" s="9" t="inlineStr">
        <is>
          <t>Urugan kembali</t>
        </is>
      </c>
      <c r="C312" s="32">
        <f>12*0.5015</f>
        <v/>
      </c>
      <c r="D312" s="8" t="inlineStr">
        <is>
          <t>m³</t>
        </is>
      </c>
      <c r="E312" s="11">
        <f>AHSP!$F$34</f>
        <v/>
      </c>
      <c r="F312" s="12">
        <f>C312*E312</f>
        <v/>
      </c>
      <c r="G312" s="9" t="inlineStr">
        <is>
          <t>sisa galian</t>
        </is>
      </c>
    </row>
    <row r="313">
      <c r="A313" s="8" t="n">
        <v>5</v>
      </c>
      <c r="B313" s="9" t="inlineStr">
        <is>
          <t>Urugan tanah peninggian dipadatkan</t>
        </is>
      </c>
      <c r="C313" s="32">
        <f>156.123*0.15</f>
        <v/>
      </c>
      <c r="D313" s="8" t="inlineStr">
        <is>
          <t>m³</t>
        </is>
      </c>
      <c r="E313" s="11">
        <f>AHSP!$F$42</f>
        <v/>
      </c>
      <c r="F313" s="12">
        <f>C313*E313</f>
        <v/>
      </c>
      <c r="G313" s="9" t="inlineStr">
        <is>
          <t>luas dalam x 0.15</t>
        </is>
      </c>
    </row>
    <row r="314">
      <c r="A314" s="8" t="n">
        <v>6</v>
      </c>
      <c r="B314" s="9" t="inlineStr">
        <is>
          <t>Urugan pasir bawah lantai, footplat, sloof</t>
        </is>
      </c>
      <c r="C314" s="32">
        <f>156.123*0.05+12*0.05+52.0*0.25*0.05</f>
        <v/>
      </c>
      <c r="D314" s="8" t="inlineStr">
        <is>
          <t>m³</t>
        </is>
      </c>
      <c r="E314" s="11">
        <f>AHSP!$F$50</f>
        <v/>
      </c>
      <c r="F314" s="12">
        <f>C314*E314</f>
        <v/>
      </c>
      <c r="G314" s="9" t="inlineStr"/>
    </row>
    <row r="315">
      <c r="A315" s="29" t="inlineStr"/>
      <c r="B315" s="30" t="inlineStr">
        <is>
          <t>II. STRUKTUR BETON</t>
        </is>
      </c>
      <c r="C315" s="29" t="inlineStr"/>
      <c r="D315" s="29" t="inlineStr"/>
      <c r="E315" s="29" t="inlineStr"/>
      <c r="F315" s="29" t="inlineStr"/>
      <c r="G315" s="29" t="inlineStr"/>
    </row>
    <row r="316">
      <c r="A316" s="8" t="n">
        <v>7</v>
      </c>
      <c r="B316" s="9" t="inlineStr">
        <is>
          <t>Lantai kerja K-100</t>
        </is>
      </c>
      <c r="C316" s="32">
        <f>12*0.0405</f>
        <v/>
      </c>
      <c r="D316" s="8" t="inlineStr">
        <is>
          <t>m³</t>
        </is>
      </c>
      <c r="E316" s="11">
        <f>AHSP!$F$93</f>
        <v/>
      </c>
      <c r="F316" s="12">
        <f>C316*E316</f>
        <v/>
      </c>
      <c r="G316" s="9" t="inlineStr"/>
    </row>
    <row r="317">
      <c r="A317" s="8" t="n">
        <v>8</v>
      </c>
      <c r="B317" s="9" t="inlineStr">
        <is>
          <t>Beton K-225 footplat 70x70x20</t>
        </is>
      </c>
      <c r="C317" s="32">
        <f>12*0.098</f>
        <v/>
      </c>
      <c r="D317" s="8" t="inlineStr">
        <is>
          <t>m³</t>
        </is>
      </c>
      <c r="E317" s="11">
        <f>AHSP!$F$117</f>
        <v/>
      </c>
      <c r="F317" s="12">
        <f>C317*E317</f>
        <v/>
      </c>
      <c r="G317" s="9" t="inlineStr"/>
    </row>
    <row r="318">
      <c r="A318" s="8" t="n">
        <v>9</v>
      </c>
      <c r="B318" s="9" t="inlineStr">
        <is>
          <t>Beton K-225 kolom 15/15 tinggi 3,70</t>
        </is>
      </c>
      <c r="C318" s="32">
        <f>12*0.0225*3.7</f>
        <v/>
      </c>
      <c r="D318" s="8" t="inlineStr">
        <is>
          <t>m³</t>
        </is>
      </c>
      <c r="E318" s="11">
        <f>AHSP!$F$117</f>
        <v/>
      </c>
      <c r="F318" s="12">
        <f>C318*E318</f>
        <v/>
      </c>
      <c r="G318" s="9" t="inlineStr">
        <is>
          <t>pedestal + kolom sampai +300</t>
        </is>
      </c>
    </row>
    <row r="319">
      <c r="A319" s="8" t="n">
        <v>10</v>
      </c>
      <c r="B319" s="9" t="inlineStr">
        <is>
          <t>Beton K-225 sloof 15/25</t>
        </is>
      </c>
      <c r="C319" s="32">
        <f>75.70*0.0375</f>
        <v/>
      </c>
      <c r="D319" s="8" t="inlineStr">
        <is>
          <t>m³</t>
        </is>
      </c>
      <c r="E319" s="11">
        <f>AHSP!$F$117</f>
        <v/>
      </c>
      <c r="F319" s="12">
        <f>C319*E319</f>
        <v/>
      </c>
      <c r="G319" s="9" t="inlineStr"/>
    </row>
    <row r="320">
      <c r="A320" s="8" t="n">
        <v>11</v>
      </c>
      <c r="B320" s="9" t="inlineStr">
        <is>
          <t>Beton K-225 ring balk 15/20</t>
        </is>
      </c>
      <c r="C320" s="32">
        <f>75.70*0.03</f>
        <v/>
      </c>
      <c r="D320" s="8" t="inlineStr">
        <is>
          <t>m³</t>
        </is>
      </c>
      <c r="E320" s="11">
        <f>AHSP!$F$117</f>
        <v/>
      </c>
      <c r="F320" s="12">
        <f>C320*E320</f>
        <v/>
      </c>
      <c r="G320" s="9" t="inlineStr"/>
    </row>
    <row r="321">
      <c r="A321" s="8" t="n">
        <v>12</v>
      </c>
      <c r="B321" s="9" t="inlineStr">
        <is>
          <t>Pembesian</t>
        </is>
      </c>
      <c r="C321" s="32">
        <f>12*4.44+12*15.65+75.70*4.558+75.70*4.295</f>
        <v/>
      </c>
      <c r="D321" s="8" t="inlineStr">
        <is>
          <t>kg</t>
        </is>
      </c>
      <c r="E321" s="11">
        <f>AHSP!$F$128</f>
        <v/>
      </c>
      <c r="F321" s="12">
        <f>C321*E321</f>
        <v/>
      </c>
      <c r="G321" s="9" t="inlineStr">
        <is>
          <t>footplat + kolom + sloof + ring balk</t>
        </is>
      </c>
    </row>
    <row r="322">
      <c r="A322" s="8" t="n">
        <v>13</v>
      </c>
      <c r="B322" s="9" t="inlineStr">
        <is>
          <t>Bekisting</t>
        </is>
      </c>
      <c r="C322" s="32">
        <f>12*0.56+12*0.6*3.7+75.70*0.5+75.70*0.55</f>
        <v/>
      </c>
      <c r="D322" s="8" t="inlineStr">
        <is>
          <t>m²</t>
        </is>
      </c>
      <c r="E322" s="11">
        <f>AHSP!$F$140</f>
        <v/>
      </c>
      <c r="F322" s="12">
        <f>C322*E322</f>
        <v/>
      </c>
      <c r="G322" s="9" t="inlineStr"/>
    </row>
    <row r="323">
      <c r="A323" s="29" t="inlineStr"/>
      <c r="B323" s="30" t="inlineStr">
        <is>
          <t>III. DINDING, LANTAI, ATAP</t>
        </is>
      </c>
      <c r="C323" s="29" t="inlineStr"/>
      <c r="D323" s="29" t="inlineStr"/>
      <c r="E323" s="29" t="inlineStr"/>
      <c r="F323" s="29" t="inlineStr"/>
      <c r="G323" s="29" t="inlineStr"/>
    </row>
    <row r="324">
      <c r="A324" s="8" t="n">
        <v>14</v>
      </c>
      <c r="B324" s="9" t="inlineStr">
        <is>
          <t>Pasangan bata 1/2 bata</t>
        </is>
      </c>
      <c r="C324" s="32">
        <f>59.70</f>
        <v/>
      </c>
      <c r="D324" s="8" t="inlineStr">
        <is>
          <t>m²</t>
        </is>
      </c>
      <c r="E324" s="11">
        <f>AHSP!$F$152</f>
        <v/>
      </c>
      <c r="F324" s="12">
        <f>C324*E324</f>
        <v/>
      </c>
      <c r="G324" s="9" t="inlineStr">
        <is>
          <t>dinding luar h 1 m + dinding dalam 25.5 m, dikurangi bukaan</t>
        </is>
      </c>
    </row>
    <row r="325">
      <c r="A325" s="8" t="n">
        <v>15</v>
      </c>
      <c r="B325" s="9" t="inlineStr">
        <is>
          <t>Plesteran dua sisi</t>
        </is>
      </c>
      <c r="C325" s="32">
        <f>2*59.70</f>
        <v/>
      </c>
      <c r="D325" s="8" t="inlineStr">
        <is>
          <t>m²</t>
        </is>
      </c>
      <c r="E325" s="11">
        <f>AHSP!$F$163</f>
        <v/>
      </c>
      <c r="F325" s="12">
        <f>C325*E325</f>
        <v/>
      </c>
      <c r="G325" s="9" t="inlineStr"/>
    </row>
    <row r="326">
      <c r="A326" s="8" t="n">
        <v>16</v>
      </c>
      <c r="B326" s="9" t="inlineStr">
        <is>
          <t>Acian sisi luar</t>
        </is>
      </c>
      <c r="C326" s="32">
        <f>1*59.70</f>
        <v/>
      </c>
      <c r="D326" s="8" t="inlineStr">
        <is>
          <t>m²</t>
        </is>
      </c>
      <c r="E326" s="11">
        <f>AHSP!$F$173</f>
        <v/>
      </c>
      <c r="F326" s="12">
        <f>C326*E326</f>
        <v/>
      </c>
      <c r="G326" s="9" t="inlineStr"/>
    </row>
    <row r="327">
      <c r="A327" s="8" t="n">
        <v>17</v>
      </c>
      <c r="B327" s="9" t="inlineStr">
        <is>
          <t>Pengecatan sisi luar</t>
        </is>
      </c>
      <c r="C327" s="32">
        <f>1*59.70</f>
        <v/>
      </c>
      <c r="D327" s="8" t="inlineStr">
        <is>
          <t>m²</t>
        </is>
      </c>
      <c r="E327" s="11">
        <f>AHSP!$F$184</f>
        <v/>
      </c>
      <c r="F327" s="12">
        <f>C327*E327</f>
        <v/>
      </c>
      <c r="G327" s="9" t="inlineStr"/>
    </row>
    <row r="328">
      <c r="A328" s="8" t="n">
        <v>18</v>
      </c>
      <c r="B328" s="9" t="inlineStr">
        <is>
          <t>Lantai beton K-175 t=10</t>
        </is>
      </c>
      <c r="C328" s="32">
        <f>156.123*0.1</f>
        <v/>
      </c>
      <c r="D328" s="8" t="inlineStr">
        <is>
          <t>m³</t>
        </is>
      </c>
      <c r="E328" s="11">
        <f>AHSP!$F$105</f>
        <v/>
      </c>
      <c r="F328" s="12">
        <f>C328*E328</f>
        <v/>
      </c>
      <c r="G328" s="9" t="inlineStr"/>
    </row>
    <row r="329">
      <c r="A329" s="8" t="n">
        <v>19</v>
      </c>
      <c r="B329" s="9" t="inlineStr">
        <is>
          <t>Rangka atap baja ringan</t>
        </is>
      </c>
      <c r="C329" s="32">
        <f>217.59</f>
        <v/>
      </c>
      <c r="D329" s="8" t="inlineStr">
        <is>
          <t>m²</t>
        </is>
      </c>
      <c r="E329" s="11">
        <f>AHSP!$F$218</f>
        <v/>
      </c>
      <c r="F329" s="12">
        <f>C329*E329</f>
        <v/>
      </c>
      <c r="G329" s="9" t="inlineStr">
        <is>
          <t>kemiringan sisi utara + selatan (termasuk teras) x (panjang + 1)</t>
        </is>
      </c>
    </row>
    <row r="330">
      <c r="A330" s="8" t="n">
        <v>20</v>
      </c>
      <c r="B330" s="9" t="inlineStr">
        <is>
          <t>Penutup atap galvalum</t>
        </is>
      </c>
      <c r="C330" s="32">
        <f>217.59</f>
        <v/>
      </c>
      <c r="D330" s="8" t="inlineStr">
        <is>
          <t>m²</t>
        </is>
      </c>
      <c r="E330" s="11">
        <f>AHSP!$F$229</f>
        <v/>
      </c>
      <c r="F330" s="12">
        <f>C330*E330</f>
        <v/>
      </c>
      <c r="G330" s="9" t="inlineStr"/>
    </row>
    <row r="331">
      <c r="A331" s="8" t="n">
        <v>21</v>
      </c>
      <c r="B331" s="9" t="inlineStr">
        <is>
          <t>Nok</t>
        </is>
      </c>
      <c r="C331" s="32">
        <f>16.0+1</f>
        <v/>
      </c>
      <c r="D331" s="8" t="inlineStr">
        <is>
          <t>m'</t>
        </is>
      </c>
      <c r="E331" s="11">
        <f>AHSP!$F$238</f>
        <v/>
      </c>
      <c r="F331" s="12">
        <f>C331*E331</f>
        <v/>
      </c>
      <c r="G331" s="9" t="inlineStr"/>
    </row>
    <row r="332">
      <c r="A332" s="8" t="n">
        <v>22</v>
      </c>
      <c r="B332" s="9" t="inlineStr">
        <is>
          <t>Lisplang/flashing</t>
        </is>
      </c>
      <c r="C332" s="32">
        <f>2*(16.0+1)+4*6.40</f>
        <v/>
      </c>
      <c r="D332" s="8" t="inlineStr">
        <is>
          <t>m'</t>
        </is>
      </c>
      <c r="E332" s="11">
        <f>AHSP!$F$247</f>
        <v/>
      </c>
      <c r="F332" s="12">
        <f>C332*E332</f>
        <v/>
      </c>
      <c r="G332" s="9" t="inlineStr"/>
    </row>
    <row r="333">
      <c r="A333" s="8" t="n">
        <v>23</v>
      </c>
      <c r="B333" s="9" t="inlineStr">
        <is>
          <t>Penutup gevel kawat harmonika</t>
        </is>
      </c>
      <c r="C333" s="32">
        <f>23.32</f>
        <v/>
      </c>
      <c r="D333" s="8" t="inlineStr">
        <is>
          <t>m²</t>
        </is>
      </c>
      <c r="E333" s="11">
        <f>AHSP!$F$270</f>
        <v/>
      </c>
      <c r="F333" s="12">
        <f>C333*E333</f>
        <v/>
      </c>
      <c r="G333" s="9" t="inlineStr">
        <is>
          <t>2 segitiga di atas ring balk</t>
        </is>
      </c>
    </row>
    <row r="334">
      <c r="A334" s="29" t="inlineStr"/>
      <c r="B334" s="30" t="inlineStr">
        <is>
          <t>IV. PINTU, JENDELA DAN UTILITAS</t>
        </is>
      </c>
      <c r="C334" s="29" t="inlineStr"/>
      <c r="D334" s="29" t="inlineStr"/>
      <c r="E334" s="29" t="inlineStr"/>
      <c r="F334" s="29" t="inlineStr"/>
      <c r="G334" s="29" t="inlineStr"/>
    </row>
    <row r="335">
      <c r="A335" s="8" t="n">
        <v>24</v>
      </c>
      <c r="B335" s="9" t="inlineStr">
        <is>
          <t>Finishing lantai miring 1%</t>
        </is>
      </c>
      <c r="C335" s="32">
        <f>156.123</f>
        <v/>
      </c>
      <c r="D335" s="8" t="inlineStr">
        <is>
          <t>m²</t>
        </is>
      </c>
      <c r="E335" s="11">
        <f>AHSP!$F$192</f>
        <v/>
      </c>
      <c r="F335" s="12">
        <f>C335*E335</f>
        <v/>
      </c>
      <c r="G335" s="9" t="inlineStr"/>
    </row>
    <row r="336">
      <c r="A336" s="8" t="n">
        <v>25</v>
      </c>
      <c r="B336" s="9" t="inlineStr">
        <is>
          <t>Bak lindi beton 100x100x100 (beton K-175)</t>
        </is>
      </c>
      <c r="C336" s="32">
        <f>0.6</f>
        <v/>
      </c>
      <c r="D336" s="8" t="inlineStr">
        <is>
          <t>m³</t>
        </is>
      </c>
      <c r="E336" s="11">
        <f>AHSP!$F$105</f>
        <v/>
      </c>
      <c r="F336" s="12">
        <f>C336*E336</f>
        <v/>
      </c>
      <c r="G336" s="9" t="inlineStr"/>
    </row>
    <row r="337">
      <c r="A337" s="8" t="n">
        <v>26</v>
      </c>
      <c r="B337" s="9" t="inlineStr">
        <is>
          <t>Saluran lindi 20x20 + tutup ram besi (beton K-175)</t>
        </is>
      </c>
      <c r="C337" s="32">
        <f>16.0*0.07</f>
        <v/>
      </c>
      <c r="D337" s="8" t="inlineStr">
        <is>
          <t>m³</t>
        </is>
      </c>
      <c r="E337" s="11">
        <f>AHSP!$F$105</f>
        <v/>
      </c>
      <c r="F337" s="12">
        <f>C337*E337</f>
        <v/>
      </c>
      <c r="G337" s="9" t="inlineStr"/>
    </row>
    <row r="338">
      <c r="A338" s="8" t="n">
        <v>27</v>
      </c>
      <c r="B338" s="9" t="inlineStr">
        <is>
          <t>Titik lampu</t>
        </is>
      </c>
      <c r="C338" s="32">
        <f>2</f>
        <v/>
      </c>
      <c r="D338" s="8" t="inlineStr">
        <is>
          <t>titik</t>
        </is>
      </c>
      <c r="E338" s="11">
        <f>ROUND('Harga Dasar'!$D$60*(1+Petunjuk!$C$15),-2)</f>
        <v/>
      </c>
      <c r="F338" s="12">
        <f>C338*E338</f>
        <v/>
      </c>
      <c r="G338" s="9" t="inlineStr"/>
    </row>
    <row r="339">
      <c r="A339" s="14" t="inlineStr"/>
      <c r="B339" s="15" t="inlineStr">
        <is>
          <t>Jumlah rumah kompos</t>
        </is>
      </c>
      <c r="C339" s="14" t="inlineStr"/>
      <c r="D339" s="14" t="inlineStr"/>
      <c r="E339" s="14" t="inlineStr"/>
      <c r="F339" s="16">
        <f>SUM(F308:F338)</f>
        <v/>
      </c>
      <c r="G339" s="14" t="inlineStr"/>
    </row>
    <row r="341">
      <c r="A341" s="33" t="inlineStr"/>
      <c r="B341" s="26" t="inlineStr">
        <is>
          <t>RUMAH MAGGOT BSF  (12 x 8 m)</t>
        </is>
      </c>
      <c r="C341" s="33" t="inlineStr"/>
      <c r="D341" s="33" t="inlineStr"/>
      <c r="E341" s="33" t="inlineStr"/>
      <c r="F341" s="33" t="inlineStr"/>
      <c r="G341" s="33" t="inlineStr"/>
    </row>
    <row r="342">
      <c r="A342" s="29" t="inlineStr"/>
      <c r="B342" s="30" t="inlineStr">
        <is>
          <t>I. PERSIAPAN DAN TANAH</t>
        </is>
      </c>
      <c r="C342" s="29" t="inlineStr"/>
      <c r="D342" s="29" t="inlineStr"/>
      <c r="E342" s="29" t="inlineStr"/>
      <c r="F342" s="29" t="inlineStr"/>
      <c r="G342" s="29" t="inlineStr"/>
    </row>
    <row r="343">
      <c r="A343" s="8" t="n">
        <v>1</v>
      </c>
      <c r="B343" s="9" t="inlineStr">
        <is>
          <t>Perataan lokasi dan peil</t>
        </is>
      </c>
      <c r="C343" s="32">
        <f>(12.0+4)*(8.0+4)</f>
        <v/>
      </c>
      <c r="D343" s="8" t="inlineStr">
        <is>
          <t>m²</t>
        </is>
      </c>
      <c r="E343" s="11">
        <f>AHSP!$F$9</f>
        <v/>
      </c>
      <c r="F343" s="12">
        <f>C343*E343</f>
        <v/>
      </c>
      <c r="G343" s="9" t="inlineStr">
        <is>
          <t>(panjang + 4) x (lebar + 4)</t>
        </is>
      </c>
    </row>
    <row r="344">
      <c r="A344" s="8" t="n">
        <v>2</v>
      </c>
      <c r="B344" s="9" t="inlineStr">
        <is>
          <t>Pengukuran dan bouwplank</t>
        </is>
      </c>
      <c r="C344" s="32">
        <f>2*(12.0+4+8.0+4)</f>
        <v/>
      </c>
      <c r="D344" s="8" t="inlineStr">
        <is>
          <t>m'</t>
        </is>
      </c>
      <c r="E344" s="11">
        <f>AHSP!$F$20</f>
        <v/>
      </c>
      <c r="F344" s="12">
        <f>C344*E344</f>
        <v/>
      </c>
      <c r="G344" s="9" t="inlineStr">
        <is>
          <t>keliling + 2 m</t>
        </is>
      </c>
    </row>
    <row r="345">
      <c r="A345" s="8" t="n">
        <v>3</v>
      </c>
      <c r="B345" s="9" t="inlineStr">
        <is>
          <t>Galian footplat 100x100x70</t>
        </is>
      </c>
      <c r="C345" s="32">
        <f>10*0.7</f>
        <v/>
      </c>
      <c r="D345" s="8" t="inlineStr">
        <is>
          <t>m³</t>
        </is>
      </c>
      <c r="E345" s="11">
        <f>AHSP!$F$27</f>
        <v/>
      </c>
      <c r="F345" s="12">
        <f>C345*E345</f>
        <v/>
      </c>
      <c r="G345" s="9" t="inlineStr">
        <is>
          <t>10 titik</t>
        </is>
      </c>
    </row>
    <row r="346">
      <c r="A346" s="8" t="n">
        <v>4</v>
      </c>
      <c r="B346" s="9" t="inlineStr">
        <is>
          <t>Urugan kembali</t>
        </is>
      </c>
      <c r="C346" s="32">
        <f>10*0.5015</f>
        <v/>
      </c>
      <c r="D346" s="8" t="inlineStr">
        <is>
          <t>m³</t>
        </is>
      </c>
      <c r="E346" s="11">
        <f>AHSP!$F$34</f>
        <v/>
      </c>
      <c r="F346" s="12">
        <f>C346*E346</f>
        <v/>
      </c>
      <c r="G346" s="9" t="inlineStr">
        <is>
          <t>sisa galian</t>
        </is>
      </c>
    </row>
    <row r="347">
      <c r="A347" s="8" t="n">
        <v>5</v>
      </c>
      <c r="B347" s="9" t="inlineStr">
        <is>
          <t>Urugan tanah peninggian dipadatkan</t>
        </is>
      </c>
      <c r="C347" s="32">
        <f>93.022*0.15</f>
        <v/>
      </c>
      <c r="D347" s="8" t="inlineStr">
        <is>
          <t>m³</t>
        </is>
      </c>
      <c r="E347" s="11">
        <f>AHSP!$F$42</f>
        <v/>
      </c>
      <c r="F347" s="12">
        <f>C347*E347</f>
        <v/>
      </c>
      <c r="G347" s="9" t="inlineStr">
        <is>
          <t>luas dalam x 0.15</t>
        </is>
      </c>
    </row>
    <row r="348">
      <c r="A348" s="8" t="n">
        <v>6</v>
      </c>
      <c r="B348" s="9" t="inlineStr">
        <is>
          <t>Urugan pasir bawah lantai, footplat, sloof</t>
        </is>
      </c>
      <c r="C348" s="32">
        <f>93.022*0.05+10*0.05+40.0*0.25*0.05</f>
        <v/>
      </c>
      <c r="D348" s="8" t="inlineStr">
        <is>
          <t>m³</t>
        </is>
      </c>
      <c r="E348" s="11">
        <f>AHSP!$F$50</f>
        <v/>
      </c>
      <c r="F348" s="12">
        <f>C348*E348</f>
        <v/>
      </c>
      <c r="G348" s="9" t="inlineStr"/>
    </row>
    <row r="349">
      <c r="A349" s="29" t="inlineStr"/>
      <c r="B349" s="30" t="inlineStr">
        <is>
          <t>II. STRUKTUR BETON</t>
        </is>
      </c>
      <c r="C349" s="29" t="inlineStr"/>
      <c r="D349" s="29" t="inlineStr"/>
      <c r="E349" s="29" t="inlineStr"/>
      <c r="F349" s="29" t="inlineStr"/>
      <c r="G349" s="29" t="inlineStr"/>
    </row>
    <row r="350">
      <c r="A350" s="8" t="n">
        <v>7</v>
      </c>
      <c r="B350" s="9" t="inlineStr">
        <is>
          <t>Lantai kerja K-100</t>
        </is>
      </c>
      <c r="C350" s="32">
        <f>10*0.0405</f>
        <v/>
      </c>
      <c r="D350" s="8" t="inlineStr">
        <is>
          <t>m³</t>
        </is>
      </c>
      <c r="E350" s="11">
        <f>AHSP!$F$93</f>
        <v/>
      </c>
      <c r="F350" s="12">
        <f>C350*E350</f>
        <v/>
      </c>
      <c r="G350" s="9" t="inlineStr"/>
    </row>
    <row r="351">
      <c r="A351" s="8" t="n">
        <v>8</v>
      </c>
      <c r="B351" s="9" t="inlineStr">
        <is>
          <t>Beton K-225 footplat 70x70x20</t>
        </is>
      </c>
      <c r="C351" s="32">
        <f>10*0.098</f>
        <v/>
      </c>
      <c r="D351" s="8" t="inlineStr">
        <is>
          <t>m³</t>
        </is>
      </c>
      <c r="E351" s="11">
        <f>AHSP!$F$117</f>
        <v/>
      </c>
      <c r="F351" s="12">
        <f>C351*E351</f>
        <v/>
      </c>
      <c r="G351" s="9" t="inlineStr"/>
    </row>
    <row r="352">
      <c r="A352" s="8" t="n">
        <v>9</v>
      </c>
      <c r="B352" s="9" t="inlineStr">
        <is>
          <t>Beton K-225 kolom 15/15 tinggi 3,70</t>
        </is>
      </c>
      <c r="C352" s="32">
        <f>10*0.0225*3.7</f>
        <v/>
      </c>
      <c r="D352" s="8" t="inlineStr">
        <is>
          <t>m³</t>
        </is>
      </c>
      <c r="E352" s="11">
        <f>AHSP!$F$117</f>
        <v/>
      </c>
      <c r="F352" s="12">
        <f>C352*E352</f>
        <v/>
      </c>
      <c r="G352" s="9" t="inlineStr">
        <is>
          <t>pedestal + kolom sampai +300</t>
        </is>
      </c>
    </row>
    <row r="353">
      <c r="A353" s="8" t="n">
        <v>10</v>
      </c>
      <c r="B353" s="9" t="inlineStr">
        <is>
          <t>Beton K-225 sloof 15/25</t>
        </is>
      </c>
      <c r="C353" s="32">
        <f>38.50*0.0375</f>
        <v/>
      </c>
      <c r="D353" s="8" t="inlineStr">
        <is>
          <t>m³</t>
        </is>
      </c>
      <c r="E353" s="11">
        <f>AHSP!$F$117</f>
        <v/>
      </c>
      <c r="F353" s="12">
        <f>C353*E353</f>
        <v/>
      </c>
      <c r="G353" s="9" t="inlineStr"/>
    </row>
    <row r="354">
      <c r="A354" s="8" t="n">
        <v>11</v>
      </c>
      <c r="B354" s="9" t="inlineStr">
        <is>
          <t>Beton K-225 ring balk 15/20</t>
        </is>
      </c>
      <c r="C354" s="32">
        <f>38.50*0.03</f>
        <v/>
      </c>
      <c r="D354" s="8" t="inlineStr">
        <is>
          <t>m³</t>
        </is>
      </c>
      <c r="E354" s="11">
        <f>AHSP!$F$117</f>
        <v/>
      </c>
      <c r="F354" s="12">
        <f>C354*E354</f>
        <v/>
      </c>
      <c r="G354" s="9" t="inlineStr"/>
    </row>
    <row r="355">
      <c r="A355" s="8" t="n">
        <v>12</v>
      </c>
      <c r="B355" s="9" t="inlineStr">
        <is>
          <t>Pembesian</t>
        </is>
      </c>
      <c r="C355" s="32">
        <f>10*4.44+10*15.65+38.50*4.558+38.50*4.295</f>
        <v/>
      </c>
      <c r="D355" s="8" t="inlineStr">
        <is>
          <t>kg</t>
        </is>
      </c>
      <c r="E355" s="11">
        <f>AHSP!$F$128</f>
        <v/>
      </c>
      <c r="F355" s="12">
        <f>C355*E355</f>
        <v/>
      </c>
      <c r="G355" s="9" t="inlineStr">
        <is>
          <t>footplat + kolom + sloof + ring balk</t>
        </is>
      </c>
    </row>
    <row r="356">
      <c r="A356" s="8" t="n">
        <v>13</v>
      </c>
      <c r="B356" s="9" t="inlineStr">
        <is>
          <t>Bekisting</t>
        </is>
      </c>
      <c r="C356" s="32">
        <f>10*0.56+10*0.6*3.7+38.50*0.5+38.50*0.55</f>
        <v/>
      </c>
      <c r="D356" s="8" t="inlineStr">
        <is>
          <t>m²</t>
        </is>
      </c>
      <c r="E356" s="11">
        <f>AHSP!$F$140</f>
        <v/>
      </c>
      <c r="F356" s="12">
        <f>C356*E356</f>
        <v/>
      </c>
      <c r="G356" s="9" t="inlineStr"/>
    </row>
    <row r="357">
      <c r="A357" s="29" t="inlineStr"/>
      <c r="B357" s="30" t="inlineStr">
        <is>
          <t>III. DINDING, LANTAI, ATAP</t>
        </is>
      </c>
      <c r="C357" s="29" t="inlineStr"/>
      <c r="D357" s="29" t="inlineStr"/>
      <c r="E357" s="29" t="inlineStr"/>
      <c r="F357" s="29" t="inlineStr"/>
      <c r="G357" s="29" t="inlineStr"/>
    </row>
    <row r="358">
      <c r="A358" s="8" t="n">
        <v>14</v>
      </c>
      <c r="B358" s="9" t="inlineStr">
        <is>
          <t>Pasangan bata 1/2 bata</t>
        </is>
      </c>
      <c r="C358" s="32">
        <f>35.98</f>
        <v/>
      </c>
      <c r="D358" s="8" t="inlineStr">
        <is>
          <t>m²</t>
        </is>
      </c>
      <c r="E358" s="11">
        <f>AHSP!$F$152</f>
        <v/>
      </c>
      <c r="F358" s="12">
        <f>C358*E358</f>
        <v/>
      </c>
      <c r="G358" s="9" t="inlineStr">
        <is>
          <t>dinding luar h 1 m, dikurangi bukaan</t>
        </is>
      </c>
    </row>
    <row r="359">
      <c r="A359" s="8" t="n">
        <v>15</v>
      </c>
      <c r="B359" s="9" t="inlineStr">
        <is>
          <t>Plesteran dua sisi</t>
        </is>
      </c>
      <c r="C359" s="32">
        <f>2*35.98</f>
        <v/>
      </c>
      <c r="D359" s="8" t="inlineStr">
        <is>
          <t>m²</t>
        </is>
      </c>
      <c r="E359" s="11">
        <f>AHSP!$F$163</f>
        <v/>
      </c>
      <c r="F359" s="12">
        <f>C359*E359</f>
        <v/>
      </c>
      <c r="G359" s="9" t="inlineStr"/>
    </row>
    <row r="360">
      <c r="A360" s="8" t="n">
        <v>16</v>
      </c>
      <c r="B360" s="9" t="inlineStr">
        <is>
          <t>Acian sisi luar</t>
        </is>
      </c>
      <c r="C360" s="32">
        <f>1*35.98</f>
        <v/>
      </c>
      <c r="D360" s="8" t="inlineStr">
        <is>
          <t>m²</t>
        </is>
      </c>
      <c r="E360" s="11">
        <f>AHSP!$F$173</f>
        <v/>
      </c>
      <c r="F360" s="12">
        <f>C360*E360</f>
        <v/>
      </c>
      <c r="G360" s="9" t="inlineStr"/>
    </row>
    <row r="361">
      <c r="A361" s="8" t="n">
        <v>17</v>
      </c>
      <c r="B361" s="9" t="inlineStr">
        <is>
          <t>Pengecatan sisi luar</t>
        </is>
      </c>
      <c r="C361" s="32">
        <f>1*35.98</f>
        <v/>
      </c>
      <c r="D361" s="8" t="inlineStr">
        <is>
          <t>m²</t>
        </is>
      </c>
      <c r="E361" s="11">
        <f>AHSP!$F$184</f>
        <v/>
      </c>
      <c r="F361" s="12">
        <f>C361*E361</f>
        <v/>
      </c>
      <c r="G361" s="9" t="inlineStr"/>
    </row>
    <row r="362">
      <c r="A362" s="8" t="n">
        <v>18</v>
      </c>
      <c r="B362" s="9" t="inlineStr">
        <is>
          <t>Lantai beton K-175 t=10</t>
        </is>
      </c>
      <c r="C362" s="32">
        <f>93.022*0.1</f>
        <v/>
      </c>
      <c r="D362" s="8" t="inlineStr">
        <is>
          <t>m³</t>
        </is>
      </c>
      <c r="E362" s="11">
        <f>AHSP!$F$105</f>
        <v/>
      </c>
      <c r="F362" s="12">
        <f>C362*E362</f>
        <v/>
      </c>
      <c r="G362" s="9" t="inlineStr"/>
    </row>
    <row r="363">
      <c r="A363" s="8" t="n">
        <v>19</v>
      </c>
      <c r="B363" s="9" t="inlineStr">
        <is>
          <t>Rangka atap baja ringan</t>
        </is>
      </c>
      <c r="C363" s="32">
        <f>137.70</f>
        <v/>
      </c>
      <c r="D363" s="8" t="inlineStr">
        <is>
          <t>m²</t>
        </is>
      </c>
      <c r="E363" s="11">
        <f>AHSP!$F$218</f>
        <v/>
      </c>
      <c r="F363" s="12">
        <f>C363*E363</f>
        <v/>
      </c>
      <c r="G363" s="9" t="inlineStr">
        <is>
          <t>kemiringan sisi utara + selatan (termasuk teras) x (panjang + 1)</t>
        </is>
      </c>
    </row>
    <row r="364">
      <c r="A364" s="8" t="n">
        <v>20</v>
      </c>
      <c r="B364" s="9" t="inlineStr">
        <is>
          <t>Penutup atap galvalum</t>
        </is>
      </c>
      <c r="C364" s="32">
        <f>137.70</f>
        <v/>
      </c>
      <c r="D364" s="8" t="inlineStr">
        <is>
          <t>m²</t>
        </is>
      </c>
      <c r="E364" s="11">
        <f>AHSP!$F$229</f>
        <v/>
      </c>
      <c r="F364" s="12">
        <f>C364*E364</f>
        <v/>
      </c>
      <c r="G364" s="9" t="inlineStr"/>
    </row>
    <row r="365">
      <c r="A365" s="8" t="n">
        <v>21</v>
      </c>
      <c r="B365" s="9" t="inlineStr">
        <is>
          <t>Nok</t>
        </is>
      </c>
      <c r="C365" s="32">
        <f>12.0+1</f>
        <v/>
      </c>
      <c r="D365" s="8" t="inlineStr">
        <is>
          <t>m'</t>
        </is>
      </c>
      <c r="E365" s="11">
        <f>AHSP!$F$238</f>
        <v/>
      </c>
      <c r="F365" s="12">
        <f>C365*E365</f>
        <v/>
      </c>
      <c r="G365" s="9" t="inlineStr"/>
    </row>
    <row r="366">
      <c r="A366" s="8" t="n">
        <v>22</v>
      </c>
      <c r="B366" s="9" t="inlineStr">
        <is>
          <t>Lisplang/flashing</t>
        </is>
      </c>
      <c r="C366" s="32">
        <f>2*(12.0+1)+4*5.30</f>
        <v/>
      </c>
      <c r="D366" s="8" t="inlineStr">
        <is>
          <t>m'</t>
        </is>
      </c>
      <c r="E366" s="11">
        <f>AHSP!$F$247</f>
        <v/>
      </c>
      <c r="F366" s="12">
        <f>C366*E366</f>
        <v/>
      </c>
      <c r="G366" s="9" t="inlineStr"/>
    </row>
    <row r="367">
      <c r="A367" s="8" t="n">
        <v>23</v>
      </c>
      <c r="B367" s="9" t="inlineStr">
        <is>
          <t>Penutup gevel kawat harmonika</t>
        </is>
      </c>
      <c r="C367" s="32">
        <f>14.92</f>
        <v/>
      </c>
      <c r="D367" s="8" t="inlineStr">
        <is>
          <t>m²</t>
        </is>
      </c>
      <c r="E367" s="11">
        <f>AHSP!$F$270</f>
        <v/>
      </c>
      <c r="F367" s="12">
        <f>C367*E367</f>
        <v/>
      </c>
      <c r="G367" s="9" t="inlineStr">
        <is>
          <t>2 segitiga di atas ring balk</t>
        </is>
      </c>
    </row>
    <row r="368">
      <c r="A368" s="29" t="inlineStr"/>
      <c r="B368" s="30" t="inlineStr">
        <is>
          <t>IV. PINTU, JENDELA DAN UTILITAS</t>
        </is>
      </c>
      <c r="C368" s="29" t="inlineStr"/>
      <c r="D368" s="29" t="inlineStr"/>
      <c r="E368" s="29" t="inlineStr"/>
      <c r="F368" s="29" t="inlineStr"/>
      <c r="G368" s="29" t="inlineStr"/>
    </row>
    <row r="369">
      <c r="A369" s="8" t="n">
        <v>24</v>
      </c>
      <c r="B369" s="9" t="inlineStr">
        <is>
          <t>Finishing lantai</t>
        </is>
      </c>
      <c r="C369" s="32">
        <f>93.022</f>
        <v/>
      </c>
      <c r="D369" s="8" t="inlineStr">
        <is>
          <t>m²</t>
        </is>
      </c>
      <c r="E369" s="11">
        <f>AHSP!$F$192</f>
        <v/>
      </c>
      <c r="F369" s="12">
        <f>C369*E369</f>
        <v/>
      </c>
      <c r="G369" s="9" t="inlineStr"/>
    </row>
    <row r="370">
      <c r="A370" s="8" t="n">
        <v>25</v>
      </c>
      <c r="B370" s="9" t="inlineStr">
        <is>
          <t>Kasa nyamuk di atas dinding 100 cm</t>
        </is>
      </c>
      <c r="C370" s="32">
        <f>37.30*2.0</f>
        <v/>
      </c>
      <c r="D370" s="8" t="inlineStr">
        <is>
          <t>m²</t>
        </is>
      </c>
      <c r="E370" s="11">
        <f>AHSP!$F$351</f>
        <v/>
      </c>
      <c r="F370" s="12">
        <f>C370*E370</f>
        <v/>
      </c>
      <c r="G370" s="9" t="inlineStr"/>
    </row>
    <row r="371">
      <c r="A371" s="8" t="n">
        <v>26</v>
      </c>
      <c r="B371" s="9" t="inlineStr">
        <is>
          <t>Sekat kasa ruang kandang lalat</t>
        </is>
      </c>
      <c r="C371" s="32">
        <f>(3.3+3.8)*2.5</f>
        <v/>
      </c>
      <c r="D371" s="8" t="inlineStr">
        <is>
          <t>m²</t>
        </is>
      </c>
      <c r="E371" s="11">
        <f>AHSP!$F$351</f>
        <v/>
      </c>
      <c r="F371" s="12">
        <f>C371*E371</f>
        <v/>
      </c>
      <c r="G371" s="9" t="inlineStr"/>
    </row>
    <row r="372">
      <c r="A372" s="8" t="n">
        <v>27</v>
      </c>
      <c r="B372" s="9" t="inlineStr">
        <is>
          <t>Pintu rangka hollow + kawat</t>
        </is>
      </c>
      <c r="C372" s="32">
        <f>1.2*2.1+0.8*2.1</f>
        <v/>
      </c>
      <c r="D372" s="8" t="inlineStr">
        <is>
          <t>m²</t>
        </is>
      </c>
      <c r="E372" s="11">
        <f>AHSP!$F$328</f>
        <v/>
      </c>
      <c r="F372" s="12">
        <f>C372*E372</f>
        <v/>
      </c>
      <c r="G372" s="9" t="inlineStr"/>
    </row>
    <row r="373">
      <c r="A373" s="8" t="n">
        <v>28</v>
      </c>
      <c r="B373" s="9" t="inlineStr">
        <is>
          <t>Biopond bata 100x150</t>
        </is>
      </c>
      <c r="C373" s="32">
        <f>15</f>
        <v/>
      </c>
      <c r="D373" s="8" t="inlineStr">
        <is>
          <t>unit</t>
        </is>
      </c>
      <c r="E373" s="11">
        <f>ROUND('Harga Dasar'!$D$72*(1+Petunjuk!$C$15),-2)</f>
        <v/>
      </c>
      <c r="F373" s="12">
        <f>C373*E373</f>
        <v/>
      </c>
      <c r="G373" s="9" t="inlineStr"/>
    </row>
    <row r="374">
      <c r="A374" s="8" t="n">
        <v>29</v>
      </c>
      <c r="B374" s="9" t="inlineStr">
        <is>
          <t>Titik lampu</t>
        </is>
      </c>
      <c r="C374" s="32">
        <f>4</f>
        <v/>
      </c>
      <c r="D374" s="8" t="inlineStr">
        <is>
          <t>titik</t>
        </is>
      </c>
      <c r="E374" s="11">
        <f>ROUND('Harga Dasar'!$D$60*(1+Petunjuk!$C$15),-2)</f>
        <v/>
      </c>
      <c r="F374" s="12">
        <f>C374*E374</f>
        <v/>
      </c>
      <c r="G374" s="9" t="inlineStr"/>
    </row>
    <row r="375">
      <c r="A375" s="14" t="inlineStr"/>
      <c r="B375" s="15" t="inlineStr">
        <is>
          <t>Jumlah rumah maggot bsf</t>
        </is>
      </c>
      <c r="C375" s="14" t="inlineStr"/>
      <c r="D375" s="14" t="inlineStr"/>
      <c r="E375" s="14" t="inlineStr"/>
      <c r="F375" s="16">
        <f>SUM(F342:F374)</f>
        <v/>
      </c>
      <c r="G375" s="14" t="inlineStr"/>
    </row>
    <row r="377">
      <c r="A377" s="33" t="inlineStr"/>
      <c r="B377" s="26" t="inlineStr">
        <is>
          <t>KANDANG KARANTINA  (8 x 6 m)</t>
        </is>
      </c>
      <c r="C377" s="33" t="inlineStr"/>
      <c r="D377" s="33" t="inlineStr"/>
      <c r="E377" s="33" t="inlineStr"/>
      <c r="F377" s="33" t="inlineStr"/>
      <c r="G377" s="33" t="inlineStr"/>
    </row>
    <row r="378">
      <c r="A378" s="29" t="inlineStr"/>
      <c r="B378" s="30" t="inlineStr">
        <is>
          <t>I. PERSIAPAN DAN TANAH</t>
        </is>
      </c>
      <c r="C378" s="29" t="inlineStr"/>
      <c r="D378" s="29" t="inlineStr"/>
      <c r="E378" s="29" t="inlineStr"/>
      <c r="F378" s="29" t="inlineStr"/>
      <c r="G378" s="29" t="inlineStr"/>
    </row>
    <row r="379">
      <c r="A379" s="8" t="n">
        <v>1</v>
      </c>
      <c r="B379" s="9" t="inlineStr">
        <is>
          <t>Perataan lokasi dan peil</t>
        </is>
      </c>
      <c r="C379" s="32">
        <f>(8.0+4)*(6.0+4)</f>
        <v/>
      </c>
      <c r="D379" s="8" t="inlineStr">
        <is>
          <t>m²</t>
        </is>
      </c>
      <c r="E379" s="11">
        <f>AHSP!$F$9</f>
        <v/>
      </c>
      <c r="F379" s="12">
        <f>C379*E379</f>
        <v/>
      </c>
      <c r="G379" s="9" t="inlineStr">
        <is>
          <t>(panjang + 4) x (lebar + 4)</t>
        </is>
      </c>
    </row>
    <row r="380">
      <c r="A380" s="8" t="n">
        <v>2</v>
      </c>
      <c r="B380" s="9" t="inlineStr">
        <is>
          <t>Pengukuran dan bouwplank</t>
        </is>
      </c>
      <c r="C380" s="32">
        <f>2*(8.0+4+6.0+4)</f>
        <v/>
      </c>
      <c r="D380" s="8" t="inlineStr">
        <is>
          <t>m'</t>
        </is>
      </c>
      <c r="E380" s="11">
        <f>AHSP!$F$20</f>
        <v/>
      </c>
      <c r="F380" s="12">
        <f>C380*E380</f>
        <v/>
      </c>
      <c r="G380" s="9" t="inlineStr">
        <is>
          <t>keliling + 2 m</t>
        </is>
      </c>
    </row>
    <row r="381">
      <c r="A381" s="8" t="n">
        <v>3</v>
      </c>
      <c r="B381" s="9" t="inlineStr">
        <is>
          <t>Galian footplat 100x100x70</t>
        </is>
      </c>
      <c r="C381" s="32">
        <f>6*0.7</f>
        <v/>
      </c>
      <c r="D381" s="8" t="inlineStr">
        <is>
          <t>m³</t>
        </is>
      </c>
      <c r="E381" s="11">
        <f>AHSP!$F$27</f>
        <v/>
      </c>
      <c r="F381" s="12">
        <f>C381*E381</f>
        <v/>
      </c>
      <c r="G381" s="9" t="inlineStr">
        <is>
          <t>6 titik</t>
        </is>
      </c>
    </row>
    <row r="382">
      <c r="A382" s="8" t="n">
        <v>4</v>
      </c>
      <c r="B382" s="9" t="inlineStr">
        <is>
          <t>Urugan kembali</t>
        </is>
      </c>
      <c r="C382" s="32">
        <f>6*0.5015</f>
        <v/>
      </c>
      <c r="D382" s="8" t="inlineStr">
        <is>
          <t>m³</t>
        </is>
      </c>
      <c r="E382" s="11">
        <f>AHSP!$F$34</f>
        <v/>
      </c>
      <c r="F382" s="12">
        <f>C382*E382</f>
        <v/>
      </c>
      <c r="G382" s="9" t="inlineStr">
        <is>
          <t>sisa galian</t>
        </is>
      </c>
    </row>
    <row r="383">
      <c r="A383" s="8" t="n">
        <v>5</v>
      </c>
      <c r="B383" s="9" t="inlineStr">
        <is>
          <t>Urugan tanah peninggian dipadatkan</t>
        </is>
      </c>
      <c r="C383" s="32">
        <f>45.922*0.18</f>
        <v/>
      </c>
      <c r="D383" s="8" t="inlineStr">
        <is>
          <t>m³</t>
        </is>
      </c>
      <c r="E383" s="11">
        <f>AHSP!$F$42</f>
        <v/>
      </c>
      <c r="F383" s="12">
        <f>C383*E383</f>
        <v/>
      </c>
      <c r="G383" s="9" t="inlineStr">
        <is>
          <t>luas dalam x 0.18</t>
        </is>
      </c>
    </row>
    <row r="384">
      <c r="A384" s="8" t="n">
        <v>6</v>
      </c>
      <c r="B384" s="9" t="inlineStr">
        <is>
          <t>Urugan pasir bawah lantai, footplat, sloof</t>
        </is>
      </c>
      <c r="C384" s="32">
        <f>45.922*0.05+6*0.05+28.0*0.25*0.05</f>
        <v/>
      </c>
      <c r="D384" s="8" t="inlineStr">
        <is>
          <t>m³</t>
        </is>
      </c>
      <c r="E384" s="11">
        <f>AHSP!$F$50</f>
        <v/>
      </c>
      <c r="F384" s="12">
        <f>C384*E384</f>
        <v/>
      </c>
      <c r="G384" s="9" t="inlineStr"/>
    </row>
    <row r="385">
      <c r="A385" s="29" t="inlineStr"/>
      <c r="B385" s="30" t="inlineStr">
        <is>
          <t>II. STRUKTUR BETON</t>
        </is>
      </c>
      <c r="C385" s="29" t="inlineStr"/>
      <c r="D385" s="29" t="inlineStr"/>
      <c r="E385" s="29" t="inlineStr"/>
      <c r="F385" s="29" t="inlineStr"/>
      <c r="G385" s="29" t="inlineStr"/>
    </row>
    <row r="386">
      <c r="A386" s="8" t="n">
        <v>7</v>
      </c>
      <c r="B386" s="9" t="inlineStr">
        <is>
          <t>Lantai kerja K-100</t>
        </is>
      </c>
      <c r="C386" s="32">
        <f>6*0.0405</f>
        <v/>
      </c>
      <c r="D386" s="8" t="inlineStr">
        <is>
          <t>m³</t>
        </is>
      </c>
      <c r="E386" s="11">
        <f>AHSP!$F$93</f>
        <v/>
      </c>
      <c r="F386" s="12">
        <f>C386*E386</f>
        <v/>
      </c>
      <c r="G386" s="9" t="inlineStr"/>
    </row>
    <row r="387">
      <c r="A387" s="8" t="n">
        <v>8</v>
      </c>
      <c r="B387" s="9" t="inlineStr">
        <is>
          <t>Beton K-225 footplat 70x70x20</t>
        </is>
      </c>
      <c r="C387" s="32">
        <f>6*0.098</f>
        <v/>
      </c>
      <c r="D387" s="8" t="inlineStr">
        <is>
          <t>m³</t>
        </is>
      </c>
      <c r="E387" s="11">
        <f>AHSP!$F$117</f>
        <v/>
      </c>
      <c r="F387" s="12">
        <f>C387*E387</f>
        <v/>
      </c>
      <c r="G387" s="9" t="inlineStr"/>
    </row>
    <row r="388">
      <c r="A388" s="8" t="n">
        <v>9</v>
      </c>
      <c r="B388" s="9" t="inlineStr">
        <is>
          <t>Beton K-225 kolom 15/15 tinggi 3,70</t>
        </is>
      </c>
      <c r="C388" s="32">
        <f>6*0.0225*3.7</f>
        <v/>
      </c>
      <c r="D388" s="8" t="inlineStr">
        <is>
          <t>m³</t>
        </is>
      </c>
      <c r="E388" s="11">
        <f>AHSP!$F$117</f>
        <v/>
      </c>
      <c r="F388" s="12">
        <f>C388*E388</f>
        <v/>
      </c>
      <c r="G388" s="9" t="inlineStr">
        <is>
          <t>pedestal + kolom sampai +300</t>
        </is>
      </c>
    </row>
    <row r="389">
      <c r="A389" s="8" t="n">
        <v>10</v>
      </c>
      <c r="B389" s="9" t="inlineStr">
        <is>
          <t>Beton K-225 sloof 15/25</t>
        </is>
      </c>
      <c r="C389" s="32">
        <f>27.10*0.0375</f>
        <v/>
      </c>
      <c r="D389" s="8" t="inlineStr">
        <is>
          <t>m³</t>
        </is>
      </c>
      <c r="E389" s="11">
        <f>AHSP!$F$117</f>
        <v/>
      </c>
      <c r="F389" s="12">
        <f>C389*E389</f>
        <v/>
      </c>
      <c r="G389" s="9" t="inlineStr"/>
    </row>
    <row r="390">
      <c r="A390" s="8" t="n">
        <v>11</v>
      </c>
      <c r="B390" s="9" t="inlineStr">
        <is>
          <t>Beton K-225 ring balk 15/20</t>
        </is>
      </c>
      <c r="C390" s="32">
        <f>27.10*0.03</f>
        <v/>
      </c>
      <c r="D390" s="8" t="inlineStr">
        <is>
          <t>m³</t>
        </is>
      </c>
      <c r="E390" s="11">
        <f>AHSP!$F$117</f>
        <v/>
      </c>
      <c r="F390" s="12">
        <f>C390*E390</f>
        <v/>
      </c>
      <c r="G390" s="9" t="inlineStr"/>
    </row>
    <row r="391">
      <c r="A391" s="8" t="n">
        <v>12</v>
      </c>
      <c r="B391" s="9" t="inlineStr">
        <is>
          <t>Pembesian</t>
        </is>
      </c>
      <c r="C391" s="32">
        <f>6*4.44+6*15.65+27.10*4.558+27.10*4.295</f>
        <v/>
      </c>
      <c r="D391" s="8" t="inlineStr">
        <is>
          <t>kg</t>
        </is>
      </c>
      <c r="E391" s="11">
        <f>AHSP!$F$128</f>
        <v/>
      </c>
      <c r="F391" s="12">
        <f>C391*E391</f>
        <v/>
      </c>
      <c r="G391" s="9" t="inlineStr">
        <is>
          <t>footplat + kolom + sloof + ring balk</t>
        </is>
      </c>
    </row>
    <row r="392">
      <c r="A392" s="8" t="n">
        <v>13</v>
      </c>
      <c r="B392" s="9" t="inlineStr">
        <is>
          <t>Bekisting</t>
        </is>
      </c>
      <c r="C392" s="32">
        <f>6*0.56+6*0.6*3.7+27.10*0.5+27.10*0.55</f>
        <v/>
      </c>
      <c r="D392" s="8" t="inlineStr">
        <is>
          <t>m²</t>
        </is>
      </c>
      <c r="E392" s="11">
        <f>AHSP!$F$140</f>
        <v/>
      </c>
      <c r="F392" s="12">
        <f>C392*E392</f>
        <v/>
      </c>
      <c r="G392" s="9" t="inlineStr"/>
    </row>
    <row r="393">
      <c r="A393" s="29" t="inlineStr"/>
      <c r="B393" s="30" t="inlineStr">
        <is>
          <t>III. DINDING, LANTAI, ATAP</t>
        </is>
      </c>
      <c r="C393" s="29" t="inlineStr"/>
      <c r="D393" s="29" t="inlineStr"/>
      <c r="E393" s="29" t="inlineStr"/>
      <c r="F393" s="29" t="inlineStr"/>
      <c r="G393" s="29" t="inlineStr"/>
    </row>
    <row r="394">
      <c r="A394" s="8" t="n">
        <v>14</v>
      </c>
      <c r="B394" s="9" t="inlineStr">
        <is>
          <t>Pasangan bata 1/2 bata</t>
        </is>
      </c>
      <c r="C394" s="32">
        <f>13.10</f>
        <v/>
      </c>
      <c r="D394" s="8" t="inlineStr">
        <is>
          <t>m²</t>
        </is>
      </c>
      <c r="E394" s="11">
        <f>AHSP!$F$152</f>
        <v/>
      </c>
      <c r="F394" s="12">
        <f>C394*E394</f>
        <v/>
      </c>
      <c r="G394" s="9" t="inlineStr">
        <is>
          <t>dinding luar h 0.5 m, dikurangi bukaan</t>
        </is>
      </c>
    </row>
    <row r="395">
      <c r="A395" s="8" t="n">
        <v>15</v>
      </c>
      <c r="B395" s="9" t="inlineStr">
        <is>
          <t>Plesteran dua sisi</t>
        </is>
      </c>
      <c r="C395" s="32">
        <f>2*13.10</f>
        <v/>
      </c>
      <c r="D395" s="8" t="inlineStr">
        <is>
          <t>m²</t>
        </is>
      </c>
      <c r="E395" s="11">
        <f>AHSP!$F$163</f>
        <v/>
      </c>
      <c r="F395" s="12">
        <f>C395*E395</f>
        <v/>
      </c>
      <c r="G395" s="9" t="inlineStr"/>
    </row>
    <row r="396">
      <c r="A396" s="8" t="n">
        <v>16</v>
      </c>
      <c r="B396" s="9" t="inlineStr">
        <is>
          <t>Acian sisi luar</t>
        </is>
      </c>
      <c r="C396" s="32">
        <f>1*13.10</f>
        <v/>
      </c>
      <c r="D396" s="8" t="inlineStr">
        <is>
          <t>m²</t>
        </is>
      </c>
      <c r="E396" s="11">
        <f>AHSP!$F$173</f>
        <v/>
      </c>
      <c r="F396" s="12">
        <f>C396*E396</f>
        <v/>
      </c>
      <c r="G396" s="9" t="inlineStr"/>
    </row>
    <row r="397">
      <c r="A397" s="8" t="n">
        <v>17</v>
      </c>
      <c r="B397" s="9" t="inlineStr">
        <is>
          <t>Pengecatan sisi luar</t>
        </is>
      </c>
      <c r="C397" s="32">
        <f>1*13.10</f>
        <v/>
      </c>
      <c r="D397" s="8" t="inlineStr">
        <is>
          <t>m²</t>
        </is>
      </c>
      <c r="E397" s="11">
        <f>AHSP!$F$184</f>
        <v/>
      </c>
      <c r="F397" s="12">
        <f>C397*E397</f>
        <v/>
      </c>
      <c r="G397" s="9" t="inlineStr"/>
    </row>
    <row r="398">
      <c r="A398" s="8" t="n">
        <v>18</v>
      </c>
      <c r="B398" s="9" t="inlineStr">
        <is>
          <t>Lantai beton K-175 t=7</t>
        </is>
      </c>
      <c r="C398" s="32">
        <f>45.922*0.07</f>
        <v/>
      </c>
      <c r="D398" s="8" t="inlineStr">
        <is>
          <t>m³</t>
        </is>
      </c>
      <c r="E398" s="11">
        <f>AHSP!$F$105</f>
        <v/>
      </c>
      <c r="F398" s="12">
        <f>C398*E398</f>
        <v/>
      </c>
      <c r="G398" s="9" t="inlineStr"/>
    </row>
    <row r="399">
      <c r="A399" s="8" t="n">
        <v>19</v>
      </c>
      <c r="B399" s="9" t="inlineStr">
        <is>
          <t>Rangka atap baja ringan</t>
        </is>
      </c>
      <c r="C399" s="32">
        <f>75.47</f>
        <v/>
      </c>
      <c r="D399" s="8" t="inlineStr">
        <is>
          <t>m²</t>
        </is>
      </c>
      <c r="E399" s="11">
        <f>AHSP!$F$218</f>
        <v/>
      </c>
      <c r="F399" s="12">
        <f>C399*E399</f>
        <v/>
      </c>
      <c r="G399" s="9" t="inlineStr">
        <is>
          <t>kemiringan sisi utara + selatan (termasuk teras) x (panjang + 1)</t>
        </is>
      </c>
    </row>
    <row r="400">
      <c r="A400" s="8" t="n">
        <v>20</v>
      </c>
      <c r="B400" s="9" t="inlineStr">
        <is>
          <t>Penutup atap galvalum</t>
        </is>
      </c>
      <c r="C400" s="32">
        <f>75.47</f>
        <v/>
      </c>
      <c r="D400" s="8" t="inlineStr">
        <is>
          <t>m²</t>
        </is>
      </c>
      <c r="E400" s="11">
        <f>AHSP!$F$229</f>
        <v/>
      </c>
      <c r="F400" s="12">
        <f>C400*E400</f>
        <v/>
      </c>
      <c r="G400" s="9" t="inlineStr"/>
    </row>
    <row r="401">
      <c r="A401" s="8" t="n">
        <v>21</v>
      </c>
      <c r="B401" s="9" t="inlineStr">
        <is>
          <t>Nok</t>
        </is>
      </c>
      <c r="C401" s="32">
        <f>8.0+1</f>
        <v/>
      </c>
      <c r="D401" s="8" t="inlineStr">
        <is>
          <t>m'</t>
        </is>
      </c>
      <c r="E401" s="11">
        <f>AHSP!$F$238</f>
        <v/>
      </c>
      <c r="F401" s="12">
        <f>C401*E401</f>
        <v/>
      </c>
      <c r="G401" s="9" t="inlineStr"/>
    </row>
    <row r="402">
      <c r="A402" s="8" t="n">
        <v>22</v>
      </c>
      <c r="B402" s="9" t="inlineStr">
        <is>
          <t>Lisplang/flashing</t>
        </is>
      </c>
      <c r="C402" s="32">
        <f>2*(8.0+1)+4*4.19</f>
        <v/>
      </c>
      <c r="D402" s="8" t="inlineStr">
        <is>
          <t>m'</t>
        </is>
      </c>
      <c r="E402" s="11">
        <f>AHSP!$F$247</f>
        <v/>
      </c>
      <c r="F402" s="12">
        <f>C402*E402</f>
        <v/>
      </c>
      <c r="G402" s="9" t="inlineStr"/>
    </row>
    <row r="403">
      <c r="A403" s="8" t="n">
        <v>23</v>
      </c>
      <c r="B403" s="9" t="inlineStr">
        <is>
          <t>Penutup gevel kawat harmonika</t>
        </is>
      </c>
      <c r="C403" s="32">
        <f>8.39</f>
        <v/>
      </c>
      <c r="D403" s="8" t="inlineStr">
        <is>
          <t>m²</t>
        </is>
      </c>
      <c r="E403" s="11">
        <f>AHSP!$F$270</f>
        <v/>
      </c>
      <c r="F403" s="12">
        <f>C403*E403</f>
        <v/>
      </c>
      <c r="G403" s="9" t="inlineStr">
        <is>
          <t>2 segitiga di atas ring balk</t>
        </is>
      </c>
    </row>
    <row r="404">
      <c r="A404" s="29" t="inlineStr"/>
      <c r="B404" s="30" t="inlineStr">
        <is>
          <t>IV. PINTU, JENDELA DAN UTILITAS</t>
        </is>
      </c>
      <c r="C404" s="29" t="inlineStr"/>
      <c r="D404" s="29" t="inlineStr"/>
      <c r="E404" s="29" t="inlineStr"/>
      <c r="F404" s="29" t="inlineStr"/>
      <c r="G404" s="29" t="inlineStr"/>
    </row>
    <row r="405">
      <c r="A405" s="8" t="n">
        <v>24</v>
      </c>
      <c r="B405" s="9" t="inlineStr">
        <is>
          <t>Finishing lantai</t>
        </is>
      </c>
      <c r="C405" s="32">
        <f>45.922</f>
        <v/>
      </c>
      <c r="D405" s="8" t="inlineStr">
        <is>
          <t>m²</t>
        </is>
      </c>
      <c r="E405" s="11">
        <f>AHSP!$F$192</f>
        <v/>
      </c>
      <c r="F405" s="12">
        <f>C405*E405</f>
        <v/>
      </c>
      <c r="G405" s="9" t="inlineStr"/>
    </row>
    <row r="406">
      <c r="A406" s="8" t="n">
        <v>25</v>
      </c>
      <c r="B406" s="9" t="inlineStr">
        <is>
          <t>Kawat harmonika 1" di atas dinding 50</t>
        </is>
      </c>
      <c r="C406" s="32">
        <f>26.20*2.0</f>
        <v/>
      </c>
      <c r="D406" s="8" t="inlineStr">
        <is>
          <t>m²</t>
        </is>
      </c>
      <c r="E406" s="11">
        <f>AHSP!$F$270</f>
        <v/>
      </c>
      <c r="F406" s="12">
        <f>C406*E406</f>
        <v/>
      </c>
      <c r="G406" s="9" t="inlineStr"/>
    </row>
    <row r="407">
      <c r="A407" s="8" t="n">
        <v>26</v>
      </c>
      <c r="B407" s="9" t="inlineStr">
        <is>
          <t>Rangka hollow pemegang kawat</t>
        </is>
      </c>
      <c r="C407" s="32">
        <f>2*26.20</f>
        <v/>
      </c>
      <c r="D407" s="8" t="inlineStr">
        <is>
          <t>m'</t>
        </is>
      </c>
      <c r="E407" s="11">
        <f>AHSP!$F$280</f>
        <v/>
      </c>
      <c r="F407" s="12">
        <f>C407*E407</f>
        <v/>
      </c>
      <c r="G407" s="9" t="inlineStr"/>
    </row>
    <row r="408">
      <c r="A408" s="8" t="n">
        <v>27</v>
      </c>
      <c r="B408" s="9" t="inlineStr">
        <is>
          <t>Tirai terpal</t>
        </is>
      </c>
      <c r="C408" s="32">
        <f>26.20*2.0</f>
        <v/>
      </c>
      <c r="D408" s="8" t="inlineStr">
        <is>
          <t>m²</t>
        </is>
      </c>
      <c r="E408" s="11">
        <f>AHSP!$F$291</f>
        <v/>
      </c>
      <c r="F408" s="12">
        <f>C408*E408</f>
        <v/>
      </c>
      <c r="G408" s="9" t="inlineStr"/>
    </row>
    <row r="409">
      <c r="A409" s="8" t="n">
        <v>28</v>
      </c>
      <c r="B409" s="9" t="inlineStr">
        <is>
          <t>Pintu rangka hollow + kawat</t>
        </is>
      </c>
      <c r="C409" s="32">
        <f>0.9*2.0</f>
        <v/>
      </c>
      <c r="D409" s="8" t="inlineStr">
        <is>
          <t>m²</t>
        </is>
      </c>
      <c r="E409" s="11">
        <f>AHSP!$F$328</f>
        <v/>
      </c>
      <c r="F409" s="12">
        <f>C409*E409</f>
        <v/>
      </c>
      <c r="G409" s="9" t="inlineStr"/>
    </row>
    <row r="410">
      <c r="A410" s="8" t="n">
        <v>29</v>
      </c>
      <c r="B410" s="9" t="inlineStr">
        <is>
          <t>Tempat pakan gantung</t>
        </is>
      </c>
      <c r="C410" s="32">
        <f>6</f>
        <v/>
      </c>
      <c r="D410" s="8" t="inlineStr">
        <is>
          <t>bh</t>
        </is>
      </c>
      <c r="E410" s="11">
        <f>ROUND('Harga Dasar'!$D$58*(1+Petunjuk!$C$15),-2)</f>
        <v/>
      </c>
      <c r="F410" s="12">
        <f>C410*E410</f>
        <v/>
      </c>
      <c r="G410" s="9" t="inlineStr"/>
    </row>
    <row r="411">
      <c r="A411" s="8" t="n">
        <v>30</v>
      </c>
      <c r="B411" s="9" t="inlineStr">
        <is>
          <t>Tempat minum galon</t>
        </is>
      </c>
      <c r="C411" s="32">
        <f>3</f>
        <v/>
      </c>
      <c r="D411" s="8" t="inlineStr">
        <is>
          <t>bh</t>
        </is>
      </c>
      <c r="E411" s="11">
        <f>ROUND('Harga Dasar'!$D$59*(1+Petunjuk!$C$15),-2)</f>
        <v/>
      </c>
      <c r="F411" s="12">
        <f>C411*E411</f>
        <v/>
      </c>
      <c r="G411" s="9" t="inlineStr"/>
    </row>
    <row r="412">
      <c r="A412" s="8" t="n">
        <v>31</v>
      </c>
      <c r="B412" s="9" t="inlineStr">
        <is>
          <t>Titik lampu</t>
        </is>
      </c>
      <c r="C412" s="32">
        <f>2</f>
        <v/>
      </c>
      <c r="D412" s="8" t="inlineStr">
        <is>
          <t>titik</t>
        </is>
      </c>
      <c r="E412" s="11">
        <f>ROUND('Harga Dasar'!$D$60*(1+Petunjuk!$C$15),-2)</f>
        <v/>
      </c>
      <c r="F412" s="12">
        <f>C412*E412</f>
        <v/>
      </c>
      <c r="G412" s="9" t="inlineStr"/>
    </row>
    <row r="413">
      <c r="A413" s="14" t="inlineStr"/>
      <c r="B413" s="15" t="inlineStr">
        <is>
          <t>Jumlah kandang karantina</t>
        </is>
      </c>
      <c r="C413" s="14" t="inlineStr"/>
      <c r="D413" s="14" t="inlineStr"/>
      <c r="E413" s="14" t="inlineStr"/>
      <c r="F413" s="16">
        <f>SUM(F378:F412)</f>
        <v/>
      </c>
      <c r="G413" s="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8" customWidth="1" min="4" max="4"/>
    <col width="15" customWidth="1" min="5" max="5"/>
    <col width="18" customWidth="1" min="6" max="6"/>
    <col width="58" customWidth="1" min="7" max="7"/>
  </cols>
  <sheetData>
    <row r="1">
      <c r="A1" s="1" t="inlineStr">
        <is>
          <t>RAB pagar harmonika, gerbang, dan umbaran (gambar GT-02)</t>
        </is>
      </c>
    </row>
    <row r="2">
      <c r="A2" s="2" t="inlineStr">
        <is>
          <t>Panjang pagar sesuai rencana tapak 100 x 400 m.</t>
        </is>
      </c>
    </row>
    <row r="4">
      <c r="A4" s="7" t="inlineStr">
        <is>
          <t>No</t>
        </is>
      </c>
      <c r="B4" s="7" t="inlineStr">
        <is>
          <t>Uraian pekerjaan</t>
        </is>
      </c>
      <c r="C4" s="7" t="inlineStr">
        <is>
          <t>Volume</t>
        </is>
      </c>
      <c r="D4" s="7" t="inlineStr">
        <is>
          <t>Sat</t>
        </is>
      </c>
      <c r="E4" s="7" t="inlineStr">
        <is>
          <t>Harga satuan (Rp)</t>
        </is>
      </c>
      <c r="F4" s="7" t="inlineStr">
        <is>
          <t>Jumlah (Rp)</t>
        </is>
      </c>
      <c r="G4" s="7" t="inlineStr">
        <is>
          <t>Dasar volume (dari gambar)</t>
        </is>
      </c>
    </row>
    <row r="5">
      <c r="A5" s="29" t="inlineStr"/>
      <c r="B5" s="30" t="inlineStr">
        <is>
          <t>I. PAGAR KELILING LAHAN</t>
        </is>
      </c>
      <c r="C5" s="29" t="inlineStr"/>
      <c r="D5" s="29" t="inlineStr"/>
      <c r="E5" s="29" t="inlineStr"/>
      <c r="F5" s="29" t="inlineStr"/>
      <c r="G5" s="29" t="inlineStr"/>
    </row>
    <row r="6">
      <c r="A6" s="8" t="n">
        <v>1</v>
      </c>
      <c r="B6" s="31" t="inlineStr">
        <is>
          <t>Pagar kawat harmonika 2" tinggi 210</t>
        </is>
      </c>
      <c r="C6" s="32">
        <f>100-12+2*340</f>
        <v/>
      </c>
      <c r="D6" s="8" t="inlineStr">
        <is>
          <t>m'</t>
        </is>
      </c>
      <c r="E6" s="11">
        <f>AHSP!$F$302</f>
        <v/>
      </c>
      <c r="F6" s="12">
        <f>C6*E6</f>
        <v/>
      </c>
      <c r="G6" s="31" t="inlineStr">
        <is>
          <t>depan 100 - gerbang 12 + sisi 2 x 340 m (sampai sabuk hijau sungai)</t>
        </is>
      </c>
    </row>
    <row r="7">
      <c r="A7" s="8" t="n">
        <v>2</v>
      </c>
      <c r="B7" s="31" t="inlineStr">
        <is>
          <t>Tiang beton pracetak + dudukan cor</t>
        </is>
      </c>
      <c r="C7" s="32">
        <f>ROUND((100-12+2*340)/2.5,0)+31</f>
        <v/>
      </c>
      <c r="D7" s="8" t="inlineStr">
        <is>
          <t>bh</t>
        </is>
      </c>
      <c r="E7" s="11">
        <f>AHSP!$F$314</f>
        <v/>
      </c>
      <c r="F7" s="12">
        <f>C7*E7</f>
        <v/>
      </c>
      <c r="G7" s="31" t="inlineStr">
        <is>
          <t>jarak 250 + skur sudut/25 m</t>
        </is>
      </c>
    </row>
    <row r="8">
      <c r="A8" s="8" t="n">
        <v>3</v>
      </c>
      <c r="B8" s="31" t="inlineStr">
        <is>
          <t>Gerbang utama 600 x 220 (2 daun, hollow 50x50)</t>
        </is>
      </c>
      <c r="C8" s="32">
        <f>6*2.2</f>
        <v/>
      </c>
      <c r="D8" s="8" t="inlineStr">
        <is>
          <t>m²</t>
        </is>
      </c>
      <c r="E8" s="11">
        <f>AHSP!$F$342</f>
        <v/>
      </c>
      <c r="F8" s="12">
        <f>C8*E8</f>
        <v/>
      </c>
      <c r="G8" s="31" t="inlineStr"/>
    </row>
    <row r="9">
      <c r="A9" s="8" t="n">
        <v>4</v>
      </c>
      <c r="B9" s="31" t="inlineStr">
        <is>
          <t>Gerbang kebun 400 x 220</t>
        </is>
      </c>
      <c r="C9" s="32">
        <f>4*2.2</f>
        <v/>
      </c>
      <c r="D9" s="8" t="inlineStr">
        <is>
          <t>m²</t>
        </is>
      </c>
      <c r="E9" s="11">
        <f>AHSP!$F$342</f>
        <v/>
      </c>
      <c r="F9" s="12">
        <f>C9*E9</f>
        <v/>
      </c>
      <c r="G9" s="31" t="inlineStr"/>
    </row>
    <row r="10">
      <c r="A10" s="8" t="n">
        <v>5</v>
      </c>
      <c r="B10" s="31" t="inlineStr">
        <is>
          <t>Tiang gerbang beton 20/20 + footplat 60x60 (beton)</t>
        </is>
      </c>
      <c r="C10" s="32">
        <f>4*(0.2*0.2*3.0+0.6*0.6*0.2)</f>
        <v/>
      </c>
      <c r="D10" s="8" t="inlineStr">
        <is>
          <t>m³</t>
        </is>
      </c>
      <c r="E10" s="11">
        <f>AHSP!$F$117</f>
        <v/>
      </c>
      <c r="F10" s="12">
        <f>C10*E10</f>
        <v/>
      </c>
      <c r="G10" s="31" t="inlineStr">
        <is>
          <t>4 tiang</t>
        </is>
      </c>
    </row>
    <row r="11">
      <c r="A11" s="8" t="n">
        <v>6</v>
      </c>
      <c r="B11" s="31" t="inlineStr">
        <is>
          <t>Pembesian tiang gerbang</t>
        </is>
      </c>
      <c r="C11" s="32">
        <f>4*(4*3.4*0.888+22*0.7*0.395)</f>
        <v/>
      </c>
      <c r="D11" s="8" t="inlineStr">
        <is>
          <t>kg</t>
        </is>
      </c>
      <c r="E11" s="11">
        <f>AHSP!$F$128</f>
        <v/>
      </c>
      <c r="F11" s="12">
        <f>C11*E11</f>
        <v/>
      </c>
      <c r="G11" s="31" t="inlineStr">
        <is>
          <t>4 D12 + Ø8-150</t>
        </is>
      </c>
    </row>
    <row r="12">
      <c r="A12" s="8" t="n">
        <v>7</v>
      </c>
      <c r="B12" s="31" t="inlineStr">
        <is>
          <t>Bak celup kendaraan 8 x 4 m: galian</t>
        </is>
      </c>
      <c r="C12" s="32">
        <f>8*4*0.35</f>
        <v/>
      </c>
      <c r="D12" s="8" t="inlineStr">
        <is>
          <t>m³</t>
        </is>
      </c>
      <c r="E12" s="11">
        <f>AHSP!$F$27</f>
        <v/>
      </c>
      <c r="F12" s="12">
        <f>C12*E12</f>
        <v/>
      </c>
      <c r="G12" s="31" t="inlineStr"/>
    </row>
    <row r="13">
      <c r="A13" s="8" t="n">
        <v>8</v>
      </c>
      <c r="B13" s="31" t="inlineStr">
        <is>
          <t>Bak celup kendaraan: sirtu dipadatkan t=15</t>
        </is>
      </c>
      <c r="C13" s="32">
        <f>8*4*0.15</f>
        <v/>
      </c>
      <c r="D13" s="8" t="inlineStr">
        <is>
          <t>m³</t>
        </is>
      </c>
      <c r="E13" s="11">
        <f>AHSP!$F$58</f>
        <v/>
      </c>
      <c r="F13" s="12">
        <f>C13*E13</f>
        <v/>
      </c>
      <c r="G13" s="31" t="inlineStr"/>
    </row>
    <row r="14">
      <c r="A14" s="8" t="n">
        <v>9</v>
      </c>
      <c r="B14" s="31" t="inlineStr">
        <is>
          <t>Bak celup kendaraan: pelat beton K-225 t=15</t>
        </is>
      </c>
      <c r="C14" s="32">
        <f>8*4*0.15</f>
        <v/>
      </c>
      <c r="D14" s="8" t="inlineStr">
        <is>
          <t>m³</t>
        </is>
      </c>
      <c r="E14" s="11">
        <f>AHSP!$F$117</f>
        <v/>
      </c>
      <c r="F14" s="12">
        <f>C14*E14</f>
        <v/>
      </c>
      <c r="G14" s="31" t="inlineStr"/>
    </row>
    <row r="15">
      <c r="A15" s="8" t="n">
        <v>10</v>
      </c>
      <c r="B15" s="31" t="inlineStr">
        <is>
          <t>Bak celup kendaraan: wiremesh M8</t>
        </is>
      </c>
      <c r="C15" s="32">
        <f>ROUNDUP(8*4/(2.1*5.4)*1.1,0)</f>
        <v/>
      </c>
      <c r="D15" s="8" t="inlineStr">
        <is>
          <t>lbr</t>
        </is>
      </c>
      <c r="E15" s="11">
        <f>ROUND('Harga Dasar'!$D$50*(1+Petunjuk!$C$15),-2)</f>
        <v/>
      </c>
      <c r="F15" s="12">
        <f>C15*E15</f>
        <v/>
      </c>
      <c r="G15" s="31" t="inlineStr">
        <is>
          <t>lembar 2,1 x 5,4</t>
        </is>
      </c>
    </row>
    <row r="16">
      <c r="A16" s="8" t="n">
        <v>11</v>
      </c>
      <c r="B16" s="31" t="inlineStr">
        <is>
          <t>Penanaman pagar hidup lamtoro/gamal</t>
        </is>
      </c>
      <c r="C16" s="32">
        <f>100-12+2*340</f>
        <v/>
      </c>
      <c r="D16" s="8" t="inlineStr">
        <is>
          <t>m'</t>
        </is>
      </c>
      <c r="E16" s="11">
        <f>AHSP!$F$434</f>
        <v/>
      </c>
      <c r="F16" s="12">
        <f>C16*E16</f>
        <v/>
      </c>
      <c r="G16" s="31" t="inlineStr">
        <is>
          <t>di dalam pagar keliling</t>
        </is>
      </c>
    </row>
    <row r="17">
      <c r="A17" s="14" t="inlineStr"/>
      <c r="B17" s="15" t="inlineStr">
        <is>
          <t>Jumlah pagar keliling lahan</t>
        </is>
      </c>
      <c r="C17" s="14" t="inlineStr"/>
      <c r="D17" s="14" t="inlineStr"/>
      <c r="E17" s="14" t="inlineStr"/>
      <c r="F17" s="16">
        <f>SUM(F6:F16)</f>
        <v/>
      </c>
      <c r="G17" s="14" t="inlineStr"/>
    </row>
    <row r="19">
      <c r="A19" s="29" t="inlineStr"/>
      <c r="B19" s="30" t="inlineStr">
        <is>
          <t>II. PAGAR ZONA KANDANG</t>
        </is>
      </c>
      <c r="C19" s="29" t="inlineStr"/>
      <c r="D19" s="29" t="inlineStr"/>
      <c r="E19" s="29" t="inlineStr"/>
      <c r="F19" s="29" t="inlineStr"/>
      <c r="G19" s="29" t="inlineStr"/>
    </row>
    <row r="20">
      <c r="A20" s="8" t="n">
        <v>1</v>
      </c>
      <c r="B20" s="31" t="inlineStr">
        <is>
          <t>Pagar kawat harmonika 2" tinggi 210</t>
        </is>
      </c>
      <c r="C20" s="32">
        <f>2*(94+157.5)-4-4</f>
        <v/>
      </c>
      <c r="D20" s="8" t="inlineStr">
        <is>
          <t>m'</t>
        </is>
      </c>
      <c r="E20" s="11">
        <f>AHSP!$F$302</f>
        <v/>
      </c>
      <c r="F20" s="12">
        <f>C20*E20</f>
        <v/>
      </c>
      <c r="G20" s="31" t="inlineStr">
        <is>
          <t>keliling zona - gerbang gerobak - gerbang kotor</t>
        </is>
      </c>
    </row>
    <row r="21">
      <c r="A21" s="8" t="n">
        <v>2</v>
      </c>
      <c r="B21" s="31" t="inlineStr">
        <is>
          <t>Tiang beton pracetak + dudukan cor</t>
        </is>
      </c>
      <c r="C21" s="32">
        <f>ROUND((2*(94+157.5))/2.5,0)+20</f>
        <v/>
      </c>
      <c r="D21" s="8" t="inlineStr">
        <is>
          <t>bh</t>
        </is>
      </c>
      <c r="E21" s="11">
        <f>AHSP!$F$314</f>
        <v/>
      </c>
      <c r="F21" s="12">
        <f>C21*E21</f>
        <v/>
      </c>
      <c r="G21" s="31" t="inlineStr"/>
    </row>
    <row r="22">
      <c r="A22" s="8" t="n">
        <v>3</v>
      </c>
      <c r="B22" s="31" t="inlineStr">
        <is>
          <t>Gerbang gerobak 300 x 200 (2 buah: depan dan belakang)</t>
        </is>
      </c>
      <c r="C22" s="32">
        <f>2*3*2</f>
        <v/>
      </c>
      <c r="D22" s="8" t="inlineStr">
        <is>
          <t>m²</t>
        </is>
      </c>
      <c r="E22" s="11">
        <f>AHSP!$F$328</f>
        <v/>
      </c>
      <c r="F22" s="12">
        <f>C22*E22</f>
        <v/>
      </c>
      <c r="G22" s="31" t="inlineStr"/>
    </row>
    <row r="23">
      <c r="A23" s="14" t="inlineStr"/>
      <c r="B23" s="15" t="inlineStr">
        <is>
          <t>Jumlah pagar zona kandang</t>
        </is>
      </c>
      <c r="C23" s="14" t="inlineStr"/>
      <c r="D23" s="14" t="inlineStr"/>
      <c r="E23" s="14" t="inlineStr"/>
      <c r="F23" s="16">
        <f>SUM(F20:F22)</f>
        <v/>
      </c>
      <c r="G23" s="14" t="inlineStr"/>
    </row>
    <row r="25">
      <c r="A25" s="29" t="inlineStr"/>
      <c r="B25" s="30" t="inlineStr">
        <is>
          <t>III. UMBARAN (6 PETAK 45 x 38 m)</t>
        </is>
      </c>
      <c r="C25" s="29" t="inlineStr"/>
      <c r="D25" s="29" t="inlineStr"/>
      <c r="E25" s="29" t="inlineStr"/>
      <c r="F25" s="29" t="inlineStr"/>
      <c r="G25" s="29" t="inlineStr"/>
    </row>
    <row r="26">
      <c r="A26" s="8" t="n">
        <v>1</v>
      </c>
      <c r="B26" s="31" t="inlineStr">
        <is>
          <t>Pagar sekat umbaran kawat harmonika 2" tinggi 210</t>
        </is>
      </c>
      <c r="C26" s="32">
        <f>6*88</f>
        <v/>
      </c>
      <c r="D26" s="8" t="inlineStr">
        <is>
          <t>m'</t>
        </is>
      </c>
      <c r="E26" s="11">
        <f>AHSP!$F$302</f>
        <v/>
      </c>
      <c r="F26" s="12">
        <f>C26*E26</f>
        <v/>
      </c>
      <c r="G26" s="31" t="inlineStr">
        <is>
          <t>88 m per petak (sisi luar memakai pagar zona)</t>
        </is>
      </c>
    </row>
    <row r="27">
      <c r="A27" s="8" t="n">
        <v>2</v>
      </c>
      <c r="B27" s="31" t="inlineStr">
        <is>
          <t>Tiang beton pracetak + dudukan cor</t>
        </is>
      </c>
      <c r="C27" s="32">
        <f>ROUND(6*88/2.5,0)+12</f>
        <v/>
      </c>
      <c r="D27" s="8" t="inlineStr">
        <is>
          <t>bh</t>
        </is>
      </c>
      <c r="E27" s="11">
        <f>AHSP!$F$314</f>
        <v/>
      </c>
      <c r="F27" s="12">
        <f>C27*E27</f>
        <v/>
      </c>
      <c r="G27" s="31" t="inlineStr"/>
    </row>
    <row r="28">
      <c r="A28" s="8" t="n">
        <v>3</v>
      </c>
      <c r="B28" s="31" t="inlineStr">
        <is>
          <t>Pintu umbaran 100 x 180</t>
        </is>
      </c>
      <c r="C28" s="32">
        <f>6*1*1.8</f>
        <v/>
      </c>
      <c r="D28" s="8" t="inlineStr">
        <is>
          <t>m²</t>
        </is>
      </c>
      <c r="E28" s="11">
        <f>AHSP!$F$328</f>
        <v/>
      </c>
      <c r="F28" s="12">
        <f>C28*E28</f>
        <v/>
      </c>
      <c r="G28" s="31" t="inlineStr">
        <is>
          <t>1 per petak</t>
        </is>
      </c>
    </row>
    <row r="29">
      <c r="A29" s="8" t="n">
        <v>4</v>
      </c>
      <c r="B29" s="31" t="inlineStr">
        <is>
          <t>Pohon peneduh + pelindung bambu</t>
        </is>
      </c>
      <c r="C29" s="32">
        <f>6*18</f>
        <v/>
      </c>
      <c r="D29" s="8" t="inlineStr">
        <is>
          <t>bh</t>
        </is>
      </c>
      <c r="E29" s="11">
        <f>AHSP!$F$420</f>
        <v/>
      </c>
      <c r="F29" s="12">
        <f>C29*E29</f>
        <v/>
      </c>
      <c r="G29" s="31" t="inlineStr">
        <is>
          <t>18 pohon per petak</t>
        </is>
      </c>
    </row>
    <row r="30">
      <c r="A30" s="8" t="n">
        <v>5</v>
      </c>
      <c r="B30" s="31" t="inlineStr">
        <is>
          <t>Rumput / legum penutup tanah</t>
        </is>
      </c>
      <c r="C30" s="32">
        <f>6*45*38</f>
        <v/>
      </c>
      <c r="D30" s="8" t="inlineStr">
        <is>
          <t>m²</t>
        </is>
      </c>
      <c r="E30" s="11">
        <f>AHSP!$F$427</f>
        <v/>
      </c>
      <c r="F30" s="12">
        <f>C30*E30</f>
        <v/>
      </c>
      <c r="G30" s="31" t="inlineStr"/>
    </row>
    <row r="31">
      <c r="A31" s="14" t="inlineStr"/>
      <c r="B31" s="15" t="inlineStr">
        <is>
          <t>Jumlah umbaran (6 petak 45 x 38 m)</t>
        </is>
      </c>
      <c r="C31" s="14" t="inlineStr"/>
      <c r="D31" s="14" t="inlineStr"/>
      <c r="E31" s="14" t="inlineStr"/>
      <c r="F31" s="16">
        <f>SUM(F26:F30)</f>
        <v/>
      </c>
      <c r="G31" s="14" t="inlineStr"/>
    </row>
    <row r="33">
      <c r="A33" s="18" t="inlineStr"/>
      <c r="B33" s="19" t="inlineStr">
        <is>
          <t>TOTAL</t>
        </is>
      </c>
      <c r="C33" s="18" t="inlineStr"/>
      <c r="D33" s="18" t="inlineStr"/>
      <c r="E33" s="18" t="inlineStr"/>
      <c r="F33" s="20">
        <f>F17+F23+F31</f>
        <v/>
      </c>
      <c r="G33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8" customWidth="1" min="4" max="4"/>
    <col width="15" customWidth="1" min="5" max="5"/>
    <col width="18" customWidth="1" min="6" max="6"/>
    <col width="58" customWidth="1" min="7" max="7"/>
  </cols>
  <sheetData>
    <row r="1">
      <c r="A1" s="1" t="inlineStr">
        <is>
          <t>RAB utilitas, jalan, lantai jemur, air, listrik (gambar GT-00, GT-02, GT-03 F-03 dan F-04)</t>
        </is>
      </c>
    </row>
    <row r="2">
      <c r="A2" s="2" t="inlineStr">
        <is>
          <t>Jembatan titian bersifat opsional.</t>
        </is>
      </c>
    </row>
    <row r="4">
      <c r="A4" s="7" t="inlineStr">
        <is>
          <t>No</t>
        </is>
      </c>
      <c r="B4" s="7" t="inlineStr">
        <is>
          <t>Uraian pekerjaan</t>
        </is>
      </c>
      <c r="C4" s="7" t="inlineStr">
        <is>
          <t>Volume</t>
        </is>
      </c>
      <c r="D4" s="7" t="inlineStr">
        <is>
          <t>Sat</t>
        </is>
      </c>
      <c r="E4" s="7" t="inlineStr">
        <is>
          <t>Harga satuan (Rp)</t>
        </is>
      </c>
      <c r="F4" s="7" t="inlineStr">
        <is>
          <t>Jumlah (Rp)</t>
        </is>
      </c>
      <c r="G4" s="7" t="inlineStr">
        <is>
          <t>Dasar volume (dari gambar)</t>
        </is>
      </c>
    </row>
    <row r="5">
      <c r="A5" s="29" t="inlineStr"/>
      <c r="B5" s="30" t="inlineStr">
        <is>
          <t>I. PENYIAPAN LAHAN DAN JALAN</t>
        </is>
      </c>
      <c r="C5" s="29" t="inlineStr"/>
      <c r="D5" s="29" t="inlineStr"/>
      <c r="E5" s="29" t="inlineStr"/>
      <c r="F5" s="29" t="inlineStr"/>
      <c r="G5" s="29" t="inlineStr"/>
    </row>
    <row r="6">
      <c r="A6" s="8" t="n">
        <v>1</v>
      </c>
      <c r="B6" s="31" t="inlineStr">
        <is>
          <t>Pembersihan dan perataan lahan zona servis, kandang, kotor (alat)</t>
        </is>
      </c>
      <c r="C6" s="32">
        <f>100*50+96*160+36*35</f>
        <v/>
      </c>
      <c r="D6" s="8" t="inlineStr">
        <is>
          <t>m²</t>
        </is>
      </c>
      <c r="E6" s="11">
        <f>AHSP!$F$65</f>
        <v/>
      </c>
      <c r="F6" s="12">
        <f>C6*E6</f>
        <v/>
      </c>
      <c r="G6" s="31" t="inlineStr"/>
    </row>
    <row r="7">
      <c r="A7" s="8" t="n">
        <v>2</v>
      </c>
      <c r="B7" s="31" t="inlineStr">
        <is>
          <t>Jalan servis, jalan gerobak, jalan masuk: sirtu t=12 (jalur kerja cukup rumput)</t>
        </is>
      </c>
      <c r="C7" s="32">
        <f>(4*330+4*157.5+8*50)*0.12</f>
        <v/>
      </c>
      <c r="D7" s="8" t="inlineStr">
        <is>
          <t>m³</t>
        </is>
      </c>
      <c r="E7" s="11">
        <f>AHSP!$F$58</f>
        <v/>
      </c>
      <c r="F7" s="12">
        <f>C7*E7</f>
        <v/>
      </c>
      <c r="G7" s="31" t="inlineStr">
        <is>
          <t>luas jalan x 0,12</t>
        </is>
      </c>
    </row>
    <row r="8">
      <c r="A8" s="14" t="inlineStr"/>
      <c r="B8" s="15" t="inlineStr">
        <is>
          <t>Jumlah penyiapan lahan dan jalan</t>
        </is>
      </c>
      <c r="C8" s="14" t="inlineStr"/>
      <c r="D8" s="14" t="inlineStr"/>
      <c r="E8" s="14" t="inlineStr"/>
      <c r="F8" s="16">
        <f>SUM(F6:F7)</f>
        <v/>
      </c>
      <c r="G8" s="14" t="inlineStr"/>
    </row>
    <row r="10">
      <c r="A10" s="29" t="inlineStr"/>
      <c r="B10" s="30" t="inlineStr">
        <is>
          <t>II. LANTAI JEMUR 40 x 18 m</t>
        </is>
      </c>
      <c r="C10" s="29" t="inlineStr"/>
      <c r="D10" s="29" t="inlineStr"/>
      <c r="E10" s="29" t="inlineStr"/>
      <c r="F10" s="29" t="inlineStr"/>
      <c r="G10" s="29" t="inlineStr"/>
    </row>
    <row r="11">
      <c r="A11" s="8" t="n">
        <v>1</v>
      </c>
      <c r="B11" s="31" t="inlineStr">
        <is>
          <t>Perataan dan sirtu dipadatkan t=10</t>
        </is>
      </c>
      <c r="C11" s="32">
        <f>40.0*18.0*0.10</f>
        <v/>
      </c>
      <c r="D11" s="8" t="inlineStr">
        <is>
          <t>m³</t>
        </is>
      </c>
      <c r="E11" s="11">
        <f>AHSP!$F$58</f>
        <v/>
      </c>
      <c r="F11" s="12">
        <f>C11*E11</f>
        <v/>
      </c>
      <c r="G11" s="31" t="inlineStr"/>
    </row>
    <row r="12">
      <c r="A12" s="8" t="n">
        <v>2</v>
      </c>
      <c r="B12" s="31" t="inlineStr">
        <is>
          <t>Beton K-175 t=8</t>
        </is>
      </c>
      <c r="C12" s="32">
        <f>40.0*18.0*0.08</f>
        <v/>
      </c>
      <c r="D12" s="8" t="inlineStr">
        <is>
          <t>m³</t>
        </is>
      </c>
      <c r="E12" s="11">
        <f>AHSP!$F$105</f>
        <v/>
      </c>
      <c r="F12" s="12">
        <f>C12*E12</f>
        <v/>
      </c>
      <c r="G12" s="31" t="inlineStr"/>
    </row>
    <row r="13">
      <c r="A13" s="8" t="n">
        <v>3</v>
      </c>
      <c r="B13" s="31" t="inlineStr">
        <is>
          <t>Finishing permukaan dipel kasar</t>
        </is>
      </c>
      <c r="C13" s="32">
        <f>40.0*18.0</f>
        <v/>
      </c>
      <c r="D13" s="8" t="inlineStr">
        <is>
          <t>m²</t>
        </is>
      </c>
      <c r="E13" s="11">
        <f>AHSP!$F$192</f>
        <v/>
      </c>
      <c r="F13" s="12">
        <f>C13*E13</f>
        <v/>
      </c>
      <c r="G13" s="31" t="inlineStr"/>
    </row>
    <row r="14">
      <c r="A14" s="8" t="n">
        <v>4</v>
      </c>
      <c r="B14" s="31" t="inlineStr">
        <is>
          <t>Parit kerikil keliling 30 x 30</t>
        </is>
      </c>
      <c r="C14" s="32">
        <f>2*(40.0+18.0)*0.3*0.3</f>
        <v/>
      </c>
      <c r="D14" s="8" t="inlineStr">
        <is>
          <t>m³</t>
        </is>
      </c>
      <c r="E14" s="11">
        <f>AHSP!$F$81</f>
        <v/>
      </c>
      <c r="F14" s="12">
        <f>C14*E14</f>
        <v/>
      </c>
      <c r="G14" s="31" t="inlineStr"/>
    </row>
    <row r="15">
      <c r="A15" s="14" t="inlineStr"/>
      <c r="B15" s="15" t="inlineStr">
        <is>
          <t>Jumlah lantai jemur 40 x 18 m</t>
        </is>
      </c>
      <c r="C15" s="14" t="inlineStr"/>
      <c r="D15" s="14" t="inlineStr"/>
      <c r="E15" s="14" t="inlineStr"/>
      <c r="F15" s="16">
        <f>SUM(F11:F14)</f>
        <v/>
      </c>
      <c r="G15" s="14" t="inlineStr"/>
    </row>
    <row r="17">
      <c r="A17" s="29" t="inlineStr"/>
      <c r="B17" s="30" t="inlineStr">
        <is>
          <t>III. AIR BERSIH: SUMUR BOR DAN MENARA TANDON</t>
        </is>
      </c>
      <c r="C17" s="29" t="inlineStr"/>
      <c r="D17" s="29" t="inlineStr"/>
      <c r="E17" s="29" t="inlineStr"/>
      <c r="F17" s="29" t="inlineStr"/>
      <c r="G17" s="29" t="inlineStr"/>
    </row>
    <row r="18">
      <c r="A18" s="8" t="n">
        <v>1</v>
      </c>
      <c r="B18" s="31" t="inlineStr">
        <is>
          <t>Pengeboran sumur Ø4" kedalaman ±60 m</t>
        </is>
      </c>
      <c r="C18" s="32">
        <f>60</f>
        <v/>
      </c>
      <c r="D18" s="8" t="inlineStr">
        <is>
          <t>m</t>
        </is>
      </c>
      <c r="E18" s="11">
        <f>ROUND('Harga Dasar'!$D$67*(1+Petunjuk!$C$15),-2)</f>
        <v/>
      </c>
      <c r="F18" s="12">
        <f>C18*E18</f>
        <v/>
      </c>
      <c r="G18" s="31" t="inlineStr"/>
    </row>
    <row r="19">
      <c r="A19" s="8" t="n">
        <v>2</v>
      </c>
      <c r="B19" s="31" t="inlineStr">
        <is>
          <t>Pompa submersible 1 HP + panel</t>
        </is>
      </c>
      <c r="C19" s="32">
        <f>1</f>
        <v/>
      </c>
      <c r="D19" s="8" t="inlineStr">
        <is>
          <t>unit</t>
        </is>
      </c>
      <c r="E19" s="11">
        <f>ROUND('Harga Dasar'!$D$68*(1+Petunjuk!$C$15),-2)</f>
        <v/>
      </c>
      <c r="F19" s="12">
        <f>C19*E19</f>
        <v/>
      </c>
      <c r="G19" s="31" t="inlineStr"/>
    </row>
    <row r="20">
      <c r="A20" s="8" t="n">
        <v>3</v>
      </c>
      <c r="B20" s="31" t="inlineStr">
        <is>
          <t>Beton K-225 menara tandon (kolom, balok, plat, footplat)</t>
        </is>
      </c>
      <c r="C20" s="32">
        <f>4*0.2*0.2*6.5+8*1.8*0.2*0.2+2.4*2.4*0.15+4*0.6*0.6*0.2</f>
        <v/>
      </c>
      <c r="D20" s="8" t="inlineStr">
        <is>
          <t>m³</t>
        </is>
      </c>
      <c r="E20" s="11">
        <f>AHSP!$F$117</f>
        <v/>
      </c>
      <c r="F20" s="12">
        <f>C20*E20</f>
        <v/>
      </c>
      <c r="G20" s="31" t="inlineStr">
        <is>
          <t>kolom 20/20 h 650 + balok + plat t 15</t>
        </is>
      </c>
    </row>
    <row r="21">
      <c r="A21" s="8" t="n">
        <v>4</v>
      </c>
      <c r="B21" s="31" t="inlineStr">
        <is>
          <t>Pembesian menara tandon (±120 kg/m³)</t>
        </is>
      </c>
      <c r="C21" s="32">
        <f>120*(4*0.2*0.2*6.5+8*1.8*0.2*0.2+2.4*2.4*0.15+4*0.6*0.6*0.2)</f>
        <v/>
      </c>
      <c r="D21" s="8" t="inlineStr">
        <is>
          <t>kg</t>
        </is>
      </c>
      <c r="E21" s="11">
        <f>AHSP!$F$128</f>
        <v/>
      </c>
      <c r="F21" s="12">
        <f>C21*E21</f>
        <v/>
      </c>
      <c r="G21" s="31" t="inlineStr"/>
    </row>
    <row r="22">
      <c r="A22" s="8" t="n">
        <v>5</v>
      </c>
      <c r="B22" s="31" t="inlineStr">
        <is>
          <t>Bekisting menara tandon</t>
        </is>
      </c>
      <c r="C22" s="32">
        <f>4*0.8*6.5+8*1.8*0.6+2.4*2.4+4*0.48</f>
        <v/>
      </c>
      <c r="D22" s="8" t="inlineStr">
        <is>
          <t>m²</t>
        </is>
      </c>
      <c r="E22" s="11">
        <f>AHSP!$F$140</f>
        <v/>
      </c>
      <c r="F22" s="12">
        <f>C22*E22</f>
        <v/>
      </c>
      <c r="G22" s="31" t="inlineStr"/>
    </row>
    <row r="23">
      <c r="A23" s="8" t="n">
        <v>6</v>
      </c>
      <c r="B23" s="31" t="inlineStr">
        <is>
          <t>Galian footplat menara</t>
        </is>
      </c>
      <c r="C23" s="32">
        <f>4*1*1*1</f>
        <v/>
      </c>
      <c r="D23" s="8" t="inlineStr">
        <is>
          <t>m³</t>
        </is>
      </c>
      <c r="E23" s="11">
        <f>AHSP!$F$27</f>
        <v/>
      </c>
      <c r="F23" s="12">
        <f>C23*E23</f>
        <v/>
      </c>
      <c r="G23" s="31" t="inlineStr"/>
    </row>
    <row r="24">
      <c r="A24" s="8" t="n">
        <v>7</v>
      </c>
      <c r="B24" s="31" t="inlineStr">
        <is>
          <t>Tandon air 2.200 liter</t>
        </is>
      </c>
      <c r="C24" s="32">
        <f>2</f>
        <v/>
      </c>
      <c r="D24" s="8" t="inlineStr">
        <is>
          <t>bh</t>
        </is>
      </c>
      <c r="E24" s="11">
        <f>ROUND('Harga Dasar'!$D$66*(1+Petunjuk!$C$15),-2)</f>
        <v/>
      </c>
      <c r="F24" s="12">
        <f>C24*E24</f>
        <v/>
      </c>
      <c r="G24" s="31" t="inlineStr"/>
    </row>
    <row r="25">
      <c r="A25" s="8" t="n">
        <v>8</v>
      </c>
      <c r="B25" s="31" t="inlineStr">
        <is>
          <t>Pipa distribusi PVC ke kandang dan bangunan</t>
        </is>
      </c>
      <c r="C25" s="32">
        <f>250</f>
        <v/>
      </c>
      <c r="D25" s="8" t="inlineStr">
        <is>
          <t>m'</t>
        </is>
      </c>
      <c r="E25" s="11">
        <f>AHSP!$F$399</f>
        <v/>
      </c>
      <c r="F25" s="12">
        <f>C25*E25</f>
        <v/>
      </c>
      <c r="G25" s="31" t="inlineStr">
        <is>
          <t>pipa induk</t>
        </is>
      </c>
    </row>
    <row r="26">
      <c r="A26" s="14" t="inlineStr"/>
      <c r="B26" s="15" t="inlineStr">
        <is>
          <t>Jumlah air bersih: sumur bor dan menara tandon</t>
        </is>
      </c>
      <c r="C26" s="14" t="inlineStr"/>
      <c r="D26" s="14" t="inlineStr"/>
      <c r="E26" s="14" t="inlineStr"/>
      <c r="F26" s="16">
        <f>SUM(F18:F25)</f>
        <v/>
      </c>
      <c r="G26" s="14" t="inlineStr"/>
    </row>
    <row r="28">
      <c r="A28" s="29" t="inlineStr"/>
      <c r="B28" s="30" t="inlineStr">
        <is>
          <t>IV. AIR SUNGAI DAN EMBUNG</t>
        </is>
      </c>
      <c r="C28" s="29" t="inlineStr"/>
      <c r="D28" s="29" t="inlineStr"/>
      <c r="E28" s="29" t="inlineStr"/>
      <c r="F28" s="29" t="inlineStr"/>
      <c r="G28" s="29" t="inlineStr"/>
    </row>
    <row r="29">
      <c r="A29" s="8" t="n">
        <v>1</v>
      </c>
      <c r="B29" s="31" t="inlineStr">
        <is>
          <t>Rumah pompa 3 x 3 m</t>
        </is>
      </c>
      <c r="C29" s="32">
        <f>3*3</f>
        <v/>
      </c>
      <c r="D29" s="8" t="inlineStr">
        <is>
          <t>m²</t>
        </is>
      </c>
      <c r="E29" s="11">
        <f>ROUND('Harga Dasar'!$D$74*(1+Petunjuk!$C$15),-2)</f>
        <v/>
      </c>
      <c r="F29" s="12">
        <f>C29*E29</f>
        <v/>
      </c>
      <c r="G29" s="31" t="inlineStr">
        <is>
          <t>bangunan sederhana</t>
        </is>
      </c>
    </row>
    <row r="30">
      <c r="A30" s="8" t="n">
        <v>2</v>
      </c>
      <c r="B30" s="31" t="inlineStr">
        <is>
          <t>Pompa air sungai 3"</t>
        </is>
      </c>
      <c r="C30" s="32">
        <f>1</f>
        <v/>
      </c>
      <c r="D30" s="8" t="inlineStr">
        <is>
          <t>unit</t>
        </is>
      </c>
      <c r="E30" s="11">
        <f>ROUND('Harga Dasar'!$D$69*(1+Petunjuk!$C$15),-2)</f>
        <v/>
      </c>
      <c r="F30" s="12">
        <f>C30*E30</f>
        <v/>
      </c>
      <c r="G30" s="31" t="inlineStr"/>
    </row>
    <row r="31">
      <c r="A31" s="8" t="n">
        <v>3</v>
      </c>
      <c r="B31" s="31" t="inlineStr">
        <is>
          <t>Pipa PVC 3" sungai - embung - kebun</t>
        </is>
      </c>
      <c r="C31" s="32">
        <f>ROUNDUP(150/4,0)</f>
        <v/>
      </c>
      <c r="D31" s="8" t="inlineStr">
        <is>
          <t>btg</t>
        </is>
      </c>
      <c r="E31" s="11">
        <f>ROUND('Harga Dasar'!$D$51*(1+Petunjuk!$C$15),-2)</f>
        <v/>
      </c>
      <c r="F31" s="12">
        <f>C31*E31</f>
        <v/>
      </c>
      <c r="G31" s="31" t="inlineStr">
        <is>
          <t>150 m</t>
        </is>
      </c>
    </row>
    <row r="32">
      <c r="A32" s="8" t="n">
        <v>4</v>
      </c>
      <c r="B32" s="31" t="inlineStr">
        <is>
          <t>Galian embung 30 x 20 x 2,5 m talud 1:1,5 (excavator)</t>
        </is>
      </c>
      <c r="C32" s="32">
        <f>1076.7</f>
        <v/>
      </c>
      <c r="D32" s="8" t="inlineStr">
        <is>
          <t>m³</t>
        </is>
      </c>
      <c r="E32" s="11">
        <f>AHSP!$F$73</f>
        <v/>
      </c>
      <c r="F32" s="12">
        <f>C32*E32</f>
        <v/>
      </c>
      <c r="G32" s="31" t="inlineStr">
        <is>
          <t>rumus limas terpancung</t>
        </is>
      </c>
    </row>
    <row r="33">
      <c r="A33" s="8" t="n">
        <v>5</v>
      </c>
      <c r="B33" s="31" t="inlineStr">
        <is>
          <t>Perapian talud dan tanggul + rumput</t>
        </is>
      </c>
      <c r="C33" s="32">
        <f>85*4.51+3*112</f>
        <v/>
      </c>
      <c r="D33" s="8" t="inlineStr">
        <is>
          <t>m²</t>
        </is>
      </c>
      <c r="E33" s="11">
        <f>AHSP!$F$441</f>
        <v/>
      </c>
      <c r="F33" s="12">
        <f>C33*E33</f>
        <v/>
      </c>
      <c r="G33" s="31" t="inlineStr">
        <is>
          <t>luas talud + tanggul 3 m</t>
        </is>
      </c>
    </row>
    <row r="34">
      <c r="A34" s="14" t="inlineStr"/>
      <c r="B34" s="15" t="inlineStr">
        <is>
          <t>Jumlah air sungai dan embung</t>
        </is>
      </c>
      <c r="C34" s="14" t="inlineStr"/>
      <c r="D34" s="14" t="inlineStr"/>
      <c r="E34" s="14" t="inlineStr"/>
      <c r="F34" s="16">
        <f>SUM(F29:F33)</f>
        <v/>
      </c>
      <c r="G34" s="14" t="inlineStr"/>
    </row>
    <row r="36">
      <c r="A36" s="29" t="inlineStr"/>
      <c r="B36" s="30" t="inlineStr">
        <is>
          <t>V. LISTRIK KAWASAN</t>
        </is>
      </c>
      <c r="C36" s="29" t="inlineStr"/>
      <c r="D36" s="29" t="inlineStr"/>
      <c r="E36" s="29" t="inlineStr"/>
      <c r="F36" s="29" t="inlineStr"/>
      <c r="G36" s="29" t="inlineStr"/>
    </row>
    <row r="37">
      <c r="A37" s="8" t="n">
        <v>1</v>
      </c>
      <c r="B37" s="31" t="inlineStr">
        <is>
          <t>Pasang baru PLN 3.500 VA + SLO + panel</t>
        </is>
      </c>
      <c r="C37" s="32">
        <f>1</f>
        <v/>
      </c>
      <c r="D37" s="8" t="inlineStr">
        <is>
          <t>ls</t>
        </is>
      </c>
      <c r="E37" s="11">
        <f>ROUND('Harga Dasar'!$D$70*(1+Petunjuk!$C$15),-2)</f>
        <v/>
      </c>
      <c r="F37" s="12">
        <f>C37*E37</f>
        <v/>
      </c>
      <c r="G37" s="31" t="inlineStr"/>
    </row>
    <row r="38">
      <c r="A38" s="8" t="n">
        <v>2</v>
      </c>
      <c r="B38" s="31" t="inlineStr">
        <is>
          <t>Kabel NYY 4x6 tanam ke zona kandang dan servis</t>
        </is>
      </c>
      <c r="C38" s="32">
        <f>250</f>
        <v/>
      </c>
      <c r="D38" s="8" t="inlineStr">
        <is>
          <t>m</t>
        </is>
      </c>
      <c r="E38" s="11">
        <f>ROUND('Harga Dasar'!$D$71*(1+Petunjuk!$C$15),-2)</f>
        <v/>
      </c>
      <c r="F38" s="12">
        <f>C38*E38</f>
        <v/>
      </c>
      <c r="G38" s="31" t="inlineStr"/>
    </row>
    <row r="39">
      <c r="A39" s="14" t="inlineStr"/>
      <c r="B39" s="15" t="inlineStr">
        <is>
          <t>Jumlah listrik kawasan</t>
        </is>
      </c>
      <c r="C39" s="14" t="inlineStr"/>
      <c r="D39" s="14" t="inlineStr"/>
      <c r="E39" s="14" t="inlineStr"/>
      <c r="F39" s="16">
        <f>SUM(F37:F38)</f>
        <v/>
      </c>
      <c r="G39" s="14" t="inlineStr"/>
    </row>
    <row r="41">
      <c r="A41" s="18" t="inlineStr"/>
      <c r="B41" s="19" t="inlineStr">
        <is>
          <t>TOTAL</t>
        </is>
      </c>
      <c r="C41" s="18" t="inlineStr"/>
      <c r="D41" s="18" t="inlineStr"/>
      <c r="E41" s="18" t="inlineStr"/>
      <c r="F41" s="20">
        <f>F8+F15+F26+F34+F39</f>
        <v/>
      </c>
      <c r="G41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2026-10-17T12:56:36Z</dcterms:created>
  <dcterms:modified xsi:type="dcterms:W3CDTF">2026-10-17T12:56:36Z</dcterms:modified>
</cp:coreProperties>
</file>