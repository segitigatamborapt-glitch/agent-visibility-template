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ingkasan" sheetId="1" state="visible" r:id="rId1"/>
    <sheet name="Asumsi" sheetId="2" state="visible" r:id="rId2"/>
    <sheet name="Harga Dasar" sheetId="3" state="visible" r:id="rId3"/>
    <sheet name="Analisa HSP" sheetId="4" state="visible" r:id="rId4"/>
    <sheet name="RAB Kandang" sheetId="5" state="visible" r:id="rId5"/>
    <sheet name="RAB Pendukung" sheetId="6" state="visible" r:id="rId6"/>
    <sheet name="Peralatan" sheetId="7" state="visible" r:id="rId7"/>
    <sheet name="Gambar" sheetId="8" state="visible" r:id="rId8"/>
  </sheets>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0.0000"/>
    <numFmt numFmtId="167" formatCode="#,##0.00;(#,##0.00);-"/>
    <numFmt numFmtId="168" formatCode="#,##0.0&quot; juta&quot;"/>
  </numFmts>
  <fonts count="8">
    <font>
      <name val="Calibri"/>
      <family val="2"/>
      <color theme="1"/>
      <sz val="11"/>
      <scheme val="minor"/>
    </font>
    <font>
      <name val="Arial"/>
      <b val="1"/>
      <sz val="14"/>
    </font>
    <font>
      <name val="Arial"/>
      <i val="1"/>
      <color rgb="00555555"/>
      <sz val="10"/>
    </font>
    <font>
      <name val="Arial"/>
      <b val="1"/>
      <color rgb="00FFFFFF"/>
      <sz val="10"/>
    </font>
    <font>
      <name val="Arial"/>
      <b val="1"/>
      <sz val="10"/>
    </font>
    <font>
      <name val="Arial"/>
      <sz val="10"/>
    </font>
    <font>
      <name val="Arial"/>
      <color rgb="000000FF"/>
      <sz val="10"/>
    </font>
    <font>
      <name val="Arial"/>
      <color rgb="00008000"/>
      <sz val="10"/>
    </font>
  </fonts>
  <fills count="6">
    <fill>
      <patternFill/>
    </fill>
    <fill>
      <patternFill patternType="gray125"/>
    </fill>
    <fill>
      <patternFill patternType="solid">
        <fgColor rgb="001B5E4B"/>
      </patternFill>
    </fill>
    <fill>
      <patternFill patternType="solid">
        <fgColor rgb="00DCEBE4"/>
      </patternFill>
    </fill>
    <fill>
      <patternFill patternType="solid">
        <fgColor rgb="00FFFF99"/>
      </patternFill>
    </fill>
    <fill>
      <patternFill patternType="solid">
        <fgColor rgb="00F3E9C6"/>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top"/>
    </xf>
    <xf numFmtId="0" fontId="5" fillId="0" borderId="1" pivotButton="0" quotePrefix="0" xfId="0"/>
    <xf numFmtId="3" fontId="7" fillId="0" borderId="1" pivotButton="0" quotePrefix="0" xfId="0"/>
    <xf numFmtId="164" fontId="5" fillId="0" borderId="1" pivotButton="0" quotePrefix="0" xfId="0"/>
    <xf numFmtId="0" fontId="2" fillId="0" borderId="1" pivotButton="0" quotePrefix="0" xfId="0"/>
    <xf numFmtId="0" fontId="5" fillId="5" borderId="1" pivotButton="0" quotePrefix="0" xfId="0"/>
    <xf numFmtId="0" fontId="4" fillId="5" borderId="1" pivotButton="0" quotePrefix="0" xfId="0"/>
    <xf numFmtId="3" fontId="4" fillId="5" borderId="1" pivotButton="0" quotePrefix="0" xfId="0"/>
    <xf numFmtId="3" fontId="5" fillId="0" borderId="1" pivotButton="0" quotePrefix="0" xfId="0"/>
    <xf numFmtId="168" fontId="4" fillId="0" borderId="1" pivotButton="0" quotePrefix="0" xfId="0"/>
    <xf numFmtId="0" fontId="4" fillId="0" borderId="0" pivotButton="0" quotePrefix="0" xfId="0"/>
    <xf numFmtId="165" fontId="5" fillId="0" borderId="1" pivotButton="0" quotePrefix="0" xfId="0"/>
    <xf numFmtId="0" fontId="5" fillId="0" borderId="0" applyAlignment="1" pivotButton="0" quotePrefix="0" xfId="0">
      <alignment vertical="top" wrapText="1"/>
    </xf>
    <xf numFmtId="0" fontId="4" fillId="3" borderId="0" pivotButton="0" quotePrefix="0" xfId="0"/>
    <xf numFmtId="0" fontId="0" fillId="3" borderId="0" pivotButton="0" quotePrefix="0" xfId="0"/>
    <xf numFmtId="3" fontId="6" fillId="4" borderId="1" pivotButton="0" quotePrefix="0" xfId="0"/>
    <xf numFmtId="0" fontId="5" fillId="0" borderId="1" applyAlignment="1" pivotButton="0" quotePrefix="0" xfId="0">
      <alignment vertical="top" wrapText="1"/>
    </xf>
    <xf numFmtId="3" fontId="6" fillId="0" borderId="1" pivotButton="0" quotePrefix="0" xfId="0"/>
    <xf numFmtId="2" fontId="6" fillId="0" borderId="1" pivotButton="0" quotePrefix="0" xfId="0"/>
    <xf numFmtId="2" fontId="6" fillId="4" borderId="1" pivotButton="0" quotePrefix="0" xfId="0"/>
    <xf numFmtId="164" fontId="6" fillId="4" borderId="1" pivotButton="0" quotePrefix="0" xfId="0"/>
    <xf numFmtId="164" fontId="6" fillId="0" borderId="1" pivotButton="0" quotePrefix="0" xfId="0"/>
    <xf numFmtId="0" fontId="4" fillId="0" borderId="1" pivotButton="0" quotePrefix="0" xfId="0"/>
    <xf numFmtId="0" fontId="5" fillId="0" borderId="1" applyAlignment="1" pivotButton="0" quotePrefix="0" xfId="0">
      <alignment horizontal="center" vertical="top"/>
    </xf>
    <xf numFmtId="166" fontId="6" fillId="0" borderId="1" pivotButton="0" quotePrefix="0" xfId="0"/>
    <xf numFmtId="0" fontId="4" fillId="3" borderId="1" pivotButton="0" quotePrefix="0" xfId="0"/>
    <xf numFmtId="0" fontId="0" fillId="3" borderId="1" pivotButton="0" quotePrefix="0" xfId="0"/>
    <xf numFmtId="167" fontId="5" fillId="0" borderId="1" pivotButton="0" quotePrefix="0" xfId="0"/>
    <xf numFmtId="0" fontId="2" fillId="0" borderId="1" applyAlignment="1" pivotButton="0" quotePrefix="0" xfId="0">
      <alignment vertical="top" wrapText="1"/>
    </xf>
    <xf numFmtId="167" fontId="6"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9525000" cy="6753225"/>
    <pic>
      <nvPicPr>
        <cNvPr id="1" name="Image 1" descr="Picture"/>
        <cNvPicPr/>
      </nvPicPr>
      <blipFill>
        <a:blip cstate="print" r:embed="rId1"/>
        <a:stretch>
          <a:fillRect/>
        </a:stretch>
      </blipFill>
      <spPr>
        <a:prstGeom prst="rect"/>
      </spPr>
    </pic>
    <clientData/>
  </oneCellAnchor>
  <oneCellAnchor>
    <from>
      <col>0</col>
      <colOff>0</colOff>
      <row>41</row>
      <rowOff>0</rowOff>
    </from>
    <ext cx="9525000" cy="6753225"/>
    <pic>
      <nvPicPr>
        <cNvPr id="2" name="Image 2" descr="Picture"/>
        <cNvPicPr/>
      </nvPicPr>
      <blipFill>
        <a:blip cstate="print" r:embed="rId2"/>
        <a:stretch>
          <a:fillRect/>
        </a:stretch>
      </blipFill>
      <spPr>
        <a:prstGeom prst="rect"/>
      </spPr>
    </pic>
    <clientData/>
  </oneCellAnchor>
  <oneCellAnchor>
    <from>
      <col>0</col>
      <colOff>0</colOff>
      <row>79</row>
      <rowOff>0</rowOff>
    </from>
    <ext cx="9525000" cy="6753225"/>
    <pic>
      <nvPicPr>
        <cNvPr id="3" name="Image 3" descr="Picture"/>
        <cNvPicPr/>
      </nvPicPr>
      <blipFill>
        <a:blip cstate="print" r:embed="rId3"/>
        <a:stretch>
          <a:fillRect/>
        </a:stretch>
      </blipFill>
      <spPr>
        <a:prstGeom prst="rect"/>
      </spPr>
    </pic>
    <clientData/>
  </oneCellAnchor>
  <oneCellAnchor>
    <from>
      <col>0</col>
      <colOff>0</colOff>
      <row>117</row>
      <rowOff>0</rowOff>
    </from>
    <ext cx="9525000" cy="6753225"/>
    <pic>
      <nvPicPr>
        <cNvPr id="4" name="Image 4" descr="Picture"/>
        <cNvPicPr/>
      </nvPicPr>
      <blipFill>
        <a:blip cstate="print" r:embed="rId4"/>
        <a:stretch>
          <a:fillRect/>
        </a:stretch>
      </blipFill>
      <spPr>
        <a:prstGeom prst="rect"/>
      </spPr>
    </pic>
    <clientData/>
  </oneCellAnchor>
  <oneCellAnchor>
    <from>
      <col>0</col>
      <colOff>0</colOff>
      <row>155</row>
      <rowOff>0</rowOff>
    </from>
    <ext cx="9525000" cy="6753225"/>
    <pic>
      <nvPicPr>
        <cNvPr id="5" name="Image 5" descr="Picture"/>
        <cNvPicPr/>
      </nvPicPr>
      <blipFill>
        <a:blip cstate="print" r:embed="rId5"/>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E31"/>
  <sheetViews>
    <sheetView showGridLines="0" workbookViewId="0">
      <selection activeCell="A1" sqref="A1"/>
    </sheetView>
  </sheetViews>
  <sheetFormatPr baseColWidth="8" defaultRowHeight="15"/>
  <cols>
    <col width="6" customWidth="1" min="1" max="1"/>
    <col width="58" customWidth="1" min="2" max="2"/>
    <col width="22" customWidth="1" min="3" max="3"/>
    <col width="18" customWidth="1" min="4" max="4"/>
    <col width="60" customWidth="1" min="5" max="5"/>
  </cols>
  <sheetData>
    <row r="1">
      <c r="A1" s="1" t="inlineStr">
        <is>
          <t>RAB HEMAT Kandang Ayam KUB 2.000 Ekor, Kab. Konawe Selatan</t>
        </is>
      </c>
    </row>
    <row r="2">
      <c r="A2" s="2" t="inlineStr">
        <is>
          <t>Rekapitulasi Rencana Anggaran Biaya. Semua angka berupa rumus yang mengikuti sheet Asumsi, Harga Dasar, dan Analisa HSP.</t>
        </is>
      </c>
    </row>
    <row r="4">
      <c r="A4" s="3" t="inlineStr">
        <is>
          <t>No</t>
        </is>
      </c>
      <c r="B4" s="3" t="inlineStr">
        <is>
          <t>Uraian</t>
        </is>
      </c>
      <c r="C4" s="3" t="inlineStr">
        <is>
          <t>Jumlah (Rp)</t>
        </is>
      </c>
      <c r="D4" s="3" t="inlineStr">
        <is>
          <t>Persen</t>
        </is>
      </c>
      <c r="E4" s="3" t="inlineStr">
        <is>
          <t>Keterangan</t>
        </is>
      </c>
    </row>
    <row r="5">
      <c r="A5" s="4" t="inlineStr">
        <is>
          <t>A</t>
        </is>
      </c>
      <c r="B5" s="5" t="inlineStr">
        <is>
          <t>Kandang litter 10 x 20 m (semua unit)</t>
        </is>
      </c>
      <c r="C5" s="6">
        <f>'RAB Kandang'!$F$34</f>
        <v/>
      </c>
      <c r="D5" s="7">
        <f>IF($C$12=0,0,C5/$C$12)</f>
        <v/>
      </c>
      <c r="E5" s="8" t="inlineStr">
        <is>
          <t>Sheet RAB Kandang</t>
        </is>
      </c>
    </row>
    <row r="6">
      <c r="A6" s="4" t="inlineStr">
        <is>
          <t>B</t>
        </is>
      </c>
      <c r="B6" s="5" t="inlineStr">
        <is>
          <t>Bangunan dan fasilitas pendukung</t>
        </is>
      </c>
      <c r="C6" s="6">
        <f>'RAB Pendukung'!$F$16</f>
        <v/>
      </c>
      <c r="D6" s="7">
        <f>IF($C$12=0,0,C6/$C$12)</f>
        <v/>
      </c>
      <c r="E6" s="8" t="inlineStr">
        <is>
          <t>Sheet RAB Pendukung</t>
        </is>
      </c>
    </row>
    <row r="7">
      <c r="A7" s="4" t="inlineStr">
        <is>
          <t>C</t>
        </is>
      </c>
      <c r="B7" s="5" t="inlineStr">
        <is>
          <t>Peralatan kandang</t>
        </is>
      </c>
      <c r="C7" s="6">
        <f>'Peralatan'!$F$24</f>
        <v/>
      </c>
      <c r="D7" s="7">
        <f>IF($C$12=0,0,C7/$C$12)</f>
        <v/>
      </c>
      <c r="E7" s="8" t="inlineStr">
        <is>
          <t>Sheet Peralatan</t>
        </is>
      </c>
    </row>
    <row r="8">
      <c r="A8" s="9" t="inlineStr"/>
      <c r="B8" s="10" t="inlineStr">
        <is>
          <t>Jumlah biaya langsung (A + B + C)</t>
        </is>
      </c>
      <c r="C8" s="11">
        <f>SUM(C5:C7)</f>
        <v/>
      </c>
      <c r="D8" s="7">
        <f>IF($C$12=0,0,C8/$C$12)</f>
        <v/>
      </c>
      <c r="E8" s="9" t="inlineStr"/>
    </row>
    <row r="9">
      <c r="B9" s="5" t="inlineStr">
        <is>
          <t>Jasa pelaksana / overhead dan keuntungan</t>
        </is>
      </c>
      <c r="C9" s="12">
        <f>ROUND(C8*Asumsi!$B$43,0)</f>
        <v/>
      </c>
      <c r="D9" s="7">
        <f>IF($C$12=0,0,C9/$C$12)</f>
        <v/>
      </c>
      <c r="E9" s="8" t="inlineStr">
        <is>
          <t>Persentase di sheet Asumsi (isi 0% bila swakelola)</t>
        </is>
      </c>
    </row>
    <row r="10">
      <c r="B10" s="5" t="inlineStr">
        <is>
          <t>Cadangan tak terduga</t>
        </is>
      </c>
      <c r="C10" s="12">
        <f>ROUND(C8*Asumsi!$B$44,0)</f>
        <v/>
      </c>
      <c r="D10" s="7">
        <f>IF($C$12=0,0,C10/$C$12)</f>
        <v/>
      </c>
      <c r="E10" s="8" t="inlineStr"/>
    </row>
    <row r="11">
      <c r="B11" s="5" t="inlineStr">
        <is>
          <t>PPN</t>
        </is>
      </c>
      <c r="C11" s="12">
        <f>ROUND((C8+C9+C10)*Asumsi!$B$45,0)</f>
        <v/>
      </c>
      <c r="D11" s="7">
        <f>IF($C$12=0,0,C11/$C$12)</f>
        <v/>
      </c>
      <c r="E11" s="8" t="inlineStr">
        <is>
          <t>Default 0%</t>
        </is>
      </c>
    </row>
    <row r="12">
      <c r="A12" s="9" t="inlineStr"/>
      <c r="B12" s="10" t="inlineStr">
        <is>
          <t>TOTAL RAB</t>
        </is>
      </c>
      <c r="C12" s="11">
        <f>SUM(C8:C11)</f>
        <v/>
      </c>
      <c r="D12" s="7">
        <f>IF($C$12=0,0,C12/$C$12)</f>
        <v/>
      </c>
      <c r="E12" s="9" t="inlineStr"/>
    </row>
    <row r="13">
      <c r="B13" s="5" t="inlineStr">
        <is>
          <t>Terbilang bulat (jutaan rupiah)</t>
        </is>
      </c>
      <c r="C13" s="13">
        <f>ROUND(C12/1000000,1)</f>
        <v/>
      </c>
      <c r="D13" s="5" t="inlineStr"/>
      <c r="E13" s="5" t="inlineStr"/>
    </row>
    <row r="15">
      <c r="B15" s="14" t="inlineStr">
        <is>
          <t>Indikator</t>
        </is>
      </c>
    </row>
    <row r="16">
      <c r="B16" s="5" t="inlineStr">
        <is>
          <t>Jumlah ayam (ekor)</t>
        </is>
      </c>
      <c r="C16" s="12">
        <f>Asumsi!$B$6</f>
        <v/>
      </c>
    </row>
    <row r="17">
      <c r="B17" s="5" t="inlineStr">
        <is>
          <t>Biaya per ekor (Rp/ekor)</t>
        </is>
      </c>
      <c r="C17" s="12">
        <f>C12/Asumsi!$B$6</f>
        <v/>
      </c>
    </row>
    <row r="18">
      <c r="B18" s="5" t="inlineStr">
        <is>
          <t>Luas lantai kandang (m²)</t>
        </is>
      </c>
      <c r="C18" s="12">
        <f>Asumsi!$B$10*Asumsi!$B$11*Asumsi!$B$8</f>
        <v/>
      </c>
    </row>
    <row r="19">
      <c r="B19" s="5" t="inlineStr">
        <is>
          <t>Biaya kandang per m² lantai (Rp/m²)</t>
        </is>
      </c>
      <c r="C19" s="12">
        <f>C5/(Asumsi!$B$10*Asumsi!$B$11*Asumsi!$B$8)</f>
        <v/>
      </c>
    </row>
    <row r="20">
      <c r="B20" s="5" t="inlineStr">
        <is>
          <t>Biaya per ekor, hanya kandang dan peralatan (Rp/ekor)</t>
        </is>
      </c>
      <c r="C20" s="12">
        <f>(C5+C7)/Asumsi!$B$6</f>
        <v/>
      </c>
    </row>
    <row r="21">
      <c r="B21" s="5" t="inlineStr">
        <is>
          <t>Luas atap per kandang (m²)</t>
        </is>
      </c>
      <c r="C21" s="15">
        <f>Asumsi!$B$53</f>
        <v/>
      </c>
    </row>
    <row r="22">
      <c r="B22" s="5" t="inlineStr">
        <is>
          <t>Zona produksi berpagar (m²) dari lahan 10.000 m²</t>
        </is>
      </c>
      <c r="C22" s="12">
        <f>Asumsi!$B$55</f>
        <v/>
      </c>
    </row>
    <row r="24">
      <c r="B24" s="14" t="inlineStr">
        <is>
          <t>Catatan penting</t>
        </is>
      </c>
    </row>
    <row r="25" ht="44" customHeight="1">
      <c r="B25" s="16" t="inlineStr">
        <is>
          <t>• VERSI HEMAT. Harga satuan bahan dan upah adalah ESTIMASI untuk Konawe Selatan/Kendari, bukan kutipan resmi. Ganti sel biru di sheet Harga Dasar dengan penawaran toko bangunan setempat.</t>
        </is>
      </c>
    </row>
    <row r="26" ht="44" customHeight="1">
      <c r="B26" s="16" t="inlineStr">
        <is>
          <t>• Dasar yang terverifikasi: UMK Konawe Selatan 2026 Rp 3.306.496 per bulan dan Indeks Kemahalan Konstruksi Konawe Selatan 2025 sebesar 91,52 (Surabaya = 100).</t>
        </is>
      </c>
    </row>
    <row r="27" ht="44" customHeight="1">
      <c r="B27" s="16" t="inlineStr">
        <is>
          <t>• Konstruksi hemat: tiang kayu 10/10 di atas umpak beton, lantai tanah dipadatkan dengan lapisan pasir dan litter sekam, dinding bawah papan kayu 0,5 m, kawat harmonika dan tirai terpal, atap rangka kayu dengan seng gelombang landai 15°. Umur bangunan sekitar 5-8 tahun dan perlu perawatan rutin (cat/pengawet kayu, ganti tiang yang lapuk).</t>
        </is>
      </c>
    </row>
    <row r="28" ht="44" customHeight="1">
      <c r="B28" s="16" t="inlineStr">
        <is>
          <t>• Hasil: sekitar Rp 355 juta untuk 2.000 ekor (dua kandang). Untuk target Rp 200-250 juta, bangun TAHAP 1: ubah Jumlah ayam menjadi 1.000 dan Jumlah unit menjadi 1 di sheet Asumsi (hasilnya sekitar Rp 232 juta), lalu tambah kandang kedua setelah kas berjalan.</t>
        </is>
      </c>
    </row>
    <row r="29" ht="44" customHeight="1">
      <c r="B29" s="16" t="inlineStr">
        <is>
          <t>• Penghematan tambahan yang bisa dipilih: tunda kandang karantina, pakai sumber air yang sudah ada tanpa sumur bor baru, buat sarang bertelur dan tempat pakan sendiri, dan pagar hanya sisi depan lebih dulu.</t>
        </is>
      </c>
    </row>
    <row r="30" ht="44" customHeight="1">
      <c r="B30" s="16" t="inlineStr">
        <is>
          <t>• Gambar di sheet Gambar menunjukkan konstruksi permanen (pondasi batu kali, lantai beton, atap baja ringan). Tata letak dan dimensi sama, tetapi detail struktur versi hemat berbeda seperti uraian di atas. Gambar detail versi hemat dapat dibuat bila diperlukan.</t>
        </is>
      </c>
    </row>
    <row r="31" ht="44" customHeight="1">
      <c r="B31" s="16" t="inlineStr">
        <is>
          <t>• Biaya ini hanya investasi bangunan, fasilitas, dan peralatan. Belum termasuk DOC, pakan, tenaga kerja, dan modal kerja. Konsultasikan struktur final (terutama rangka atap bentang 10 m) dengan tukang atau tenaga ahli setempat sebelum membangun.</t>
        </is>
      </c>
    </row>
  </sheetData>
  <mergeCells count="7">
    <mergeCell ref="B31:E31"/>
    <mergeCell ref="B26:E26"/>
    <mergeCell ref="B27:E27"/>
    <mergeCell ref="B30:E30"/>
    <mergeCell ref="B29:E29"/>
    <mergeCell ref="B25:E25"/>
    <mergeCell ref="B28:E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5"/>
  <sheetViews>
    <sheetView showGridLines="0" workbookViewId="0">
      <selection activeCell="A1" sqref="A1"/>
    </sheetView>
  </sheetViews>
  <sheetFormatPr baseColWidth="8" defaultRowHeight="15"/>
  <cols>
    <col width="44" customWidth="1" min="1" max="1"/>
    <col width="16" customWidth="1" min="2" max="2"/>
    <col width="12" customWidth="1" min="3" max="3"/>
    <col width="70" customWidth="1" min="4" max="4"/>
  </cols>
  <sheetData>
    <row r="1">
      <c r="A1" s="1" t="inlineStr">
        <is>
          <t>Asumsi dan Parameter Desain</t>
        </is>
      </c>
    </row>
    <row r="2">
      <c r="A2" s="2" t="inlineStr">
        <is>
          <t>Sel biru = input yang boleh diubah. Semua volume dan biaya di sheet lain mengikuti sel ini.</t>
        </is>
      </c>
    </row>
    <row r="4">
      <c r="A4" s="3" t="inlineStr">
        <is>
          <t>Parameter</t>
        </is>
      </c>
      <c r="B4" s="3" t="inlineStr">
        <is>
          <t>Nilai</t>
        </is>
      </c>
      <c r="C4" s="3" t="inlineStr">
        <is>
          <t>Satuan</t>
        </is>
      </c>
      <c r="D4" s="3" t="inlineStr">
        <is>
          <t>Catatan</t>
        </is>
      </c>
    </row>
    <row r="5">
      <c r="A5" s="17" t="inlineStr">
        <is>
          <t>Kapasitas</t>
        </is>
      </c>
      <c r="B5" s="18" t="n"/>
      <c r="C5" s="18" t="n"/>
      <c r="D5" s="18" t="n"/>
    </row>
    <row r="6">
      <c r="A6" s="5" t="inlineStr">
        <is>
          <t>Jumlah ayam total</t>
        </is>
      </c>
      <c r="B6" s="19" t="n">
        <v>2000</v>
      </c>
      <c r="C6" s="5" t="inlineStr">
        <is>
          <t>ekor</t>
        </is>
      </c>
      <c r="D6" s="20" t="inlineStr">
        <is>
          <t>Permintaan pengguna.</t>
        </is>
      </c>
    </row>
    <row r="7">
      <c r="A7" s="5" t="inlineStr">
        <is>
          <t>Kepadatan kandang litter</t>
        </is>
      </c>
      <c r="B7" s="21" t="n">
        <v>5</v>
      </c>
      <c r="C7" s="5" t="inlineStr">
        <is>
          <t>ekor/m²</t>
        </is>
      </c>
      <c r="D7" s="20" t="inlineStr">
        <is>
          <t>Ayam KUB petelur sistem litter 5 ekor/m². Untuk pedaging boleh 8-10 ekor/m² (lihat sheet Ringkasan, catatan).</t>
        </is>
      </c>
    </row>
    <row r="8">
      <c r="A8" s="5" t="inlineStr">
        <is>
          <t>Jumlah unit kandang</t>
        </is>
      </c>
      <c r="B8" s="21" t="n">
        <v>2</v>
      </c>
      <c r="C8" s="5" t="inlineStr">
        <is>
          <t>unit</t>
        </is>
      </c>
      <c r="D8" s="20" t="inlineStr">
        <is>
          <t>Dua unit identik agar bisa dikosongkan bergantian dan sistem all-in all-out per kandang.</t>
        </is>
      </c>
    </row>
    <row r="9">
      <c r="A9" s="17" t="inlineStr">
        <is>
          <t>Dimensi bangunan per unit</t>
        </is>
      </c>
      <c r="B9" s="18" t="n"/>
      <c r="C9" s="18" t="n"/>
      <c r="D9" s="18" t="n"/>
    </row>
    <row r="10">
      <c r="A10" s="5" t="inlineStr">
        <is>
          <t>Panjang kandang</t>
        </is>
      </c>
      <c r="B10" s="21" t="n">
        <v>20</v>
      </c>
      <c r="C10" s="5" t="inlineStr">
        <is>
          <t>m</t>
        </is>
      </c>
      <c r="D10" s="20" t="inlineStr">
        <is>
          <t>Poros timur-barat.</t>
        </is>
      </c>
    </row>
    <row r="11">
      <c r="A11" s="5" t="inlineStr">
        <is>
          <t>Lebar kandang</t>
        </is>
      </c>
      <c r="B11" s="21" t="n">
        <v>10</v>
      </c>
      <c r="C11" s="5" t="inlineStr">
        <is>
          <t>m</t>
        </is>
      </c>
      <c r="D11" s="20" t="inlineStr">
        <is>
          <t>Maksimal 10 m agar ventilasi alami efektif.</t>
        </is>
      </c>
    </row>
    <row r="12">
      <c r="A12" s="5" t="inlineStr">
        <is>
          <t>Jarak antar kolom</t>
        </is>
      </c>
      <c r="B12" s="22" t="n">
        <v>2.5</v>
      </c>
      <c r="C12" s="5" t="inlineStr">
        <is>
          <t>m</t>
        </is>
      </c>
      <c r="D12" s="20" t="inlineStr">
        <is>
          <t>8 bentang x 2,5 m = 20 m.</t>
        </is>
      </c>
    </row>
    <row r="13">
      <c r="A13" s="5" t="inlineStr">
        <is>
          <t>Tinggi kolom/dinding efektif</t>
        </is>
      </c>
      <c r="B13" s="22" t="n">
        <v>3</v>
      </c>
      <c r="C13" s="5" t="inlineStr">
        <is>
          <t>m</t>
        </is>
      </c>
      <c r="D13" s="20" t="inlineStr"/>
    </row>
    <row r="14">
      <c r="A14" s="5" t="inlineStr">
        <is>
          <t>Tinggi dinding bata bagian bawah</t>
        </is>
      </c>
      <c r="B14" s="22" t="n">
        <v>0.5</v>
      </c>
      <c r="C14" s="5" t="inlineStr">
        <is>
          <t>m</t>
        </is>
      </c>
      <c r="D14" s="20" t="inlineStr">
        <is>
          <t>Menahan litter dan mencegah tikus.</t>
        </is>
      </c>
    </row>
    <row r="15">
      <c r="A15" s="5" t="inlineStr">
        <is>
          <t>Tinggi kawat harmonika di atas bata</t>
        </is>
      </c>
      <c r="B15" s="22" t="n">
        <v>2.5</v>
      </c>
      <c r="C15" s="5" t="inlineStr">
        <is>
          <t>m</t>
        </is>
      </c>
      <c r="D15" s="20" t="inlineStr">
        <is>
          <t>Dari 0,5 m sampai 3,0 m.</t>
        </is>
      </c>
    </row>
    <row r="16">
      <c r="A16" s="5" t="inlineStr">
        <is>
          <t>Tinggi tirai terpal</t>
        </is>
      </c>
      <c r="B16" s="22" t="n">
        <v>1.6</v>
      </c>
      <c r="C16" s="5" t="inlineStr">
        <is>
          <t>m</t>
        </is>
      </c>
      <c r="D16" s="20" t="inlineStr">
        <is>
          <t>Dapat digulung.</t>
        </is>
      </c>
    </row>
    <row r="17">
      <c r="A17" s="5" t="inlineStr">
        <is>
          <t>Sudut atap</t>
        </is>
      </c>
      <c r="B17" s="21" t="n">
        <v>15</v>
      </c>
      <c r="C17" s="5" t="inlineStr">
        <is>
          <t>derajat</t>
        </is>
      </c>
      <c r="D17" s="20" t="inlineStr">
        <is>
          <t>Atap lebih landai untuk menghemat luas bidang atap.</t>
        </is>
      </c>
    </row>
    <row r="18">
      <c r="A18" s="5" t="inlineStr">
        <is>
          <t>Overstek atap tiap sisi</t>
        </is>
      </c>
      <c r="B18" s="22" t="n">
        <v>0.6</v>
      </c>
      <c r="C18" s="5" t="inlineStr">
        <is>
          <t>m</t>
        </is>
      </c>
      <c r="D18" s="20" t="inlineStr">
        <is>
          <t>Cukup melindungi tirai pada atap landai.</t>
        </is>
      </c>
    </row>
    <row r="19">
      <c r="A19" s="5" t="inlineStr">
        <is>
          <t>Lebar pintu</t>
        </is>
      </c>
      <c r="B19" s="22" t="n">
        <v>1.2</v>
      </c>
      <c r="C19" s="5" t="inlineStr">
        <is>
          <t>m</t>
        </is>
      </c>
      <c r="D19" s="20" t="inlineStr"/>
    </row>
    <row r="20">
      <c r="A20" s="5" t="inlineStr">
        <is>
          <t>Jumlah pintu per kandang</t>
        </is>
      </c>
      <c r="B20" s="21" t="n">
        <v>2</v>
      </c>
      <c r="C20" s="5" t="inlineStr">
        <is>
          <t>buah</t>
        </is>
      </c>
      <c r="D20" s="20" t="inlineStr">
        <is>
          <t>Depan dan belakang.</t>
        </is>
      </c>
    </row>
    <row r="21">
      <c r="A21" s="17" t="inlineStr">
        <is>
          <t>Struktur dan lantai</t>
        </is>
      </c>
      <c r="B21" s="18" t="n"/>
      <c r="C21" s="18" t="n"/>
      <c r="D21" s="18" t="n"/>
    </row>
    <row r="22">
      <c r="A22" s="5" t="inlineStr">
        <is>
          <t>Tebal lantai beton</t>
        </is>
      </c>
      <c r="B22" s="22" t="n">
        <v>0.07000000000000001</v>
      </c>
      <c r="C22" s="5" t="inlineStr">
        <is>
          <t>m</t>
        </is>
      </c>
      <c r="D22" s="20" t="inlineStr">
        <is>
          <t>K-125.</t>
        </is>
      </c>
    </row>
    <row r="23">
      <c r="A23" s="5" t="inlineStr">
        <is>
          <t>Tebal urugan pasir di bawah lantai</t>
        </is>
      </c>
      <c r="B23" s="22" t="n">
        <v>0.05</v>
      </c>
      <c r="C23" s="5" t="inlineStr">
        <is>
          <t>m</t>
        </is>
      </c>
      <c r="D23" s="20" t="inlineStr"/>
    </row>
    <row r="24">
      <c r="A24" s="5" t="inlineStr">
        <is>
          <t>Tinggi urugan tanah peninggian lantai</t>
        </is>
      </c>
      <c r="B24" s="22" t="n">
        <v>0.3</v>
      </c>
      <c r="C24" s="5" t="inlineStr">
        <is>
          <t>m</t>
        </is>
      </c>
      <c r="D24" s="20" t="inlineStr">
        <is>
          <t>Lantai kandang lebih tinggi dari tanah sekitar agar kering.</t>
        </is>
      </c>
    </row>
    <row r="25">
      <c r="A25" s="5" t="inlineStr">
        <is>
          <t>Pondasi batu kali, lebar atas</t>
        </is>
      </c>
      <c r="B25" s="22" t="n">
        <v>0.25</v>
      </c>
      <c r="C25" s="5" t="inlineStr">
        <is>
          <t>m</t>
        </is>
      </c>
      <c r="D25" s="20" t="inlineStr"/>
    </row>
    <row r="26">
      <c r="A26" s="5" t="inlineStr">
        <is>
          <t>Pondasi batu kali, lebar bawah</t>
        </is>
      </c>
      <c r="B26" s="22" t="n">
        <v>0.6</v>
      </c>
      <c r="C26" s="5" t="inlineStr">
        <is>
          <t>m</t>
        </is>
      </c>
      <c r="D26" s="20" t="inlineStr"/>
    </row>
    <row r="27">
      <c r="A27" s="5" t="inlineStr">
        <is>
          <t>Pondasi batu kali, tinggi</t>
        </is>
      </c>
      <c r="B27" s="22" t="n">
        <v>0.6</v>
      </c>
      <c r="C27" s="5" t="inlineStr">
        <is>
          <t>m</t>
        </is>
      </c>
      <c r="D27" s="20" t="inlineStr"/>
    </row>
    <row r="28">
      <c r="A28" s="5" t="inlineStr">
        <is>
          <t>Galian pondasi, lebar</t>
        </is>
      </c>
      <c r="B28" s="22" t="n">
        <v>0.7</v>
      </c>
      <c r="C28" s="5" t="inlineStr">
        <is>
          <t>m</t>
        </is>
      </c>
      <c r="D28" s="20" t="inlineStr"/>
    </row>
    <row r="29">
      <c r="A29" s="5" t="inlineStr">
        <is>
          <t>Galian pondasi, dalam</t>
        </is>
      </c>
      <c r="B29" s="22" t="n">
        <v>0.7</v>
      </c>
      <c r="C29" s="5" t="inlineStr">
        <is>
          <t>m</t>
        </is>
      </c>
      <c r="D29" s="20" t="inlineStr"/>
    </row>
    <row r="30">
      <c r="A30" s="5" t="inlineStr">
        <is>
          <t>Sloof, lebar</t>
        </is>
      </c>
      <c r="B30" s="22" t="n">
        <v>0.15</v>
      </c>
      <c r="C30" s="5" t="inlineStr">
        <is>
          <t>m</t>
        </is>
      </c>
      <c r="D30" s="20" t="inlineStr"/>
    </row>
    <row r="31">
      <c r="A31" s="5" t="inlineStr">
        <is>
          <t>Sloof, tinggi</t>
        </is>
      </c>
      <c r="B31" s="22" t="n">
        <v>0.2</v>
      </c>
      <c r="C31" s="5" t="inlineStr">
        <is>
          <t>m</t>
        </is>
      </c>
      <c r="D31" s="20" t="inlineStr"/>
    </row>
    <row r="32">
      <c r="A32" s="5" t="inlineStr">
        <is>
          <t>Kolom, sisi (persegi)</t>
        </is>
      </c>
      <c r="B32" s="22" t="n">
        <v>0.15</v>
      </c>
      <c r="C32" s="5" t="inlineStr">
        <is>
          <t>m</t>
        </is>
      </c>
      <c r="D32" s="20" t="inlineStr">
        <is>
          <t>15 x 15 cm.</t>
        </is>
      </c>
    </row>
    <row r="33">
      <c r="A33" s="5" t="inlineStr">
        <is>
          <t>Ring balk, lebar</t>
        </is>
      </c>
      <c r="B33" s="22" t="n">
        <v>0.12</v>
      </c>
      <c r="C33" s="5" t="inlineStr">
        <is>
          <t>m</t>
        </is>
      </c>
      <c r="D33" s="20" t="inlineStr"/>
    </row>
    <row r="34">
      <c r="A34" s="5" t="inlineStr">
        <is>
          <t>Ring balk, tinggi</t>
        </is>
      </c>
      <c r="B34" s="22" t="n">
        <v>0.15</v>
      </c>
      <c r="C34" s="5" t="inlineStr">
        <is>
          <t>m</t>
        </is>
      </c>
      <c r="D34" s="20" t="inlineStr"/>
    </row>
    <row r="35">
      <c r="A35" s="5" t="inlineStr">
        <is>
          <t>Kebutuhan besi per m³ beton</t>
        </is>
      </c>
      <c r="B35" s="21" t="n">
        <v>170</v>
      </c>
      <c r="C35" s="5" t="inlineStr">
        <is>
          <t>kg/m³</t>
        </is>
      </c>
      <c r="D35" s="20" t="inlineStr">
        <is>
          <t>Rata-rata sloof, kolom, ring balk.</t>
        </is>
      </c>
    </row>
    <row r="36">
      <c r="A36" s="5" t="inlineStr">
        <is>
          <t>Jenis rangka atap (1 = baja ringan, 2 = kayu)</t>
        </is>
      </c>
      <c r="B36" s="19" t="n">
        <v>2</v>
      </c>
      <c r="C36" s="5" t="inlineStr">
        <is>
          <t>pilihan</t>
        </is>
      </c>
      <c r="D36" s="20" t="inlineStr">
        <is>
          <t>Versi hemat memakai rangka kayu.</t>
        </is>
      </c>
    </row>
    <row r="37">
      <c r="A37" s="17" t="inlineStr">
        <is>
          <t>Lahan dan fasilitas pendukung</t>
        </is>
      </c>
      <c r="B37" s="18" t="n"/>
      <c r="C37" s="18" t="n"/>
      <c r="D37" s="18" t="n"/>
    </row>
    <row r="38">
      <c r="A38" s="5" t="inlineStr">
        <is>
          <t>Luas lahan</t>
        </is>
      </c>
      <c r="B38" s="21" t="n">
        <v>10000</v>
      </c>
      <c r="C38" s="5" t="inlineStr">
        <is>
          <t>m²</t>
        </is>
      </c>
      <c r="D38" s="20" t="inlineStr">
        <is>
          <t>1 ha.</t>
        </is>
      </c>
    </row>
    <row r="39">
      <c r="A39" s="5" t="inlineStr">
        <is>
          <t>Panjang zona produksi berpagar</t>
        </is>
      </c>
      <c r="B39" s="21" t="n">
        <v>70</v>
      </c>
      <c r="C39" s="5" t="inlineStr">
        <is>
          <t>m</t>
        </is>
      </c>
      <c r="D39" s="20" t="inlineStr"/>
    </row>
    <row r="40">
      <c r="A40" s="5" t="inlineStr">
        <is>
          <t>Lebar zona produksi berpagar</t>
        </is>
      </c>
      <c r="B40" s="21" t="n">
        <v>60</v>
      </c>
      <c r="C40" s="5" t="inlineStr">
        <is>
          <t>m</t>
        </is>
      </c>
      <c r="D40" s="20" t="inlineStr"/>
    </row>
    <row r="41">
      <c r="A41" s="17" t="inlineStr">
        <is>
          <t>Biaya tidak langsung</t>
        </is>
      </c>
      <c r="B41" s="18" t="n"/>
      <c r="C41" s="18" t="n"/>
      <c r="D41" s="18" t="n"/>
    </row>
    <row r="42">
      <c r="A42" s="5" t="inlineStr">
        <is>
          <t>Faktor penyesuaian harga bahan wilayah</t>
        </is>
      </c>
      <c r="B42" s="23" t="n">
        <v>1</v>
      </c>
      <c r="C42" s="5" t="inlineStr">
        <is>
          <t>x</t>
        </is>
      </c>
      <c r="D42" s="20" t="inlineStr">
        <is>
          <t>1,00 = harga di sheet Harga Dasar dipakai apa adanya. Ubah bila harga toko berbeda.</t>
        </is>
      </c>
    </row>
    <row r="43">
      <c r="A43" s="5" t="inlineStr">
        <is>
          <t>Jasa pelaksana / overhead dan keuntungan</t>
        </is>
      </c>
      <c r="B43" s="24" t="n">
        <v>0</v>
      </c>
      <c r="C43" s="5" t="inlineStr">
        <is>
          <t>%</t>
        </is>
      </c>
      <c r="D43" s="20" t="inlineStr">
        <is>
          <t>Versi hemat diasumsikan swakelola (tukang harian). Isi 10% bila memakai kontraktor.</t>
        </is>
      </c>
    </row>
    <row r="44">
      <c r="A44" s="5" t="inlineStr">
        <is>
          <t>Cadangan tak terduga</t>
        </is>
      </c>
      <c r="B44" s="25" t="n">
        <v>0.05</v>
      </c>
      <c r="C44" s="5" t="inlineStr">
        <is>
          <t>%</t>
        </is>
      </c>
      <c r="D44" s="20" t="inlineStr"/>
    </row>
    <row r="45">
      <c r="A45" s="5" t="inlineStr">
        <is>
          <t>PPN</t>
        </is>
      </c>
      <c r="B45" s="25" t="n">
        <v>0</v>
      </c>
      <c r="C45" s="5" t="inlineStr">
        <is>
          <t>%</t>
        </is>
      </c>
      <c r="D45" s="20" t="inlineStr">
        <is>
          <t>Isi 11% bila memakai kontraktor berPPN.</t>
        </is>
      </c>
    </row>
    <row r="46"/>
    <row r="47">
      <c r="A47" s="14" t="inlineStr">
        <is>
          <t>Pemeriksaan kapasitas (rumus)</t>
        </is>
      </c>
    </row>
    <row r="48">
      <c r="A48" s="5" t="inlineStr">
        <is>
          <t>Luas lantai kandang total</t>
        </is>
      </c>
      <c r="B48" s="12">
        <f>Asumsi!$B$10*Asumsi!$B$11*Asumsi!$B$8</f>
        <v/>
      </c>
      <c r="C48" s="5" t="inlineStr">
        <is>
          <t>m²</t>
        </is>
      </c>
      <c r="D48" s="5" t="inlineStr"/>
    </row>
    <row r="49">
      <c r="A49" s="5" t="inlineStr">
        <is>
          <t>Kapasitas pada kepadatan di atas</t>
        </is>
      </c>
      <c r="B49" s="12">
        <f>B48*Asumsi!$B$7</f>
        <v/>
      </c>
      <c r="C49" s="5" t="inlineStr">
        <is>
          <t>ekor</t>
        </is>
      </c>
      <c r="D49" s="5" t="inlineStr"/>
    </row>
    <row r="50">
      <c r="A50" s="5" t="inlineStr">
        <is>
          <t>Status</t>
        </is>
      </c>
      <c r="B50" s="26">
        <f>IF(B49&gt;=Asumsi!$B$6,"Cukup","Kurang")</f>
        <v/>
      </c>
      <c r="C50" s="5" t="inlineStr"/>
      <c r="D50" s="5" t="inlineStr">
        <is>
          <t>Bila "Kurang", tambah panjang kandang atau jumlah unit.</t>
        </is>
      </c>
    </row>
    <row r="51">
      <c r="A51" s="5" t="inlineStr">
        <is>
          <t>Perimeter dinding per kandang</t>
        </is>
      </c>
      <c r="B51" s="15">
        <f>2*(Asumsi!$B$10+Asumsi!$B$11)</f>
        <v/>
      </c>
      <c r="C51" s="5" t="inlineStr">
        <is>
          <t>m</t>
        </is>
      </c>
      <c r="D51" s="5" t="inlineStr"/>
    </row>
    <row r="52">
      <c r="A52" s="5" t="inlineStr">
        <is>
          <t>Jumlah kolom per kandang</t>
        </is>
      </c>
      <c r="B52" s="12">
        <f>2*(Asumsi!$B$10/Asumsi!$B$12+1)</f>
        <v/>
      </c>
      <c r="C52" s="5" t="inlineStr">
        <is>
          <t>buah</t>
        </is>
      </c>
      <c r="D52" s="5" t="inlineStr">
        <is>
          <t>Dua baris, di sisi utara dan selatan.</t>
        </is>
      </c>
    </row>
    <row r="53">
      <c r="A53" s="5" t="inlineStr">
        <is>
          <t>Luas bidang atap miring per kandang</t>
        </is>
      </c>
      <c r="B53" s="15">
        <f>(Asumsi!$B$11+2*Asumsi!$B$18)/COS(RADIANS(Asumsi!$B$17))*(Asumsi!$B$10+2*Asumsi!$B$18)</f>
        <v/>
      </c>
      <c r="C53" s="5" t="inlineStr">
        <is>
          <t>m²</t>
        </is>
      </c>
      <c r="D53" s="5" t="inlineStr">
        <is>
          <t>Lebar horizontal dibagi cos(sudut), dikali panjang termasuk overstek.</t>
        </is>
      </c>
    </row>
    <row r="54">
      <c r="A54" s="5" t="inlineStr">
        <is>
          <t>Panjang pagar zona produksi</t>
        </is>
      </c>
      <c r="B54" s="12">
        <f>2*(Asumsi!$B$39+Asumsi!$B$40)</f>
        <v/>
      </c>
      <c r="C54" s="5" t="inlineStr">
        <is>
          <t>m</t>
        </is>
      </c>
      <c r="D54" s="5" t="inlineStr"/>
    </row>
    <row r="55">
      <c r="A55" s="5" t="inlineStr">
        <is>
          <t>Luas zona produksi</t>
        </is>
      </c>
      <c r="B55" s="12">
        <f>Asumsi!$B$39*Asumsi!$B$40</f>
        <v/>
      </c>
      <c r="C55" s="5" t="inlineStr">
        <is>
          <t>m²</t>
        </is>
      </c>
      <c r="D55"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9"/>
  <sheetViews>
    <sheetView showGridLines="0" workbookViewId="0">
      <selection activeCell="A1" sqref="A1"/>
    </sheetView>
  </sheetViews>
  <sheetFormatPr baseColWidth="8" defaultRowHeight="15"/>
  <cols>
    <col width="8" customWidth="1" min="1" max="1"/>
    <col width="44" customWidth="1" min="2" max="2"/>
    <col width="10" customWidth="1" min="3" max="3"/>
    <col width="16" customWidth="1" min="4" max="4"/>
    <col width="16" customWidth="1" min="5" max="5"/>
    <col width="70" customWidth="1" min="6" max="6"/>
  </cols>
  <sheetData>
    <row r="1">
      <c r="A1" s="1" t="inlineStr">
        <is>
          <t>Harga Dasar Upah dan Bahan, estimasi Kab. Konawe Selatan</t>
        </is>
      </c>
    </row>
    <row r="2">
      <c r="A2" s="2" t="inlineStr">
        <is>
          <t>Kolom Harga Acuan (biru) adalah estimasi dan WAJIB dikonfirmasi ke toko bangunan Andoolo/Kendari atau HSPK Kab. Konawe Selatan terbaru sebelum dipakai untuk penawaran.</t>
        </is>
      </c>
    </row>
    <row r="4">
      <c r="A4" s="3" t="inlineStr">
        <is>
          <t>Kode</t>
        </is>
      </c>
      <c r="B4" s="3" t="inlineStr">
        <is>
          <t>Uraian</t>
        </is>
      </c>
      <c r="C4" s="3" t="inlineStr">
        <is>
          <t>Satuan</t>
        </is>
      </c>
      <c r="D4" s="3" t="inlineStr">
        <is>
          <t>Harga acuan (Rp)</t>
        </is>
      </c>
      <c r="E4" s="3" t="inlineStr">
        <is>
          <t>Harga dipakai (Rp)</t>
        </is>
      </c>
      <c r="F4" s="3" t="inlineStr">
        <is>
          <t>Dasar / catatan</t>
        </is>
      </c>
    </row>
    <row r="5">
      <c r="A5" s="17" t="inlineStr">
        <is>
          <t>UPAH (Rp per orang-hari)</t>
        </is>
      </c>
      <c r="B5" s="18" t="n"/>
      <c r="C5" s="18" t="n"/>
      <c r="D5" s="18" t="n"/>
      <c r="E5" s="18" t="n"/>
      <c r="F5" s="18" t="n"/>
    </row>
    <row r="6">
      <c r="A6" s="5" t="inlineStr">
        <is>
          <t>pekerja</t>
        </is>
      </c>
      <c r="B6" s="5" t="inlineStr">
        <is>
          <t>Pekerja</t>
        </is>
      </c>
      <c r="C6" s="27" t="inlineStr">
        <is>
          <t>OH</t>
        </is>
      </c>
      <c r="D6" s="21" t="n">
        <v>130000</v>
      </c>
      <c r="E6" s="12">
        <f>D6</f>
        <v/>
      </c>
      <c r="F6" s="20" t="inlineStr">
        <is>
          <t>UMK Konawe Selatan 2026 Rp 3.306.496 per bulan, dibagi sekitar 25 hari kerja = Rp 132.000.</t>
        </is>
      </c>
    </row>
    <row r="7">
      <c r="A7" s="5" t="inlineStr">
        <is>
          <t>tukang</t>
        </is>
      </c>
      <c r="B7" s="5" t="inlineStr">
        <is>
          <t>Tukang</t>
        </is>
      </c>
      <c r="C7" s="27" t="inlineStr">
        <is>
          <t>OH</t>
        </is>
      </c>
      <c r="D7" s="21" t="n">
        <v>165000</v>
      </c>
      <c r="E7" s="12">
        <f>D7</f>
        <v/>
      </c>
      <c r="F7" s="20" t="inlineStr">
        <is>
          <t>Estimasi, sekitar 1,25 x pekerja.</t>
        </is>
      </c>
    </row>
    <row r="8">
      <c r="A8" s="5" t="inlineStr">
        <is>
          <t>kepala</t>
        </is>
      </c>
      <c r="B8" s="5" t="inlineStr">
        <is>
          <t>Kepala tukang</t>
        </is>
      </c>
      <c r="C8" s="27" t="inlineStr">
        <is>
          <t>OH</t>
        </is>
      </c>
      <c r="D8" s="21" t="n">
        <v>180000</v>
      </c>
      <c r="E8" s="12">
        <f>D8</f>
        <v/>
      </c>
      <c r="F8" s="20" t="inlineStr">
        <is>
          <t>Estimasi.</t>
        </is>
      </c>
    </row>
    <row r="9">
      <c r="A9" s="5" t="inlineStr">
        <is>
          <t>mandor</t>
        </is>
      </c>
      <c r="B9" s="5" t="inlineStr">
        <is>
          <t>Mandor</t>
        </is>
      </c>
      <c r="C9" s="27" t="inlineStr">
        <is>
          <t>OH</t>
        </is>
      </c>
      <c r="D9" s="21" t="n">
        <v>195000</v>
      </c>
      <c r="E9" s="12">
        <f>D9</f>
        <v/>
      </c>
      <c r="F9" s="20" t="inlineStr">
        <is>
          <t>Estimasi.</t>
        </is>
      </c>
    </row>
    <row r="10">
      <c r="A10" s="17" t="inlineStr">
        <is>
          <t>BAHAN</t>
        </is>
      </c>
      <c r="B10" s="18" t="n"/>
      <c r="C10" s="18" t="n"/>
      <c r="D10" s="18" t="n"/>
      <c r="E10" s="18" t="n"/>
      <c r="F10" s="18" t="n"/>
    </row>
    <row r="11">
      <c r="A11" s="5" t="inlineStr">
        <is>
          <t>semen</t>
        </is>
      </c>
      <c r="B11" s="5" t="inlineStr">
        <is>
          <t>Semen Portland (40 kg = Rp 62.000)</t>
        </is>
      </c>
      <c r="C11" s="27" t="inlineStr">
        <is>
          <t>kg</t>
        </is>
      </c>
      <c r="D11" s="21" t="n">
        <v>1550</v>
      </c>
      <c r="E11" s="12">
        <f>D11*Asumsi!$B$42</f>
        <v/>
      </c>
      <c r="F11" s="20" t="inlineStr">
        <is>
          <t>Kisaran nasional Rp 42.000-72.000 per 40 kg (Mei-Juni 2025). Wilayah timur umumnya di atas rata-rata.</t>
        </is>
      </c>
    </row>
    <row r="12">
      <c r="A12" s="5" t="inlineStr">
        <is>
          <t>pasir</t>
        </is>
      </c>
      <c r="B12" s="5" t="inlineStr">
        <is>
          <t>Pasir pasang</t>
        </is>
      </c>
      <c r="C12" s="27" t="inlineStr">
        <is>
          <t>m³</t>
        </is>
      </c>
      <c r="D12" s="21" t="n">
        <v>250000</v>
      </c>
      <c r="E12" s="12">
        <f>D12*Asumsi!$B$42</f>
        <v/>
      </c>
      <c r="F12" s="20" t="inlineStr">
        <is>
          <t>Estimasi franco lokasi.</t>
        </is>
      </c>
    </row>
    <row r="13">
      <c r="A13" s="5" t="inlineStr">
        <is>
          <t>pasir_urug</t>
        </is>
      </c>
      <c r="B13" s="5" t="inlineStr">
        <is>
          <t>Pasir urug</t>
        </is>
      </c>
      <c r="C13" s="27" t="inlineStr">
        <is>
          <t>m³</t>
        </is>
      </c>
      <c r="D13" s="21" t="n">
        <v>200000</v>
      </c>
      <c r="E13" s="12">
        <f>D13*Asumsi!$B$42</f>
        <v/>
      </c>
      <c r="F13" s="20" t="inlineStr">
        <is>
          <t>Estimasi.</t>
        </is>
      </c>
    </row>
    <row r="14">
      <c r="A14" s="5" t="inlineStr">
        <is>
          <t>batu</t>
        </is>
      </c>
      <c r="B14" s="5" t="inlineStr">
        <is>
          <t>Batu kali / batu belah</t>
        </is>
      </c>
      <c r="C14" s="27" t="inlineStr">
        <is>
          <t>m³</t>
        </is>
      </c>
      <c r="D14" s="21" t="n">
        <v>300000</v>
      </c>
      <c r="E14" s="12">
        <f>D14*Asumsi!$B$42</f>
        <v/>
      </c>
      <c r="F14" s="20" t="inlineStr">
        <is>
          <t>Estimasi.</t>
        </is>
      </c>
    </row>
    <row r="15">
      <c r="A15" s="5" t="inlineStr">
        <is>
          <t>kerikil</t>
        </is>
      </c>
      <c r="B15" s="5" t="inlineStr">
        <is>
          <t>Kerikil / split</t>
        </is>
      </c>
      <c r="C15" s="27" t="inlineStr">
        <is>
          <t>m³</t>
        </is>
      </c>
      <c r="D15" s="21" t="n">
        <v>400000</v>
      </c>
      <c r="E15" s="12">
        <f>D15*Asumsi!$B$42</f>
        <v/>
      </c>
      <c r="F15" s="20" t="inlineStr">
        <is>
          <t>Estimasi.</t>
        </is>
      </c>
    </row>
    <row r="16">
      <c r="A16" s="5" t="inlineStr">
        <is>
          <t>tanah</t>
        </is>
      </c>
      <c r="B16" s="5" t="inlineStr">
        <is>
          <t>Tanah urug (termasuk angkut)</t>
        </is>
      </c>
      <c r="C16" s="27" t="inlineStr">
        <is>
          <t>m³</t>
        </is>
      </c>
      <c r="D16" s="21" t="n">
        <v>80000</v>
      </c>
      <c r="E16" s="12">
        <f>D16*Asumsi!$B$42</f>
        <v/>
      </c>
      <c r="F16" s="20" t="inlineStr">
        <is>
          <t>Estimasi. Bila tanah galian dipakai ulang, harga turun.</t>
        </is>
      </c>
    </row>
    <row r="17">
      <c r="A17" s="5" t="inlineStr">
        <is>
          <t>bata</t>
        </is>
      </c>
      <c r="B17" s="5" t="inlineStr">
        <is>
          <t>Batu bata merah</t>
        </is>
      </c>
      <c r="C17" s="27" t="inlineStr">
        <is>
          <t>bh</t>
        </is>
      </c>
      <c r="D17" s="21" t="n">
        <v>1000</v>
      </c>
      <c r="E17" s="12">
        <f>D17*Asumsi!$B$42</f>
        <v/>
      </c>
      <c r="F17" s="20" t="inlineStr">
        <is>
          <t>Estimasi.</t>
        </is>
      </c>
    </row>
    <row r="18">
      <c r="A18" s="5" t="inlineStr">
        <is>
          <t>besi</t>
        </is>
      </c>
      <c r="B18" s="5" t="inlineStr">
        <is>
          <t>Besi beton (ulir/polos)</t>
        </is>
      </c>
      <c r="C18" s="27" t="inlineStr">
        <is>
          <t>kg</t>
        </is>
      </c>
      <c r="D18" s="21" t="n">
        <v>14000</v>
      </c>
      <c r="E18" s="12">
        <f>D18*Asumsi!$B$42</f>
        <v/>
      </c>
      <c r="F18" s="20" t="inlineStr">
        <is>
          <t>Estimasi.</t>
        </is>
      </c>
    </row>
    <row r="19">
      <c r="A19" s="5" t="inlineStr">
        <is>
          <t>bendrat</t>
        </is>
      </c>
      <c r="B19" s="5" t="inlineStr">
        <is>
          <t>Kawat bendrat</t>
        </is>
      </c>
      <c r="C19" s="27" t="inlineStr">
        <is>
          <t>kg</t>
        </is>
      </c>
      <c r="D19" s="21" t="n">
        <v>22000</v>
      </c>
      <c r="E19" s="12">
        <f>D19*Asumsi!$B$42</f>
        <v/>
      </c>
      <c r="F19" s="20" t="inlineStr">
        <is>
          <t>Estimasi.</t>
        </is>
      </c>
    </row>
    <row r="20">
      <c r="A20" s="5" t="inlineStr">
        <is>
          <t>kayu</t>
        </is>
      </c>
      <c r="B20" s="5" t="inlineStr">
        <is>
          <t>Kayu kelas III (balok/papan bekisting)</t>
        </is>
      </c>
      <c r="C20" s="27" t="inlineStr">
        <is>
          <t>m³</t>
        </is>
      </c>
      <c r="D20" s="21" t="n">
        <v>3500000</v>
      </c>
      <c r="E20" s="12">
        <f>D20*Asumsi!$B$42</f>
        <v/>
      </c>
      <c r="F20" s="20" t="inlineStr">
        <is>
          <t>Estimasi.</t>
        </is>
      </c>
    </row>
    <row r="21">
      <c r="A21" s="5" t="inlineStr">
        <is>
          <t>paku</t>
        </is>
      </c>
      <c r="B21" s="5" t="inlineStr">
        <is>
          <t>Paku campur</t>
        </is>
      </c>
      <c r="C21" s="27" t="inlineStr">
        <is>
          <t>kg</t>
        </is>
      </c>
      <c r="D21" s="21" t="n">
        <v>24000</v>
      </c>
      <c r="E21" s="12">
        <f>D21*Asumsi!$B$42</f>
        <v/>
      </c>
      <c r="F21" s="20" t="inlineStr">
        <is>
          <t>Estimasi.</t>
        </is>
      </c>
    </row>
    <row r="22">
      <c r="A22" s="5" t="inlineStr">
        <is>
          <t>kawat</t>
        </is>
      </c>
      <c r="B22" s="5" t="inlineStr">
        <is>
          <t>Kawat harmonika / kawat ayam galvanis</t>
        </is>
      </c>
      <c r="C22" s="27" t="inlineStr">
        <is>
          <t>m²</t>
        </is>
      </c>
      <c r="D22" s="21" t="n">
        <v>11000</v>
      </c>
      <c r="E22" s="12">
        <f>D22*Asumsi!$B$42</f>
        <v/>
      </c>
      <c r="F22" s="20" t="inlineStr">
        <is>
          <t>Estimasi.</t>
        </is>
      </c>
    </row>
    <row r="23">
      <c r="A23" s="5" t="inlineStr">
        <is>
          <t>terpal</t>
        </is>
      </c>
      <c r="B23" s="5" t="inlineStr">
        <is>
          <t>Terpal plastik (tirai)</t>
        </is>
      </c>
      <c r="C23" s="27" t="inlineStr">
        <is>
          <t>m²</t>
        </is>
      </c>
      <c r="D23" s="21" t="n">
        <v>12000</v>
      </c>
      <c r="E23" s="12">
        <f>D23*Asumsi!$B$42</f>
        <v/>
      </c>
      <c r="F23" s="20" t="inlineStr">
        <is>
          <t>Estimasi.</t>
        </is>
      </c>
    </row>
    <row r="24">
      <c r="A24" s="5" t="inlineStr">
        <is>
          <t>seng</t>
        </is>
      </c>
      <c r="B24" s="5" t="inlineStr">
        <is>
          <t>Seng gelombang BJLS 0,20-0,25 mm</t>
        </is>
      </c>
      <c r="C24" s="27" t="inlineStr">
        <is>
          <t>m²</t>
        </is>
      </c>
      <c r="D24" s="21" t="n">
        <v>50000</v>
      </c>
      <c r="E24" s="12">
        <f>D24*Asumsi!$B$42</f>
        <v/>
      </c>
      <c r="F24" s="20" t="inlineStr">
        <is>
          <t>Estimasi, ketebalan lebih tipis dari versi standar.</t>
        </is>
      </c>
    </row>
    <row r="25">
      <c r="A25" s="5" t="inlineStr">
        <is>
          <t>sekrup</t>
        </is>
      </c>
      <c r="B25" s="5" t="inlineStr">
        <is>
          <t>Sekrup atap + ring</t>
        </is>
      </c>
      <c r="C25" s="27" t="inlineStr">
        <is>
          <t>bh</t>
        </is>
      </c>
      <c r="D25" s="21" t="n">
        <v>700</v>
      </c>
      <c r="E25" s="12">
        <f>D25*Asumsi!$B$42</f>
        <v/>
      </c>
      <c r="F25" s="20" t="inlineStr">
        <is>
          <t>Estimasi.</t>
        </is>
      </c>
    </row>
    <row r="26">
      <c r="A26" s="17" t="inlineStr">
        <is>
          <t>PEKERJAAN BORONGAN (bahan + upah)</t>
        </is>
      </c>
      <c r="B26" s="18" t="n"/>
      <c r="C26" s="18" t="n"/>
      <c r="D26" s="18" t="n"/>
      <c r="E26" s="18" t="n"/>
      <c r="F26" s="18" t="n"/>
    </row>
    <row r="27">
      <c r="A27" s="5" t="inlineStr">
        <is>
          <t>baja</t>
        </is>
      </c>
      <c r="B27" s="5" t="inlineStr">
        <is>
          <t>Rangka atap baja ringan C75 + reng, terpasang</t>
        </is>
      </c>
      <c r="C27" s="27" t="inlineStr">
        <is>
          <t>m²</t>
        </is>
      </c>
      <c r="D27" s="21" t="n">
        <v>235000</v>
      </c>
      <c r="E27" s="12">
        <f>D27*Asumsi!$B$42</f>
        <v/>
      </c>
      <c r="F27" s="20" t="inlineStr">
        <is>
          <t>Estimasi borongan tukang baja ringan.</t>
        </is>
      </c>
    </row>
    <row r="28">
      <c r="A28" s="5" t="inlineStr">
        <is>
          <t>kayu_rangka</t>
        </is>
      </c>
      <c r="B28" s="5" t="inlineStr">
        <is>
          <t>Rangka atap kayu + reng, terpasang</t>
        </is>
      </c>
      <c r="C28" s="27" t="inlineStr">
        <is>
          <t>m²</t>
        </is>
      </c>
      <c r="D28" s="21" t="n">
        <v>100000</v>
      </c>
      <c r="E28" s="12">
        <f>D28*Asumsi!$B$42</f>
        <v/>
      </c>
      <c r="F28" s="20" t="inlineStr">
        <is>
          <t>Estimasi borongan tukang kayu lokal.</t>
        </is>
      </c>
    </row>
    <row r="29">
      <c r="A29" s="5" t="inlineStr">
        <is>
          <t>ridge</t>
        </is>
      </c>
      <c r="B29" s="5" t="inlineStr">
        <is>
          <t>Ventilasi nok (ridge vent) + bubungan, terpasang</t>
        </is>
      </c>
      <c r="C29" s="27" t="inlineStr">
        <is>
          <t>m</t>
        </is>
      </c>
      <c r="D29" s="21" t="n">
        <v>150000</v>
      </c>
      <c r="E29" s="12">
        <f>D29*Asumsi!$B$42</f>
        <v/>
      </c>
      <c r="F29" s="20" t="inlineStr">
        <is>
          <t>Estimasi, rangka kayu dan seng sederhana.</t>
        </is>
      </c>
    </row>
    <row r="30">
      <c r="A30" s="5" t="inlineStr">
        <is>
          <t>talang</t>
        </is>
      </c>
      <c r="B30" s="5" t="inlineStr">
        <is>
          <t>Talang air PVC + penyangga, terpasang</t>
        </is>
      </c>
      <c r="C30" s="27" t="inlineStr">
        <is>
          <t>m</t>
        </is>
      </c>
      <c r="D30" s="21" t="n">
        <v>125000</v>
      </c>
      <c r="E30" s="12">
        <f>D30*Asumsi!$B$42</f>
        <v/>
      </c>
      <c r="F30" s="20" t="inlineStr">
        <is>
          <t>Estimasi.</t>
        </is>
      </c>
    </row>
    <row r="31">
      <c r="A31" s="5" t="inlineStr">
        <is>
          <t>pintu</t>
        </is>
      </c>
      <c r="B31" s="5" t="inlineStr">
        <is>
          <t>Pintu rangka kayu + kawat 1,2 x 2,1 m</t>
        </is>
      </c>
      <c r="C31" s="27" t="inlineStr">
        <is>
          <t>unit</t>
        </is>
      </c>
      <c r="D31" s="21" t="n">
        <v>1000000</v>
      </c>
      <c r="E31" s="12">
        <f>D31*Asumsi!$B$42</f>
        <v/>
      </c>
      <c r="F31" s="20" t="inlineStr">
        <is>
          <t>Estimasi.</t>
        </is>
      </c>
    </row>
    <row r="32">
      <c r="A32" s="5" t="inlineStr">
        <is>
          <t>cat</t>
        </is>
      </c>
      <c r="B32" s="5" t="inlineStr">
        <is>
          <t>Pengapuran / cat dinding bata (2 lapis), terpasang</t>
        </is>
      </c>
      <c r="C32" s="27" t="inlineStr">
        <is>
          <t>m²</t>
        </is>
      </c>
      <c r="D32" s="21" t="n">
        <v>20000</v>
      </c>
      <c r="E32" s="12">
        <f>D32*Asumsi!$B$42</f>
        <v/>
      </c>
      <c r="F32" s="20" t="inlineStr">
        <is>
          <t>Estimasi.</t>
        </is>
      </c>
    </row>
    <row r="33">
      <c r="A33" s="5" t="inlineStr">
        <is>
          <t>siap</t>
        </is>
      </c>
      <c r="B33" s="5" t="inlineStr">
        <is>
          <t>Pembersihan lahan, pengukuran, bowplank</t>
        </is>
      </c>
      <c r="C33" s="27" t="inlineStr">
        <is>
          <t>m²</t>
        </is>
      </c>
      <c r="D33" s="21" t="n">
        <v>4000</v>
      </c>
      <c r="E33" s="12">
        <f>D33*Asumsi!$B$42</f>
        <v/>
      </c>
      <c r="F33" s="20" t="inlineStr">
        <is>
          <t>Estimasi.</t>
        </is>
      </c>
    </row>
    <row r="35">
      <c r="B35" s="14" t="inlineStr">
        <is>
          <t>Rujukan resmi yang perlu dibuka sebelum finalisasi</t>
        </is>
      </c>
    </row>
    <row r="36" ht="28" customHeight="1">
      <c r="B36" s="16" t="inlineStr">
        <is>
          <t>• Peraturan Bupati Konawe Selatan No. 85 Tahun 2024 (harga satuan / HSPK), tersedia di JDIH Konawe Selatan dan peraturan.bpk.go.id.</t>
        </is>
      </c>
    </row>
    <row r="37" ht="28" customHeight="1">
      <c r="B37" s="16" t="inlineStr">
        <is>
          <t>• Indeks Kemahalan Konstruksi Konawe Selatan 2025: 91,52 (Surabaya = 100), sumber databoks.katadata.co.id.</t>
        </is>
      </c>
    </row>
    <row r="38" ht="28" customHeight="1">
      <c r="B38" s="16" t="inlineStr">
        <is>
          <t>• UMK / UMP Sulawesi Tenggara 2026: Rp 3.306.496, berlaku untuk Konawe Selatan.</t>
        </is>
      </c>
    </row>
    <row r="39" ht="28" customHeight="1">
      <c r="B39" s="16" t="inlineStr">
        <is>
          <t>• Harga bahan dalam tabel ini estimasi saya karena daftar harga resmi per material tidak dapat diakses saat penyusunan.</t>
        </is>
      </c>
    </row>
  </sheetData>
  <mergeCells count="4">
    <mergeCell ref="B37:F37"/>
    <mergeCell ref="B39:F39"/>
    <mergeCell ref="B36:F36"/>
    <mergeCell ref="B38:F3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5"/>
  <sheetViews>
    <sheetView showGridLines="0" workbookViewId="0">
      <pane ySplit="3" topLeftCell="A4" activePane="bottomLeft" state="frozen"/>
      <selection pane="bottomLeft" activeCell="A1" sqref="A1"/>
    </sheetView>
  </sheetViews>
  <sheetFormatPr baseColWidth="8" defaultRowHeight="15"/>
  <cols>
    <col width="8" customWidth="1" min="1" max="1"/>
    <col width="46" customWidth="1" min="2" max="2"/>
    <col width="10" customWidth="1" min="3" max="3"/>
    <col width="12" customWidth="1" min="4" max="4"/>
    <col width="16" customWidth="1" min="5" max="5"/>
    <col width="18" customWidth="1" min="6" max="6"/>
  </cols>
  <sheetData>
    <row r="1">
      <c r="A1" s="1" t="inlineStr">
        <is>
          <t>Analisa Harga Satuan Pekerjaan (HSP)</t>
        </is>
      </c>
    </row>
    <row r="2">
      <c r="A2" s="2" t="inlineStr">
        <is>
          <t>Koefisien mengacu pola SNI/AHSP yang disederhanakan untuk bangunan kandang. Koefisien (biru) boleh disesuaikan. Harga komponen ditarik dari sheet Harga Dasar.</t>
        </is>
      </c>
    </row>
    <row r="4">
      <c r="A4" s="3" t="inlineStr">
        <is>
          <t>galian</t>
        </is>
      </c>
      <c r="B4" s="3" t="inlineStr">
        <is>
          <t>Galian tanah pondasi</t>
        </is>
      </c>
      <c r="C4" s="3" t="inlineStr">
        <is>
          <t>Satuan</t>
        </is>
      </c>
      <c r="D4" s="3" t="inlineStr">
        <is>
          <t>Koefisien</t>
        </is>
      </c>
      <c r="E4" s="3" t="inlineStr">
        <is>
          <t>Harga satuan</t>
        </is>
      </c>
      <c r="F4" s="3" t="inlineStr">
        <is>
          <t>Jumlah (Rp)</t>
        </is>
      </c>
    </row>
    <row r="5">
      <c r="A5" s="5" t="inlineStr"/>
      <c r="B5" s="5" t="inlineStr">
        <is>
          <t>Pekerja</t>
        </is>
      </c>
      <c r="C5" s="27" t="inlineStr">
        <is>
          <t>OH</t>
        </is>
      </c>
      <c r="D5" s="28" t="n">
        <v>0.75</v>
      </c>
      <c r="E5" s="6">
        <f>'Harga Dasar'!$E$6</f>
        <v/>
      </c>
      <c r="F5" s="12">
        <f>D5*E5</f>
        <v/>
      </c>
    </row>
    <row r="6">
      <c r="A6" s="5" t="inlineStr"/>
      <c r="B6" s="5" t="inlineStr">
        <is>
          <t>Mandor</t>
        </is>
      </c>
      <c r="C6" s="27" t="inlineStr">
        <is>
          <t>OH</t>
        </is>
      </c>
      <c r="D6" s="28" t="n">
        <v>0.025</v>
      </c>
      <c r="E6" s="6">
        <f>'Harga Dasar'!$E$9</f>
        <v/>
      </c>
      <c r="F6" s="12">
        <f>D6*E6</f>
        <v/>
      </c>
    </row>
    <row r="7">
      <c r="A7" s="9" t="inlineStr"/>
      <c r="B7" s="10" t="inlineStr">
        <is>
          <t>Harga satuan galian tanah pondasi per m³</t>
        </is>
      </c>
      <c r="C7" s="9" t="inlineStr"/>
      <c r="D7" s="9" t="inlineStr"/>
      <c r="E7" s="9" t="inlineStr"/>
      <c r="F7" s="11">
        <f>SUM(F5:F6)</f>
        <v/>
      </c>
    </row>
    <row r="9">
      <c r="A9" s="3" t="inlineStr">
        <is>
          <t>urug_tanah</t>
        </is>
      </c>
      <c r="B9" s="3" t="inlineStr">
        <is>
          <t>Urugan tanah dipadatkan</t>
        </is>
      </c>
      <c r="C9" s="3" t="inlineStr">
        <is>
          <t>Satuan</t>
        </is>
      </c>
      <c r="D9" s="3" t="inlineStr">
        <is>
          <t>Koefisien</t>
        </is>
      </c>
      <c r="E9" s="3" t="inlineStr">
        <is>
          <t>Harga satuan</t>
        </is>
      </c>
      <c r="F9" s="3" t="inlineStr">
        <is>
          <t>Jumlah (Rp)</t>
        </is>
      </c>
    </row>
    <row r="10">
      <c r="A10" s="5" t="inlineStr"/>
      <c r="B10" s="5" t="inlineStr">
        <is>
          <t>Tanah urug (termasuk angkut)</t>
        </is>
      </c>
      <c r="C10" s="27" t="inlineStr">
        <is>
          <t>m³</t>
        </is>
      </c>
      <c r="D10" s="28" t="n">
        <v>1.2</v>
      </c>
      <c r="E10" s="6">
        <f>'Harga Dasar'!$E$16</f>
        <v/>
      </c>
      <c r="F10" s="12">
        <f>D10*E10</f>
        <v/>
      </c>
    </row>
    <row r="11">
      <c r="A11" s="5" t="inlineStr"/>
      <c r="B11" s="5" t="inlineStr">
        <is>
          <t>Pekerja</t>
        </is>
      </c>
      <c r="C11" s="27" t="inlineStr">
        <is>
          <t>OH</t>
        </is>
      </c>
      <c r="D11" s="28" t="n">
        <v>0.3</v>
      </c>
      <c r="E11" s="6">
        <f>'Harga Dasar'!$E$6</f>
        <v/>
      </c>
      <c r="F11" s="12">
        <f>D11*E11</f>
        <v/>
      </c>
    </row>
    <row r="12">
      <c r="A12" s="5" t="inlineStr"/>
      <c r="B12" s="5" t="inlineStr">
        <is>
          <t>Mandor</t>
        </is>
      </c>
      <c r="C12" s="27" t="inlineStr">
        <is>
          <t>OH</t>
        </is>
      </c>
      <c r="D12" s="28" t="n">
        <v>0.015</v>
      </c>
      <c r="E12" s="6">
        <f>'Harga Dasar'!$E$9</f>
        <v/>
      </c>
      <c r="F12" s="12">
        <f>D12*E12</f>
        <v/>
      </c>
    </row>
    <row r="13">
      <c r="A13" s="9" t="inlineStr"/>
      <c r="B13" s="10" t="inlineStr">
        <is>
          <t>Harga satuan urugan tanah dipadatkan per m³</t>
        </is>
      </c>
      <c r="C13" s="9" t="inlineStr"/>
      <c r="D13" s="9" t="inlineStr"/>
      <c r="E13" s="9" t="inlineStr"/>
      <c r="F13" s="11">
        <f>SUM(F10:F12)</f>
        <v/>
      </c>
    </row>
    <row r="15">
      <c r="A15" s="3" t="inlineStr">
        <is>
          <t>urug_pasir</t>
        </is>
      </c>
      <c r="B15" s="3" t="inlineStr">
        <is>
          <t>Urugan pasir</t>
        </is>
      </c>
      <c r="C15" s="3" t="inlineStr">
        <is>
          <t>Satuan</t>
        </is>
      </c>
      <c r="D15" s="3" t="inlineStr">
        <is>
          <t>Koefisien</t>
        </is>
      </c>
      <c r="E15" s="3" t="inlineStr">
        <is>
          <t>Harga satuan</t>
        </is>
      </c>
      <c r="F15" s="3" t="inlineStr">
        <is>
          <t>Jumlah (Rp)</t>
        </is>
      </c>
    </row>
    <row r="16">
      <c r="A16" s="5" t="inlineStr"/>
      <c r="B16" s="5" t="inlineStr">
        <is>
          <t>Pasir urug</t>
        </is>
      </c>
      <c r="C16" s="27" t="inlineStr">
        <is>
          <t>m³</t>
        </is>
      </c>
      <c r="D16" s="28" t="n">
        <v>1.2</v>
      </c>
      <c r="E16" s="6">
        <f>'Harga Dasar'!$E$13</f>
        <v/>
      </c>
      <c r="F16" s="12">
        <f>D16*E16</f>
        <v/>
      </c>
    </row>
    <row r="17">
      <c r="A17" s="5" t="inlineStr"/>
      <c r="B17" s="5" t="inlineStr">
        <is>
          <t>Pekerja</t>
        </is>
      </c>
      <c r="C17" s="27" t="inlineStr">
        <is>
          <t>OH</t>
        </is>
      </c>
      <c r="D17" s="28" t="n">
        <v>0.3</v>
      </c>
      <c r="E17" s="6">
        <f>'Harga Dasar'!$E$6</f>
        <v/>
      </c>
      <c r="F17" s="12">
        <f>D17*E17</f>
        <v/>
      </c>
    </row>
    <row r="18">
      <c r="A18" s="5" t="inlineStr"/>
      <c r="B18" s="5" t="inlineStr">
        <is>
          <t>Mandor</t>
        </is>
      </c>
      <c r="C18" s="27" t="inlineStr">
        <is>
          <t>OH</t>
        </is>
      </c>
      <c r="D18" s="28" t="n">
        <v>0.015</v>
      </c>
      <c r="E18" s="6">
        <f>'Harga Dasar'!$E$9</f>
        <v/>
      </c>
      <c r="F18" s="12">
        <f>D18*E18</f>
        <v/>
      </c>
    </row>
    <row r="19">
      <c r="A19" s="9" t="inlineStr"/>
      <c r="B19" s="10" t="inlineStr">
        <is>
          <t>Harga satuan urugan pasir per m³</t>
        </is>
      </c>
      <c r="C19" s="9" t="inlineStr"/>
      <c r="D19" s="9" t="inlineStr"/>
      <c r="E19" s="9" t="inlineStr"/>
      <c r="F19" s="11">
        <f>SUM(F16:F18)</f>
        <v/>
      </c>
    </row>
    <row r="21">
      <c r="A21" s="3" t="inlineStr">
        <is>
          <t>batu_kali</t>
        </is>
      </c>
      <c r="B21" s="3" t="inlineStr">
        <is>
          <t>Pasangan batu kali 1:4</t>
        </is>
      </c>
      <c r="C21" s="3" t="inlineStr">
        <is>
          <t>Satuan</t>
        </is>
      </c>
      <c r="D21" s="3" t="inlineStr">
        <is>
          <t>Koefisien</t>
        </is>
      </c>
      <c r="E21" s="3" t="inlineStr">
        <is>
          <t>Harga satuan</t>
        </is>
      </c>
      <c r="F21" s="3" t="inlineStr">
        <is>
          <t>Jumlah (Rp)</t>
        </is>
      </c>
    </row>
    <row r="22">
      <c r="A22" s="5" t="inlineStr"/>
      <c r="B22" s="5" t="inlineStr">
        <is>
          <t>Batu kali / batu belah</t>
        </is>
      </c>
      <c r="C22" s="27" t="inlineStr">
        <is>
          <t>m³</t>
        </is>
      </c>
      <c r="D22" s="28" t="n">
        <v>1.2</v>
      </c>
      <c r="E22" s="6">
        <f>'Harga Dasar'!$E$14</f>
        <v/>
      </c>
      <c r="F22" s="12">
        <f>D22*E22</f>
        <v/>
      </c>
    </row>
    <row r="23">
      <c r="A23" s="5" t="inlineStr"/>
      <c r="B23" s="5" t="inlineStr">
        <is>
          <t>Semen Portland (40 kg = Rp 62.000)</t>
        </is>
      </c>
      <c r="C23" s="27" t="inlineStr">
        <is>
          <t>kg</t>
        </is>
      </c>
      <c r="D23" s="28" t="n">
        <v>163</v>
      </c>
      <c r="E23" s="6">
        <f>'Harga Dasar'!$E$11</f>
        <v/>
      </c>
      <c r="F23" s="12">
        <f>D23*E23</f>
        <v/>
      </c>
    </row>
    <row r="24">
      <c r="A24" s="5" t="inlineStr"/>
      <c r="B24" s="5" t="inlineStr">
        <is>
          <t>Pasir pasang</t>
        </is>
      </c>
      <c r="C24" s="27" t="inlineStr">
        <is>
          <t>m³</t>
        </is>
      </c>
      <c r="D24" s="28" t="n">
        <v>0.52</v>
      </c>
      <c r="E24" s="6">
        <f>'Harga Dasar'!$E$12</f>
        <v/>
      </c>
      <c r="F24" s="12">
        <f>D24*E24</f>
        <v/>
      </c>
    </row>
    <row r="25">
      <c r="A25" s="5" t="inlineStr"/>
      <c r="B25" s="5" t="inlineStr">
        <is>
          <t>Pekerja</t>
        </is>
      </c>
      <c r="C25" s="27" t="inlineStr">
        <is>
          <t>OH</t>
        </is>
      </c>
      <c r="D25" s="28" t="n">
        <v>1.5</v>
      </c>
      <c r="E25" s="6">
        <f>'Harga Dasar'!$E$6</f>
        <v/>
      </c>
      <c r="F25" s="12">
        <f>D25*E25</f>
        <v/>
      </c>
    </row>
    <row r="26">
      <c r="A26" s="5" t="inlineStr"/>
      <c r="B26" s="5" t="inlineStr">
        <is>
          <t>Tukang</t>
        </is>
      </c>
      <c r="C26" s="27" t="inlineStr">
        <is>
          <t>OH</t>
        </is>
      </c>
      <c r="D26" s="28" t="n">
        <v>0.75</v>
      </c>
      <c r="E26" s="6">
        <f>'Harga Dasar'!$E$7</f>
        <v/>
      </c>
      <c r="F26" s="12">
        <f>D26*E26</f>
        <v/>
      </c>
    </row>
    <row r="27">
      <c r="A27" s="5" t="inlineStr"/>
      <c r="B27" s="5" t="inlineStr">
        <is>
          <t>Kepala tukang</t>
        </is>
      </c>
      <c r="C27" s="27" t="inlineStr">
        <is>
          <t>OH</t>
        </is>
      </c>
      <c r="D27" s="28" t="n">
        <v>0.075</v>
      </c>
      <c r="E27" s="6">
        <f>'Harga Dasar'!$E$8</f>
        <v/>
      </c>
      <c r="F27" s="12">
        <f>D27*E27</f>
        <v/>
      </c>
    </row>
    <row r="28">
      <c r="A28" s="5" t="inlineStr"/>
      <c r="B28" s="5" t="inlineStr">
        <is>
          <t>Mandor</t>
        </is>
      </c>
      <c r="C28" s="27" t="inlineStr">
        <is>
          <t>OH</t>
        </is>
      </c>
      <c r="D28" s="28" t="n">
        <v>0.075</v>
      </c>
      <c r="E28" s="6">
        <f>'Harga Dasar'!$E$9</f>
        <v/>
      </c>
      <c r="F28" s="12">
        <f>D28*E28</f>
        <v/>
      </c>
    </row>
    <row r="29">
      <c r="A29" s="9" t="inlineStr"/>
      <c r="B29" s="10" t="inlineStr">
        <is>
          <t>Harga satuan pasangan batu kali 1:4 per m³</t>
        </is>
      </c>
      <c r="C29" s="9" t="inlineStr"/>
      <c r="D29" s="9" t="inlineStr"/>
      <c r="E29" s="9" t="inlineStr"/>
      <c r="F29" s="11">
        <f>SUM(F22:F28)</f>
        <v/>
      </c>
    </row>
    <row r="31">
      <c r="A31" s="3" t="inlineStr">
        <is>
          <t>beton175</t>
        </is>
      </c>
      <c r="B31" s="3" t="inlineStr">
        <is>
          <t>Beton K-175 (sloof, kolom, ring balk)</t>
        </is>
      </c>
      <c r="C31" s="3" t="inlineStr">
        <is>
          <t>Satuan</t>
        </is>
      </c>
      <c r="D31" s="3" t="inlineStr">
        <is>
          <t>Koefisien</t>
        </is>
      </c>
      <c r="E31" s="3" t="inlineStr">
        <is>
          <t>Harga satuan</t>
        </is>
      </c>
      <c r="F31" s="3" t="inlineStr">
        <is>
          <t>Jumlah (Rp)</t>
        </is>
      </c>
    </row>
    <row r="32">
      <c r="A32" s="5" t="inlineStr"/>
      <c r="B32" s="5" t="inlineStr">
        <is>
          <t>Semen Portland (40 kg = Rp 62.000)</t>
        </is>
      </c>
      <c r="C32" s="27" t="inlineStr">
        <is>
          <t>kg</t>
        </is>
      </c>
      <c r="D32" s="28" t="n">
        <v>336</v>
      </c>
      <c r="E32" s="6">
        <f>'Harga Dasar'!$E$11</f>
        <v/>
      </c>
      <c r="F32" s="12">
        <f>D32*E32</f>
        <v/>
      </c>
    </row>
    <row r="33">
      <c r="A33" s="5" t="inlineStr"/>
      <c r="B33" s="5" t="inlineStr">
        <is>
          <t>Pasir pasang</t>
        </is>
      </c>
      <c r="C33" s="27" t="inlineStr">
        <is>
          <t>m³</t>
        </is>
      </c>
      <c r="D33" s="28" t="n">
        <v>0.54</v>
      </c>
      <c r="E33" s="6">
        <f>'Harga Dasar'!$E$12</f>
        <v/>
      </c>
      <c r="F33" s="12">
        <f>D33*E33</f>
        <v/>
      </c>
    </row>
    <row r="34">
      <c r="A34" s="5" t="inlineStr"/>
      <c r="B34" s="5" t="inlineStr">
        <is>
          <t>Kerikil / split</t>
        </is>
      </c>
      <c r="C34" s="27" t="inlineStr">
        <is>
          <t>m³</t>
        </is>
      </c>
      <c r="D34" s="28" t="n">
        <v>0.8100000000000001</v>
      </c>
      <c r="E34" s="6">
        <f>'Harga Dasar'!$E$15</f>
        <v/>
      </c>
      <c r="F34" s="12">
        <f>D34*E34</f>
        <v/>
      </c>
    </row>
    <row r="35">
      <c r="A35" s="5" t="inlineStr"/>
      <c r="B35" s="5" t="inlineStr">
        <is>
          <t>Pekerja</t>
        </is>
      </c>
      <c r="C35" s="27" t="inlineStr">
        <is>
          <t>OH</t>
        </is>
      </c>
      <c r="D35" s="28" t="n">
        <v>1.65</v>
      </c>
      <c r="E35" s="6">
        <f>'Harga Dasar'!$E$6</f>
        <v/>
      </c>
      <c r="F35" s="12">
        <f>D35*E35</f>
        <v/>
      </c>
    </row>
    <row r="36">
      <c r="A36" s="5" t="inlineStr"/>
      <c r="B36" s="5" t="inlineStr">
        <is>
          <t>Tukang</t>
        </is>
      </c>
      <c r="C36" s="27" t="inlineStr">
        <is>
          <t>OH</t>
        </is>
      </c>
      <c r="D36" s="28" t="n">
        <v>0.275</v>
      </c>
      <c r="E36" s="6">
        <f>'Harga Dasar'!$E$7</f>
        <v/>
      </c>
      <c r="F36" s="12">
        <f>D36*E36</f>
        <v/>
      </c>
    </row>
    <row r="37">
      <c r="A37" s="5" t="inlineStr"/>
      <c r="B37" s="5" t="inlineStr">
        <is>
          <t>Kepala tukang</t>
        </is>
      </c>
      <c r="C37" s="27" t="inlineStr">
        <is>
          <t>OH</t>
        </is>
      </c>
      <c r="D37" s="28" t="n">
        <v>0.028</v>
      </c>
      <c r="E37" s="6">
        <f>'Harga Dasar'!$E$8</f>
        <v/>
      </c>
      <c r="F37" s="12">
        <f>D37*E37</f>
        <v/>
      </c>
    </row>
    <row r="38">
      <c r="A38" s="5" t="inlineStr"/>
      <c r="B38" s="5" t="inlineStr">
        <is>
          <t>Mandor</t>
        </is>
      </c>
      <c r="C38" s="27" t="inlineStr">
        <is>
          <t>OH</t>
        </is>
      </c>
      <c r="D38" s="28" t="n">
        <v>0.083</v>
      </c>
      <c r="E38" s="6">
        <f>'Harga Dasar'!$E$9</f>
        <v/>
      </c>
      <c r="F38" s="12">
        <f>D38*E38</f>
        <v/>
      </c>
    </row>
    <row r="39">
      <c r="A39" s="9" t="inlineStr"/>
      <c r="B39" s="10" t="inlineStr">
        <is>
          <t>Harga satuan beton k-175 (sloof, kolom, ring balk) per m³</t>
        </is>
      </c>
      <c r="C39" s="9" t="inlineStr"/>
      <c r="D39" s="9" t="inlineStr"/>
      <c r="E39" s="9" t="inlineStr"/>
      <c r="F39" s="11">
        <f>SUM(F32:F38)</f>
        <v/>
      </c>
    </row>
    <row r="41">
      <c r="A41" s="3" t="inlineStr">
        <is>
          <t>beton125</t>
        </is>
      </c>
      <c r="B41" s="3" t="inlineStr">
        <is>
          <t>Beton K-125 (lantai)</t>
        </is>
      </c>
      <c r="C41" s="3" t="inlineStr">
        <is>
          <t>Satuan</t>
        </is>
      </c>
      <c r="D41" s="3" t="inlineStr">
        <is>
          <t>Koefisien</t>
        </is>
      </c>
      <c r="E41" s="3" t="inlineStr">
        <is>
          <t>Harga satuan</t>
        </is>
      </c>
      <c r="F41" s="3" t="inlineStr">
        <is>
          <t>Jumlah (Rp)</t>
        </is>
      </c>
    </row>
    <row r="42">
      <c r="A42" s="5" t="inlineStr"/>
      <c r="B42" s="5" t="inlineStr">
        <is>
          <t>Semen Portland (40 kg = Rp 62.000)</t>
        </is>
      </c>
      <c r="C42" s="27" t="inlineStr">
        <is>
          <t>kg</t>
        </is>
      </c>
      <c r="D42" s="28" t="n">
        <v>276</v>
      </c>
      <c r="E42" s="6">
        <f>'Harga Dasar'!$E$11</f>
        <v/>
      </c>
      <c r="F42" s="12">
        <f>D42*E42</f>
        <v/>
      </c>
    </row>
    <row r="43">
      <c r="A43" s="5" t="inlineStr"/>
      <c r="B43" s="5" t="inlineStr">
        <is>
          <t>Pasir pasang</t>
        </is>
      </c>
      <c r="C43" s="27" t="inlineStr">
        <is>
          <t>m³</t>
        </is>
      </c>
      <c r="D43" s="28" t="n">
        <v>0.54</v>
      </c>
      <c r="E43" s="6">
        <f>'Harga Dasar'!$E$12</f>
        <v/>
      </c>
      <c r="F43" s="12">
        <f>D43*E43</f>
        <v/>
      </c>
    </row>
    <row r="44">
      <c r="A44" s="5" t="inlineStr"/>
      <c r="B44" s="5" t="inlineStr">
        <is>
          <t>Kerikil / split</t>
        </is>
      </c>
      <c r="C44" s="27" t="inlineStr">
        <is>
          <t>m³</t>
        </is>
      </c>
      <c r="D44" s="28" t="n">
        <v>0.8100000000000001</v>
      </c>
      <c r="E44" s="6">
        <f>'Harga Dasar'!$E$15</f>
        <v/>
      </c>
      <c r="F44" s="12">
        <f>D44*E44</f>
        <v/>
      </c>
    </row>
    <row r="45">
      <c r="A45" s="5" t="inlineStr"/>
      <c r="B45" s="5" t="inlineStr">
        <is>
          <t>Pekerja</t>
        </is>
      </c>
      <c r="C45" s="27" t="inlineStr">
        <is>
          <t>OH</t>
        </is>
      </c>
      <c r="D45" s="28" t="n">
        <v>1.65</v>
      </c>
      <c r="E45" s="6">
        <f>'Harga Dasar'!$E$6</f>
        <v/>
      </c>
      <c r="F45" s="12">
        <f>D45*E45</f>
        <v/>
      </c>
    </row>
    <row r="46">
      <c r="A46" s="5" t="inlineStr"/>
      <c r="B46" s="5" t="inlineStr">
        <is>
          <t>Tukang</t>
        </is>
      </c>
      <c r="C46" s="27" t="inlineStr">
        <is>
          <t>OH</t>
        </is>
      </c>
      <c r="D46" s="28" t="n">
        <v>0.275</v>
      </c>
      <c r="E46" s="6">
        <f>'Harga Dasar'!$E$7</f>
        <v/>
      </c>
      <c r="F46" s="12">
        <f>D46*E46</f>
        <v/>
      </c>
    </row>
    <row r="47">
      <c r="A47" s="5" t="inlineStr"/>
      <c r="B47" s="5" t="inlineStr">
        <is>
          <t>Kepala tukang</t>
        </is>
      </c>
      <c r="C47" s="27" t="inlineStr">
        <is>
          <t>OH</t>
        </is>
      </c>
      <c r="D47" s="28" t="n">
        <v>0.028</v>
      </c>
      <c r="E47" s="6">
        <f>'Harga Dasar'!$E$8</f>
        <v/>
      </c>
      <c r="F47" s="12">
        <f>D47*E47</f>
        <v/>
      </c>
    </row>
    <row r="48">
      <c r="A48" s="5" t="inlineStr"/>
      <c r="B48" s="5" t="inlineStr">
        <is>
          <t>Mandor</t>
        </is>
      </c>
      <c r="C48" s="27" t="inlineStr">
        <is>
          <t>OH</t>
        </is>
      </c>
      <c r="D48" s="28" t="n">
        <v>0.083</v>
      </c>
      <c r="E48" s="6">
        <f>'Harga Dasar'!$E$9</f>
        <v/>
      </c>
      <c r="F48" s="12">
        <f>D48*E48</f>
        <v/>
      </c>
    </row>
    <row r="49">
      <c r="A49" s="9" t="inlineStr"/>
      <c r="B49" s="10" t="inlineStr">
        <is>
          <t>Harga satuan beton k-125 (lantai) per m³</t>
        </is>
      </c>
      <c r="C49" s="9" t="inlineStr"/>
      <c r="D49" s="9" t="inlineStr"/>
      <c r="E49" s="9" t="inlineStr"/>
      <c r="F49" s="11">
        <f>SUM(F42:F48)</f>
        <v/>
      </c>
    </row>
    <row r="51">
      <c r="A51" s="3" t="inlineStr">
        <is>
          <t>besi</t>
        </is>
      </c>
      <c r="B51" s="3" t="inlineStr">
        <is>
          <t>Pembesian + kawat bendrat</t>
        </is>
      </c>
      <c r="C51" s="3" t="inlineStr">
        <is>
          <t>Satuan</t>
        </is>
      </c>
      <c r="D51" s="3" t="inlineStr">
        <is>
          <t>Koefisien</t>
        </is>
      </c>
      <c r="E51" s="3" t="inlineStr">
        <is>
          <t>Harga satuan</t>
        </is>
      </c>
      <c r="F51" s="3" t="inlineStr">
        <is>
          <t>Jumlah (Rp)</t>
        </is>
      </c>
    </row>
    <row r="52">
      <c r="A52" s="5" t="inlineStr"/>
      <c r="B52" s="5" t="inlineStr">
        <is>
          <t>Besi beton (ulir/polos)</t>
        </is>
      </c>
      <c r="C52" s="27" t="inlineStr">
        <is>
          <t>kg</t>
        </is>
      </c>
      <c r="D52" s="28" t="n">
        <v>1.05</v>
      </c>
      <c r="E52" s="6">
        <f>'Harga Dasar'!$E$18</f>
        <v/>
      </c>
      <c r="F52" s="12">
        <f>D52*E52</f>
        <v/>
      </c>
    </row>
    <row r="53">
      <c r="A53" s="5" t="inlineStr"/>
      <c r="B53" s="5" t="inlineStr">
        <is>
          <t>Kawat bendrat</t>
        </is>
      </c>
      <c r="C53" s="27" t="inlineStr">
        <is>
          <t>kg</t>
        </is>
      </c>
      <c r="D53" s="28" t="n">
        <v>0.015</v>
      </c>
      <c r="E53" s="6">
        <f>'Harga Dasar'!$E$19</f>
        <v/>
      </c>
      <c r="F53" s="12">
        <f>D53*E53</f>
        <v/>
      </c>
    </row>
    <row r="54">
      <c r="A54" s="5" t="inlineStr"/>
      <c r="B54" s="5" t="inlineStr">
        <is>
          <t>Pekerja</t>
        </is>
      </c>
      <c r="C54" s="27" t="inlineStr">
        <is>
          <t>OH</t>
        </is>
      </c>
      <c r="D54" s="28" t="n">
        <v>0.007</v>
      </c>
      <c r="E54" s="6">
        <f>'Harga Dasar'!$E$6</f>
        <v/>
      </c>
      <c r="F54" s="12">
        <f>D54*E54</f>
        <v/>
      </c>
    </row>
    <row r="55">
      <c r="A55" s="5" t="inlineStr"/>
      <c r="B55" s="5" t="inlineStr">
        <is>
          <t>Tukang</t>
        </is>
      </c>
      <c r="C55" s="27" t="inlineStr">
        <is>
          <t>OH</t>
        </is>
      </c>
      <c r="D55" s="28" t="n">
        <v>0.007</v>
      </c>
      <c r="E55" s="6">
        <f>'Harga Dasar'!$E$7</f>
        <v/>
      </c>
      <c r="F55" s="12">
        <f>D55*E55</f>
        <v/>
      </c>
    </row>
    <row r="56">
      <c r="A56" s="5" t="inlineStr"/>
      <c r="B56" s="5" t="inlineStr">
        <is>
          <t>Kepala tukang</t>
        </is>
      </c>
      <c r="C56" s="27" t="inlineStr">
        <is>
          <t>OH</t>
        </is>
      </c>
      <c r="D56" s="28" t="n">
        <v>0.0007</v>
      </c>
      <c r="E56" s="6">
        <f>'Harga Dasar'!$E$8</f>
        <v/>
      </c>
      <c r="F56" s="12">
        <f>D56*E56</f>
        <v/>
      </c>
    </row>
    <row r="57">
      <c r="A57" s="5" t="inlineStr"/>
      <c r="B57" s="5" t="inlineStr">
        <is>
          <t>Mandor</t>
        </is>
      </c>
      <c r="C57" s="27" t="inlineStr">
        <is>
          <t>OH</t>
        </is>
      </c>
      <c r="D57" s="28" t="n">
        <v>0.0004</v>
      </c>
      <c r="E57" s="6">
        <f>'Harga Dasar'!$E$9</f>
        <v/>
      </c>
      <c r="F57" s="12">
        <f>D57*E57</f>
        <v/>
      </c>
    </row>
    <row r="58">
      <c r="A58" s="9" t="inlineStr"/>
      <c r="B58" s="10" t="inlineStr">
        <is>
          <t>Harga satuan pembesian + kawat bendrat per kg</t>
        </is>
      </c>
      <c r="C58" s="9" t="inlineStr"/>
      <c r="D58" s="9" t="inlineStr"/>
      <c r="E58" s="9" t="inlineStr"/>
      <c r="F58" s="11">
        <f>SUM(F52:F57)</f>
        <v/>
      </c>
    </row>
    <row r="60">
      <c r="A60" s="3" t="inlineStr">
        <is>
          <t>bekisting</t>
        </is>
      </c>
      <c r="B60" s="3" t="inlineStr">
        <is>
          <t>Bekisting sloof, kolom, ring balk</t>
        </is>
      </c>
      <c r="C60" s="3" t="inlineStr">
        <is>
          <t>Satuan</t>
        </is>
      </c>
      <c r="D60" s="3" t="inlineStr">
        <is>
          <t>Koefisien</t>
        </is>
      </c>
      <c r="E60" s="3" t="inlineStr">
        <is>
          <t>Harga satuan</t>
        </is>
      </c>
      <c r="F60" s="3" t="inlineStr">
        <is>
          <t>Jumlah (Rp)</t>
        </is>
      </c>
    </row>
    <row r="61">
      <c r="A61" s="5" t="inlineStr"/>
      <c r="B61" s="5" t="inlineStr">
        <is>
          <t>Kayu kelas III (balok/papan bekisting)</t>
        </is>
      </c>
      <c r="C61" s="27" t="inlineStr">
        <is>
          <t>m³</t>
        </is>
      </c>
      <c r="D61" s="28" t="n">
        <v>0.06</v>
      </c>
      <c r="E61" s="6">
        <f>'Harga Dasar'!$E$20</f>
        <v/>
      </c>
      <c r="F61" s="12">
        <f>D61*E61</f>
        <v/>
      </c>
    </row>
    <row r="62">
      <c r="A62" s="5" t="inlineStr"/>
      <c r="B62" s="5" t="inlineStr">
        <is>
          <t>Paku campur</t>
        </is>
      </c>
      <c r="C62" s="27" t="inlineStr">
        <is>
          <t>kg</t>
        </is>
      </c>
      <c r="D62" s="28" t="n">
        <v>0.4</v>
      </c>
      <c r="E62" s="6">
        <f>'Harga Dasar'!$E$21</f>
        <v/>
      </c>
      <c r="F62" s="12">
        <f>D62*E62</f>
        <v/>
      </c>
    </row>
    <row r="63">
      <c r="A63" s="5" t="inlineStr"/>
      <c r="B63" s="5" t="inlineStr">
        <is>
          <t>Pekerja</t>
        </is>
      </c>
      <c r="C63" s="27" t="inlineStr">
        <is>
          <t>OH</t>
        </is>
      </c>
      <c r="D63" s="28" t="n">
        <v>0.52</v>
      </c>
      <c r="E63" s="6">
        <f>'Harga Dasar'!$E$6</f>
        <v/>
      </c>
      <c r="F63" s="12">
        <f>D63*E63</f>
        <v/>
      </c>
    </row>
    <row r="64">
      <c r="A64" s="5" t="inlineStr"/>
      <c r="B64" s="5" t="inlineStr">
        <is>
          <t>Tukang</t>
        </is>
      </c>
      <c r="C64" s="27" t="inlineStr">
        <is>
          <t>OH</t>
        </is>
      </c>
      <c r="D64" s="28" t="n">
        <v>0.26</v>
      </c>
      <c r="E64" s="6">
        <f>'Harga Dasar'!$E$7</f>
        <v/>
      </c>
      <c r="F64" s="12">
        <f>D64*E64</f>
        <v/>
      </c>
    </row>
    <row r="65">
      <c r="A65" s="5" t="inlineStr"/>
      <c r="B65" s="5" t="inlineStr">
        <is>
          <t>Kepala tukang</t>
        </is>
      </c>
      <c r="C65" s="27" t="inlineStr">
        <is>
          <t>OH</t>
        </is>
      </c>
      <c r="D65" s="28" t="n">
        <v>0.026</v>
      </c>
      <c r="E65" s="6">
        <f>'Harga Dasar'!$E$8</f>
        <v/>
      </c>
      <c r="F65" s="12">
        <f>D65*E65</f>
        <v/>
      </c>
    </row>
    <row r="66">
      <c r="A66" s="5" t="inlineStr"/>
      <c r="B66" s="5" t="inlineStr">
        <is>
          <t>Mandor</t>
        </is>
      </c>
      <c r="C66" s="27" t="inlineStr">
        <is>
          <t>OH</t>
        </is>
      </c>
      <c r="D66" s="28" t="n">
        <v>0.026</v>
      </c>
      <c r="E66" s="6">
        <f>'Harga Dasar'!$E$9</f>
        <v/>
      </c>
      <c r="F66" s="12">
        <f>D66*E66</f>
        <v/>
      </c>
    </row>
    <row r="67">
      <c r="A67" s="9" t="inlineStr"/>
      <c r="B67" s="10" t="inlineStr">
        <is>
          <t>Harga satuan bekisting sloof, kolom, ring balk per m²</t>
        </is>
      </c>
      <c r="C67" s="9" t="inlineStr"/>
      <c r="D67" s="9" t="inlineStr"/>
      <c r="E67" s="9" t="inlineStr"/>
      <c r="F67" s="11">
        <f>SUM(F61:F66)</f>
        <v/>
      </c>
    </row>
    <row r="69">
      <c r="A69" s="3" t="inlineStr">
        <is>
          <t>bata</t>
        </is>
      </c>
      <c r="B69" s="3" t="inlineStr">
        <is>
          <t>Pasangan bata 1/2 bata, adukan 1:4</t>
        </is>
      </c>
      <c r="C69" s="3" t="inlineStr">
        <is>
          <t>Satuan</t>
        </is>
      </c>
      <c r="D69" s="3" t="inlineStr">
        <is>
          <t>Koefisien</t>
        </is>
      </c>
      <c r="E69" s="3" t="inlineStr">
        <is>
          <t>Harga satuan</t>
        </is>
      </c>
      <c r="F69" s="3" t="inlineStr">
        <is>
          <t>Jumlah (Rp)</t>
        </is>
      </c>
    </row>
    <row r="70">
      <c r="A70" s="5" t="inlineStr"/>
      <c r="B70" s="5" t="inlineStr">
        <is>
          <t>Batu bata merah</t>
        </is>
      </c>
      <c r="C70" s="27" t="inlineStr">
        <is>
          <t>bh</t>
        </is>
      </c>
      <c r="D70" s="28" t="n">
        <v>70</v>
      </c>
      <c r="E70" s="6">
        <f>'Harga Dasar'!$E$17</f>
        <v/>
      </c>
      <c r="F70" s="12">
        <f>D70*E70</f>
        <v/>
      </c>
    </row>
    <row r="71">
      <c r="A71" s="5" t="inlineStr"/>
      <c r="B71" s="5" t="inlineStr">
        <is>
          <t>Semen Portland (40 kg = Rp 62.000)</t>
        </is>
      </c>
      <c r="C71" s="27" t="inlineStr">
        <is>
          <t>kg</t>
        </is>
      </c>
      <c r="D71" s="28" t="n">
        <v>11.5</v>
      </c>
      <c r="E71" s="6">
        <f>'Harga Dasar'!$E$11</f>
        <v/>
      </c>
      <c r="F71" s="12">
        <f>D71*E71</f>
        <v/>
      </c>
    </row>
    <row r="72">
      <c r="A72" s="5" t="inlineStr"/>
      <c r="B72" s="5" t="inlineStr">
        <is>
          <t>Pasir pasang</t>
        </is>
      </c>
      <c r="C72" s="27" t="inlineStr">
        <is>
          <t>m³</t>
        </is>
      </c>
      <c r="D72" s="28" t="n">
        <v>0.043</v>
      </c>
      <c r="E72" s="6">
        <f>'Harga Dasar'!$E$12</f>
        <v/>
      </c>
      <c r="F72" s="12">
        <f>D72*E72</f>
        <v/>
      </c>
    </row>
    <row r="73">
      <c r="A73" s="5" t="inlineStr"/>
      <c r="B73" s="5" t="inlineStr">
        <is>
          <t>Pekerja</t>
        </is>
      </c>
      <c r="C73" s="27" t="inlineStr">
        <is>
          <t>OH</t>
        </is>
      </c>
      <c r="D73" s="28" t="n">
        <v>0.3</v>
      </c>
      <c r="E73" s="6">
        <f>'Harga Dasar'!$E$6</f>
        <v/>
      </c>
      <c r="F73" s="12">
        <f>D73*E73</f>
        <v/>
      </c>
    </row>
    <row r="74">
      <c r="A74" s="5" t="inlineStr"/>
      <c r="B74" s="5" t="inlineStr">
        <is>
          <t>Tukang</t>
        </is>
      </c>
      <c r="C74" s="27" t="inlineStr">
        <is>
          <t>OH</t>
        </is>
      </c>
      <c r="D74" s="28" t="n">
        <v>0.1</v>
      </c>
      <c r="E74" s="6">
        <f>'Harga Dasar'!$E$7</f>
        <v/>
      </c>
      <c r="F74" s="12">
        <f>D74*E74</f>
        <v/>
      </c>
    </row>
    <row r="75">
      <c r="A75" s="5" t="inlineStr"/>
      <c r="B75" s="5" t="inlineStr">
        <is>
          <t>Kepala tukang</t>
        </is>
      </c>
      <c r="C75" s="27" t="inlineStr">
        <is>
          <t>OH</t>
        </is>
      </c>
      <c r="D75" s="28" t="n">
        <v>0.01</v>
      </c>
      <c r="E75" s="6">
        <f>'Harga Dasar'!$E$8</f>
        <v/>
      </c>
      <c r="F75" s="12">
        <f>D75*E75</f>
        <v/>
      </c>
    </row>
    <row r="76">
      <c r="A76" s="5" t="inlineStr"/>
      <c r="B76" s="5" t="inlineStr">
        <is>
          <t>Mandor</t>
        </is>
      </c>
      <c r="C76" s="27" t="inlineStr">
        <is>
          <t>OH</t>
        </is>
      </c>
      <c r="D76" s="28" t="n">
        <v>0.015</v>
      </c>
      <c r="E76" s="6">
        <f>'Harga Dasar'!$E$9</f>
        <v/>
      </c>
      <c r="F76" s="12">
        <f>D76*E76</f>
        <v/>
      </c>
    </row>
    <row r="77">
      <c r="A77" s="9" t="inlineStr"/>
      <c r="B77" s="10" t="inlineStr">
        <is>
          <t>Harga satuan pasangan bata 1/2 bata, adukan 1:4 per m²</t>
        </is>
      </c>
      <c r="C77" s="9" t="inlineStr"/>
      <c r="D77" s="9" t="inlineStr"/>
      <c r="E77" s="9" t="inlineStr"/>
      <c r="F77" s="11">
        <f>SUM(F70:F76)</f>
        <v/>
      </c>
    </row>
    <row r="79">
      <c r="A79" s="3" t="inlineStr">
        <is>
          <t>plester</t>
        </is>
      </c>
      <c r="B79" s="3" t="inlineStr">
        <is>
          <t>Plesteran 1:4 tebal 15 mm</t>
        </is>
      </c>
      <c r="C79" s="3" t="inlineStr">
        <is>
          <t>Satuan</t>
        </is>
      </c>
      <c r="D79" s="3" t="inlineStr">
        <is>
          <t>Koefisien</t>
        </is>
      </c>
      <c r="E79" s="3" t="inlineStr">
        <is>
          <t>Harga satuan</t>
        </is>
      </c>
      <c r="F79" s="3" t="inlineStr">
        <is>
          <t>Jumlah (Rp)</t>
        </is>
      </c>
    </row>
    <row r="80">
      <c r="A80" s="5" t="inlineStr"/>
      <c r="B80" s="5" t="inlineStr">
        <is>
          <t>Semen Portland (40 kg = Rp 62.000)</t>
        </is>
      </c>
      <c r="C80" s="27" t="inlineStr">
        <is>
          <t>kg</t>
        </is>
      </c>
      <c r="D80" s="28" t="n">
        <v>6.24</v>
      </c>
      <c r="E80" s="6">
        <f>'Harga Dasar'!$E$11</f>
        <v/>
      </c>
      <c r="F80" s="12">
        <f>D80*E80</f>
        <v/>
      </c>
    </row>
    <row r="81">
      <c r="A81" s="5" t="inlineStr"/>
      <c r="B81" s="5" t="inlineStr">
        <is>
          <t>Pasir pasang</t>
        </is>
      </c>
      <c r="C81" s="27" t="inlineStr">
        <is>
          <t>m³</t>
        </is>
      </c>
      <c r="D81" s="28" t="n">
        <v>0.024</v>
      </c>
      <c r="E81" s="6">
        <f>'Harga Dasar'!$E$12</f>
        <v/>
      </c>
      <c r="F81" s="12">
        <f>D81*E81</f>
        <v/>
      </c>
    </row>
    <row r="82">
      <c r="A82" s="5" t="inlineStr"/>
      <c r="B82" s="5" t="inlineStr">
        <is>
          <t>Pekerja</t>
        </is>
      </c>
      <c r="C82" s="27" t="inlineStr">
        <is>
          <t>OH</t>
        </is>
      </c>
      <c r="D82" s="28" t="n">
        <v>0.3</v>
      </c>
      <c r="E82" s="6">
        <f>'Harga Dasar'!$E$6</f>
        <v/>
      </c>
      <c r="F82" s="12">
        <f>D82*E82</f>
        <v/>
      </c>
    </row>
    <row r="83">
      <c r="A83" s="5" t="inlineStr"/>
      <c r="B83" s="5" t="inlineStr">
        <is>
          <t>Tukang</t>
        </is>
      </c>
      <c r="C83" s="27" t="inlineStr">
        <is>
          <t>OH</t>
        </is>
      </c>
      <c r="D83" s="28" t="n">
        <v>0.15</v>
      </c>
      <c r="E83" s="6">
        <f>'Harga Dasar'!$E$7</f>
        <v/>
      </c>
      <c r="F83" s="12">
        <f>D83*E83</f>
        <v/>
      </c>
    </row>
    <row r="84">
      <c r="A84" s="5" t="inlineStr"/>
      <c r="B84" s="5" t="inlineStr">
        <is>
          <t>Kepala tukang</t>
        </is>
      </c>
      <c r="C84" s="27" t="inlineStr">
        <is>
          <t>OH</t>
        </is>
      </c>
      <c r="D84" s="28" t="n">
        <v>0.015</v>
      </c>
      <c r="E84" s="6">
        <f>'Harga Dasar'!$E$8</f>
        <v/>
      </c>
      <c r="F84" s="12">
        <f>D84*E84</f>
        <v/>
      </c>
    </row>
    <row r="85">
      <c r="A85" s="5" t="inlineStr"/>
      <c r="B85" s="5" t="inlineStr">
        <is>
          <t>Mandor</t>
        </is>
      </c>
      <c r="C85" s="27" t="inlineStr">
        <is>
          <t>OH</t>
        </is>
      </c>
      <c r="D85" s="28" t="n">
        <v>0.015</v>
      </c>
      <c r="E85" s="6">
        <f>'Harga Dasar'!$E$9</f>
        <v/>
      </c>
      <c r="F85" s="12">
        <f>D85*E85</f>
        <v/>
      </c>
    </row>
    <row r="86">
      <c r="A86" s="9" t="inlineStr"/>
      <c r="B86" s="10" t="inlineStr">
        <is>
          <t>Harga satuan plesteran 1:4 tebal 15 mm per m²</t>
        </is>
      </c>
      <c r="C86" s="9" t="inlineStr"/>
      <c r="D86" s="9" t="inlineStr"/>
      <c r="E86" s="9" t="inlineStr"/>
      <c r="F86" s="11">
        <f>SUM(F80:F85)</f>
        <v/>
      </c>
    </row>
    <row r="88">
      <c r="A88" s="3" t="inlineStr">
        <is>
          <t>aci</t>
        </is>
      </c>
      <c r="B88" s="3" t="inlineStr">
        <is>
          <t>Acian</t>
        </is>
      </c>
      <c r="C88" s="3" t="inlineStr">
        <is>
          <t>Satuan</t>
        </is>
      </c>
      <c r="D88" s="3" t="inlineStr">
        <is>
          <t>Koefisien</t>
        </is>
      </c>
      <c r="E88" s="3" t="inlineStr">
        <is>
          <t>Harga satuan</t>
        </is>
      </c>
      <c r="F88" s="3" t="inlineStr">
        <is>
          <t>Jumlah (Rp)</t>
        </is>
      </c>
    </row>
    <row r="89">
      <c r="A89" s="5" t="inlineStr"/>
      <c r="B89" s="5" t="inlineStr">
        <is>
          <t>Semen Portland (40 kg = Rp 62.000)</t>
        </is>
      </c>
      <c r="C89" s="27" t="inlineStr">
        <is>
          <t>kg</t>
        </is>
      </c>
      <c r="D89" s="28" t="n">
        <v>3.25</v>
      </c>
      <c r="E89" s="6">
        <f>'Harga Dasar'!$E$11</f>
        <v/>
      </c>
      <c r="F89" s="12">
        <f>D89*E89</f>
        <v/>
      </c>
    </row>
    <row r="90">
      <c r="A90" s="5" t="inlineStr"/>
      <c r="B90" s="5" t="inlineStr">
        <is>
          <t>Pekerja</t>
        </is>
      </c>
      <c r="C90" s="27" t="inlineStr">
        <is>
          <t>OH</t>
        </is>
      </c>
      <c r="D90" s="28" t="n">
        <v>0.2</v>
      </c>
      <c r="E90" s="6">
        <f>'Harga Dasar'!$E$6</f>
        <v/>
      </c>
      <c r="F90" s="12">
        <f>D90*E90</f>
        <v/>
      </c>
    </row>
    <row r="91">
      <c r="A91" s="5" t="inlineStr"/>
      <c r="B91" s="5" t="inlineStr">
        <is>
          <t>Tukang</t>
        </is>
      </c>
      <c r="C91" s="27" t="inlineStr">
        <is>
          <t>OH</t>
        </is>
      </c>
      <c r="D91" s="28" t="n">
        <v>0.1</v>
      </c>
      <c r="E91" s="6">
        <f>'Harga Dasar'!$E$7</f>
        <v/>
      </c>
      <c r="F91" s="12">
        <f>D91*E91</f>
        <v/>
      </c>
    </row>
    <row r="92">
      <c r="A92" s="5" t="inlineStr"/>
      <c r="B92" s="5" t="inlineStr">
        <is>
          <t>Kepala tukang</t>
        </is>
      </c>
      <c r="C92" s="27" t="inlineStr">
        <is>
          <t>OH</t>
        </is>
      </c>
      <c r="D92" s="28" t="n">
        <v>0.01</v>
      </c>
      <c r="E92" s="6">
        <f>'Harga Dasar'!$E$8</f>
        <v/>
      </c>
      <c r="F92" s="12">
        <f>D92*E92</f>
        <v/>
      </c>
    </row>
    <row r="93">
      <c r="A93" s="5" t="inlineStr"/>
      <c r="B93" s="5" t="inlineStr">
        <is>
          <t>Mandor</t>
        </is>
      </c>
      <c r="C93" s="27" t="inlineStr">
        <is>
          <t>OH</t>
        </is>
      </c>
      <c r="D93" s="28" t="n">
        <v>0.01</v>
      </c>
      <c r="E93" s="6">
        <f>'Harga Dasar'!$E$9</f>
        <v/>
      </c>
      <c r="F93" s="12">
        <f>D93*E93</f>
        <v/>
      </c>
    </row>
    <row r="94">
      <c r="A94" s="9" t="inlineStr"/>
      <c r="B94" s="10" t="inlineStr">
        <is>
          <t>Harga satuan acian per m²</t>
        </is>
      </c>
      <c r="C94" s="9" t="inlineStr"/>
      <c r="D94" s="9" t="inlineStr"/>
      <c r="E94" s="9" t="inlineStr"/>
      <c r="F94" s="11">
        <f>SUM(F89:F93)</f>
        <v/>
      </c>
    </row>
    <row r="96">
      <c r="A96" s="3" t="inlineStr">
        <is>
          <t>fin_lantai</t>
        </is>
      </c>
      <c r="B96" s="3" t="inlineStr">
        <is>
          <t>Perataan dan finishing lantai</t>
        </is>
      </c>
      <c r="C96" s="3" t="inlineStr">
        <is>
          <t>Satuan</t>
        </is>
      </c>
      <c r="D96" s="3" t="inlineStr">
        <is>
          <t>Koefisien</t>
        </is>
      </c>
      <c r="E96" s="3" t="inlineStr">
        <is>
          <t>Harga satuan</t>
        </is>
      </c>
      <c r="F96" s="3" t="inlineStr">
        <is>
          <t>Jumlah (Rp)</t>
        </is>
      </c>
    </row>
    <row r="97">
      <c r="A97" s="5" t="inlineStr"/>
      <c r="B97" s="5" t="inlineStr">
        <is>
          <t>Pekerja</t>
        </is>
      </c>
      <c r="C97" s="27" t="inlineStr">
        <is>
          <t>OH</t>
        </is>
      </c>
      <c r="D97" s="28" t="n">
        <v>0.15</v>
      </c>
      <c r="E97" s="6">
        <f>'Harga Dasar'!$E$6</f>
        <v/>
      </c>
      <c r="F97" s="12">
        <f>D97*E97</f>
        <v/>
      </c>
    </row>
    <row r="98">
      <c r="A98" s="5" t="inlineStr"/>
      <c r="B98" s="5" t="inlineStr">
        <is>
          <t>Tukang</t>
        </is>
      </c>
      <c r="C98" s="27" t="inlineStr">
        <is>
          <t>OH</t>
        </is>
      </c>
      <c r="D98" s="28" t="n">
        <v>0.1</v>
      </c>
      <c r="E98" s="6">
        <f>'Harga Dasar'!$E$7</f>
        <v/>
      </c>
      <c r="F98" s="12">
        <f>D98*E98</f>
        <v/>
      </c>
    </row>
    <row r="99">
      <c r="A99" s="5" t="inlineStr"/>
      <c r="B99" s="5" t="inlineStr">
        <is>
          <t>Kepala tukang</t>
        </is>
      </c>
      <c r="C99" s="27" t="inlineStr">
        <is>
          <t>OH</t>
        </is>
      </c>
      <c r="D99" s="28" t="n">
        <v>0.01</v>
      </c>
      <c r="E99" s="6">
        <f>'Harga Dasar'!$E$8</f>
        <v/>
      </c>
      <c r="F99" s="12">
        <f>D99*E99</f>
        <v/>
      </c>
    </row>
    <row r="100">
      <c r="A100" s="5" t="inlineStr"/>
      <c r="B100" s="5" t="inlineStr">
        <is>
          <t>Mandor</t>
        </is>
      </c>
      <c r="C100" s="27" t="inlineStr">
        <is>
          <t>OH</t>
        </is>
      </c>
      <c r="D100" s="28" t="n">
        <v>0.01</v>
      </c>
      <c r="E100" s="6">
        <f>'Harga Dasar'!$E$9</f>
        <v/>
      </c>
      <c r="F100" s="12">
        <f>D100*E100</f>
        <v/>
      </c>
    </row>
    <row r="101">
      <c r="A101" s="9" t="inlineStr"/>
      <c r="B101" s="10" t="inlineStr">
        <is>
          <t>Harga satuan perataan dan finishing lantai per m²</t>
        </is>
      </c>
      <c r="C101" s="9" t="inlineStr"/>
      <c r="D101" s="9" t="inlineStr"/>
      <c r="E101" s="9" t="inlineStr"/>
      <c r="F101" s="11">
        <f>SUM(F97:F100)</f>
        <v/>
      </c>
    </row>
    <row r="103">
      <c r="A103" s="3" t="inlineStr">
        <is>
          <t>kawat</t>
        </is>
      </c>
      <c r="B103" s="3" t="inlineStr">
        <is>
          <t>Pemasangan kawat harmonika + rangka kayu</t>
        </is>
      </c>
      <c r="C103" s="3" t="inlineStr">
        <is>
          <t>Satuan</t>
        </is>
      </c>
      <c r="D103" s="3" t="inlineStr">
        <is>
          <t>Koefisien</t>
        </is>
      </c>
      <c r="E103" s="3" t="inlineStr">
        <is>
          <t>Harga satuan</t>
        </is>
      </c>
      <c r="F103" s="3" t="inlineStr">
        <is>
          <t>Jumlah (Rp)</t>
        </is>
      </c>
    </row>
    <row r="104">
      <c r="A104" s="5" t="inlineStr"/>
      <c r="B104" s="5" t="inlineStr">
        <is>
          <t>Kawat harmonika / kawat ayam galvanis</t>
        </is>
      </c>
      <c r="C104" s="27" t="inlineStr">
        <is>
          <t>m²</t>
        </is>
      </c>
      <c r="D104" s="28" t="n">
        <v>1.05</v>
      </c>
      <c r="E104" s="6">
        <f>'Harga Dasar'!$E$22</f>
        <v/>
      </c>
      <c r="F104" s="12">
        <f>D104*E104</f>
        <v/>
      </c>
    </row>
    <row r="105">
      <c r="A105" s="5" t="inlineStr"/>
      <c r="B105" s="5" t="inlineStr">
        <is>
          <t>Kayu kelas III (balok/papan bekisting)</t>
        </is>
      </c>
      <c r="C105" s="27" t="inlineStr">
        <is>
          <t>m³</t>
        </is>
      </c>
      <c r="D105" s="28" t="n">
        <v>0.003</v>
      </c>
      <c r="E105" s="6">
        <f>'Harga Dasar'!$E$20</f>
        <v/>
      </c>
      <c r="F105" s="12">
        <f>D105*E105</f>
        <v/>
      </c>
    </row>
    <row r="106">
      <c r="A106" s="5" t="inlineStr"/>
      <c r="B106" s="5" t="inlineStr">
        <is>
          <t>Paku campur</t>
        </is>
      </c>
      <c r="C106" s="27" t="inlineStr">
        <is>
          <t>kg</t>
        </is>
      </c>
      <c r="D106" s="28" t="n">
        <v>0.05</v>
      </c>
      <c r="E106" s="6">
        <f>'Harga Dasar'!$E$21</f>
        <v/>
      </c>
      <c r="F106" s="12">
        <f>D106*E106</f>
        <v/>
      </c>
    </row>
    <row r="107">
      <c r="A107" s="5" t="inlineStr"/>
      <c r="B107" s="5" t="inlineStr">
        <is>
          <t>Pekerja</t>
        </is>
      </c>
      <c r="C107" s="27" t="inlineStr">
        <is>
          <t>OH</t>
        </is>
      </c>
      <c r="D107" s="28" t="n">
        <v>0.1</v>
      </c>
      <c r="E107" s="6">
        <f>'Harga Dasar'!$E$6</f>
        <v/>
      </c>
      <c r="F107" s="12">
        <f>D107*E107</f>
        <v/>
      </c>
    </row>
    <row r="108">
      <c r="A108" s="5" t="inlineStr"/>
      <c r="B108" s="5" t="inlineStr">
        <is>
          <t>Tukang</t>
        </is>
      </c>
      <c r="C108" s="27" t="inlineStr">
        <is>
          <t>OH</t>
        </is>
      </c>
      <c r="D108" s="28" t="n">
        <v>0.1</v>
      </c>
      <c r="E108" s="6">
        <f>'Harga Dasar'!$E$7</f>
        <v/>
      </c>
      <c r="F108" s="12">
        <f>D108*E108</f>
        <v/>
      </c>
    </row>
    <row r="109">
      <c r="A109" s="5" t="inlineStr"/>
      <c r="B109" s="5" t="inlineStr">
        <is>
          <t>Kepala tukang</t>
        </is>
      </c>
      <c r="C109" s="27" t="inlineStr">
        <is>
          <t>OH</t>
        </is>
      </c>
      <c r="D109" s="28" t="n">
        <v>0.01</v>
      </c>
      <c r="E109" s="6">
        <f>'Harga Dasar'!$E$8</f>
        <v/>
      </c>
      <c r="F109" s="12">
        <f>D109*E109</f>
        <v/>
      </c>
    </row>
    <row r="110">
      <c r="A110" s="5" t="inlineStr"/>
      <c r="B110" s="5" t="inlineStr">
        <is>
          <t>Mandor</t>
        </is>
      </c>
      <c r="C110" s="27" t="inlineStr">
        <is>
          <t>OH</t>
        </is>
      </c>
      <c r="D110" s="28" t="n">
        <v>0.005</v>
      </c>
      <c r="E110" s="6">
        <f>'Harga Dasar'!$E$9</f>
        <v/>
      </c>
      <c r="F110" s="12">
        <f>D110*E110</f>
        <v/>
      </c>
    </row>
    <row r="111">
      <c r="A111" s="9" t="inlineStr"/>
      <c r="B111" s="10" t="inlineStr">
        <is>
          <t>Harga satuan pemasangan kawat harmonika + rangka kayu per m²</t>
        </is>
      </c>
      <c r="C111" s="9" t="inlineStr"/>
      <c r="D111" s="9" t="inlineStr"/>
      <c r="E111" s="9" t="inlineStr"/>
      <c r="F111" s="11">
        <f>SUM(F104:F110)</f>
        <v/>
      </c>
    </row>
    <row r="113">
      <c r="A113" s="3" t="inlineStr">
        <is>
          <t>tirai</t>
        </is>
      </c>
      <c r="B113" s="3" t="inlineStr">
        <is>
          <t>Tirai terpal + tali dan penahan</t>
        </is>
      </c>
      <c r="C113" s="3" t="inlineStr">
        <is>
          <t>Satuan</t>
        </is>
      </c>
      <c r="D113" s="3" t="inlineStr">
        <is>
          <t>Koefisien</t>
        </is>
      </c>
      <c r="E113" s="3" t="inlineStr">
        <is>
          <t>Harga satuan</t>
        </is>
      </c>
      <c r="F113" s="3" t="inlineStr">
        <is>
          <t>Jumlah (Rp)</t>
        </is>
      </c>
    </row>
    <row r="114">
      <c r="A114" s="5" t="inlineStr"/>
      <c r="B114" s="5" t="inlineStr">
        <is>
          <t>Terpal plastik (tirai)</t>
        </is>
      </c>
      <c r="C114" s="27" t="inlineStr">
        <is>
          <t>m²</t>
        </is>
      </c>
      <c r="D114" s="28" t="n">
        <v>1.1</v>
      </c>
      <c r="E114" s="6">
        <f>'Harga Dasar'!$E$23</f>
        <v/>
      </c>
      <c r="F114" s="12">
        <f>D114*E114</f>
        <v/>
      </c>
    </row>
    <row r="115">
      <c r="A115" s="5" t="inlineStr"/>
      <c r="B115" s="5" t="inlineStr">
        <is>
          <t>Paku campur</t>
        </is>
      </c>
      <c r="C115" s="27" t="inlineStr">
        <is>
          <t>kg</t>
        </is>
      </c>
      <c r="D115" s="28" t="n">
        <v>0.02</v>
      </c>
      <c r="E115" s="6">
        <f>'Harga Dasar'!$E$21</f>
        <v/>
      </c>
      <c r="F115" s="12">
        <f>D115*E115</f>
        <v/>
      </c>
    </row>
    <row r="116">
      <c r="A116" s="5" t="inlineStr"/>
      <c r="B116" s="5" t="inlineStr">
        <is>
          <t>Pekerja</t>
        </is>
      </c>
      <c r="C116" s="27" t="inlineStr">
        <is>
          <t>OH</t>
        </is>
      </c>
      <c r="D116" s="28" t="n">
        <v>0.08</v>
      </c>
      <c r="E116" s="6">
        <f>'Harga Dasar'!$E$6</f>
        <v/>
      </c>
      <c r="F116" s="12">
        <f>D116*E116</f>
        <v/>
      </c>
    </row>
    <row r="117">
      <c r="A117" s="5" t="inlineStr"/>
      <c r="B117" s="5" t="inlineStr">
        <is>
          <t>Tukang</t>
        </is>
      </c>
      <c r="C117" s="27" t="inlineStr">
        <is>
          <t>OH</t>
        </is>
      </c>
      <c r="D117" s="28" t="n">
        <v>0.04</v>
      </c>
      <c r="E117" s="6">
        <f>'Harga Dasar'!$E$7</f>
        <v/>
      </c>
      <c r="F117" s="12">
        <f>D117*E117</f>
        <v/>
      </c>
    </row>
    <row r="118">
      <c r="A118" s="9" t="inlineStr"/>
      <c r="B118" s="10" t="inlineStr">
        <is>
          <t>Harga satuan tirai terpal + tali dan penahan per m²</t>
        </is>
      </c>
      <c r="C118" s="9" t="inlineStr"/>
      <c r="D118" s="9" t="inlineStr"/>
      <c r="E118" s="9" t="inlineStr"/>
      <c r="F118" s="11">
        <f>SUM(F114:F117)</f>
        <v/>
      </c>
    </row>
    <row r="120">
      <c r="A120" s="3" t="inlineStr">
        <is>
          <t>kayu_pasang</t>
        </is>
      </c>
      <c r="B120" s="3" t="inlineStr">
        <is>
          <t>Pemasangan tiang dan balok kayu</t>
        </is>
      </c>
      <c r="C120" s="3" t="inlineStr">
        <is>
          <t>Satuan</t>
        </is>
      </c>
      <c r="D120" s="3" t="inlineStr">
        <is>
          <t>Koefisien</t>
        </is>
      </c>
      <c r="E120" s="3" t="inlineStr">
        <is>
          <t>Harga satuan</t>
        </is>
      </c>
      <c r="F120" s="3" t="inlineStr">
        <is>
          <t>Jumlah (Rp)</t>
        </is>
      </c>
    </row>
    <row r="121">
      <c r="A121" s="5" t="inlineStr"/>
      <c r="B121" s="5" t="inlineStr">
        <is>
          <t>Kayu kelas III (balok/papan bekisting)</t>
        </is>
      </c>
      <c r="C121" s="27" t="inlineStr">
        <is>
          <t>m³</t>
        </is>
      </c>
      <c r="D121" s="28" t="n">
        <v>1.05</v>
      </c>
      <c r="E121" s="6">
        <f>'Harga Dasar'!$E$20</f>
        <v/>
      </c>
      <c r="F121" s="12">
        <f>D121*E121</f>
        <v/>
      </c>
    </row>
    <row r="122">
      <c r="A122" s="5" t="inlineStr"/>
      <c r="B122" s="5" t="inlineStr">
        <is>
          <t>Paku campur</t>
        </is>
      </c>
      <c r="C122" s="27" t="inlineStr">
        <is>
          <t>kg</t>
        </is>
      </c>
      <c r="D122" s="28" t="n">
        <v>3</v>
      </c>
      <c r="E122" s="6">
        <f>'Harga Dasar'!$E$21</f>
        <v/>
      </c>
      <c r="F122" s="12">
        <f>D122*E122</f>
        <v/>
      </c>
    </row>
    <row r="123">
      <c r="A123" s="5" t="inlineStr"/>
      <c r="B123" s="5" t="inlineStr">
        <is>
          <t>Pekerja</t>
        </is>
      </c>
      <c r="C123" s="27" t="inlineStr">
        <is>
          <t>OH</t>
        </is>
      </c>
      <c r="D123" s="28" t="n">
        <v>3</v>
      </c>
      <c r="E123" s="6">
        <f>'Harga Dasar'!$E$6</f>
        <v/>
      </c>
      <c r="F123" s="12">
        <f>D123*E123</f>
        <v/>
      </c>
    </row>
    <row r="124">
      <c r="A124" s="5" t="inlineStr"/>
      <c r="B124" s="5" t="inlineStr">
        <is>
          <t>Tukang</t>
        </is>
      </c>
      <c r="C124" s="27" t="inlineStr">
        <is>
          <t>OH</t>
        </is>
      </c>
      <c r="D124" s="28" t="n">
        <v>1.5</v>
      </c>
      <c r="E124" s="6">
        <f>'Harga Dasar'!$E$7</f>
        <v/>
      </c>
      <c r="F124" s="12">
        <f>D124*E124</f>
        <v/>
      </c>
    </row>
    <row r="125">
      <c r="A125" s="5" t="inlineStr"/>
      <c r="B125" s="5" t="inlineStr">
        <is>
          <t>Kepala tukang</t>
        </is>
      </c>
      <c r="C125" s="27" t="inlineStr">
        <is>
          <t>OH</t>
        </is>
      </c>
      <c r="D125" s="28" t="n">
        <v>0.15</v>
      </c>
      <c r="E125" s="6">
        <f>'Harga Dasar'!$E$8</f>
        <v/>
      </c>
      <c r="F125" s="12">
        <f>D125*E125</f>
        <v/>
      </c>
    </row>
    <row r="126">
      <c r="A126" s="5" t="inlineStr"/>
      <c r="B126" s="5" t="inlineStr">
        <is>
          <t>Mandor</t>
        </is>
      </c>
      <c r="C126" s="27" t="inlineStr">
        <is>
          <t>OH</t>
        </is>
      </c>
      <c r="D126" s="28" t="n">
        <v>0.15</v>
      </c>
      <c r="E126" s="6">
        <f>'Harga Dasar'!$E$9</f>
        <v/>
      </c>
      <c r="F126" s="12">
        <f>D126*E126</f>
        <v/>
      </c>
    </row>
    <row r="127">
      <c r="A127" s="9" t="inlineStr"/>
      <c r="B127" s="10" t="inlineStr">
        <is>
          <t>Harga satuan pemasangan tiang dan balok kayu per m³</t>
        </is>
      </c>
      <c r="C127" s="9" t="inlineStr"/>
      <c r="D127" s="9" t="inlineStr"/>
      <c r="E127" s="9" t="inlineStr"/>
      <c r="F127" s="11">
        <f>SUM(F121:F126)</f>
        <v/>
      </c>
    </row>
    <row r="129">
      <c r="A129" s="3" t="inlineStr">
        <is>
          <t>papan</t>
        </is>
      </c>
      <c r="B129" s="3" t="inlineStr">
        <is>
          <t>Dinding papan kayu tinggi 0,5 m</t>
        </is>
      </c>
      <c r="C129" s="3" t="inlineStr">
        <is>
          <t>Satuan</t>
        </is>
      </c>
      <c r="D129" s="3" t="inlineStr">
        <is>
          <t>Koefisien</t>
        </is>
      </c>
      <c r="E129" s="3" t="inlineStr">
        <is>
          <t>Harga satuan</t>
        </is>
      </c>
      <c r="F129" s="3" t="inlineStr">
        <is>
          <t>Jumlah (Rp)</t>
        </is>
      </c>
    </row>
    <row r="130">
      <c r="A130" s="5" t="inlineStr"/>
      <c r="B130" s="5" t="inlineStr">
        <is>
          <t>Kayu kelas III (balok/papan bekisting)</t>
        </is>
      </c>
      <c r="C130" s="27" t="inlineStr">
        <is>
          <t>m³</t>
        </is>
      </c>
      <c r="D130" s="28" t="n">
        <v>0.03</v>
      </c>
      <c r="E130" s="6">
        <f>'Harga Dasar'!$E$20</f>
        <v/>
      </c>
      <c r="F130" s="12">
        <f>D130*E130</f>
        <v/>
      </c>
    </row>
    <row r="131">
      <c r="A131" s="5" t="inlineStr"/>
      <c r="B131" s="5" t="inlineStr">
        <is>
          <t>Paku campur</t>
        </is>
      </c>
      <c r="C131" s="27" t="inlineStr">
        <is>
          <t>kg</t>
        </is>
      </c>
      <c r="D131" s="28" t="n">
        <v>0.1</v>
      </c>
      <c r="E131" s="6">
        <f>'Harga Dasar'!$E$21</f>
        <v/>
      </c>
      <c r="F131" s="12">
        <f>D131*E131</f>
        <v/>
      </c>
    </row>
    <row r="132">
      <c r="A132" s="5" t="inlineStr"/>
      <c r="B132" s="5" t="inlineStr">
        <is>
          <t>Pekerja</t>
        </is>
      </c>
      <c r="C132" s="27" t="inlineStr">
        <is>
          <t>OH</t>
        </is>
      </c>
      <c r="D132" s="28" t="n">
        <v>0.25</v>
      </c>
      <c r="E132" s="6">
        <f>'Harga Dasar'!$E$6</f>
        <v/>
      </c>
      <c r="F132" s="12">
        <f>D132*E132</f>
        <v/>
      </c>
    </row>
    <row r="133">
      <c r="A133" s="5" t="inlineStr"/>
      <c r="B133" s="5" t="inlineStr">
        <is>
          <t>Tukang</t>
        </is>
      </c>
      <c r="C133" s="27" t="inlineStr">
        <is>
          <t>OH</t>
        </is>
      </c>
      <c r="D133" s="28" t="n">
        <v>0.25</v>
      </c>
      <c r="E133" s="6">
        <f>'Harga Dasar'!$E$7</f>
        <v/>
      </c>
      <c r="F133" s="12">
        <f>D133*E133</f>
        <v/>
      </c>
    </row>
    <row r="134">
      <c r="A134" s="5" t="inlineStr"/>
      <c r="B134" s="5" t="inlineStr">
        <is>
          <t>Kepala tukang</t>
        </is>
      </c>
      <c r="C134" s="27" t="inlineStr">
        <is>
          <t>OH</t>
        </is>
      </c>
      <c r="D134" s="28" t="n">
        <v>0.025</v>
      </c>
      <c r="E134" s="6">
        <f>'Harga Dasar'!$E$8</f>
        <v/>
      </c>
      <c r="F134" s="12">
        <f>D134*E134</f>
        <v/>
      </c>
    </row>
    <row r="135">
      <c r="A135" s="5" t="inlineStr"/>
      <c r="B135" s="5" t="inlineStr">
        <is>
          <t>Mandor</t>
        </is>
      </c>
      <c r="C135" s="27" t="inlineStr">
        <is>
          <t>OH</t>
        </is>
      </c>
      <c r="D135" s="28" t="n">
        <v>0.012</v>
      </c>
      <c r="E135" s="6">
        <f>'Harga Dasar'!$E$9</f>
        <v/>
      </c>
      <c r="F135" s="12">
        <f>D135*E135</f>
        <v/>
      </c>
    </row>
    <row r="136">
      <c r="A136" s="9" t="inlineStr"/>
      <c r="B136" s="10" t="inlineStr">
        <is>
          <t>Harga satuan dinding papan kayu tinggi 0,5 m per m²</t>
        </is>
      </c>
      <c r="C136" s="9" t="inlineStr"/>
      <c r="D136" s="9" t="inlineStr"/>
      <c r="E136" s="9" t="inlineStr"/>
      <c r="F136" s="11">
        <f>SUM(F130:F135)</f>
        <v/>
      </c>
    </row>
    <row r="138">
      <c r="A138" s="3" t="inlineStr">
        <is>
          <t>seng</t>
        </is>
      </c>
      <c r="B138" s="3" t="inlineStr">
        <is>
          <t>Penutup atap seng gelombang</t>
        </is>
      </c>
      <c r="C138" s="3" t="inlineStr">
        <is>
          <t>Satuan</t>
        </is>
      </c>
      <c r="D138" s="3" t="inlineStr">
        <is>
          <t>Koefisien</t>
        </is>
      </c>
      <c r="E138" s="3" t="inlineStr">
        <is>
          <t>Harga satuan</t>
        </is>
      </c>
      <c r="F138" s="3" t="inlineStr">
        <is>
          <t>Jumlah (Rp)</t>
        </is>
      </c>
    </row>
    <row r="139">
      <c r="A139" s="5" t="inlineStr"/>
      <c r="B139" s="5" t="inlineStr">
        <is>
          <t>Seng gelombang BJLS 0,20-0,25 mm</t>
        </is>
      </c>
      <c r="C139" s="27" t="inlineStr">
        <is>
          <t>m²</t>
        </is>
      </c>
      <c r="D139" s="28" t="n">
        <v>1.1</v>
      </c>
      <c r="E139" s="6">
        <f>'Harga Dasar'!$E$24</f>
        <v/>
      </c>
      <c r="F139" s="12">
        <f>D139*E139</f>
        <v/>
      </c>
    </row>
    <row r="140">
      <c r="A140" s="5" t="inlineStr"/>
      <c r="B140" s="5" t="inlineStr">
        <is>
          <t>Sekrup atap + ring</t>
        </is>
      </c>
      <c r="C140" s="27" t="inlineStr">
        <is>
          <t>bh</t>
        </is>
      </c>
      <c r="D140" s="28" t="n">
        <v>6</v>
      </c>
      <c r="E140" s="6">
        <f>'Harga Dasar'!$E$25</f>
        <v/>
      </c>
      <c r="F140" s="12">
        <f>D140*E140</f>
        <v/>
      </c>
    </row>
    <row r="141">
      <c r="A141" s="5" t="inlineStr"/>
      <c r="B141" s="5" t="inlineStr">
        <is>
          <t>Pekerja</t>
        </is>
      </c>
      <c r="C141" s="27" t="inlineStr">
        <is>
          <t>OH</t>
        </is>
      </c>
      <c r="D141" s="28" t="n">
        <v>0.08</v>
      </c>
      <c r="E141" s="6">
        <f>'Harga Dasar'!$E$6</f>
        <v/>
      </c>
      <c r="F141" s="12">
        <f>D141*E141</f>
        <v/>
      </c>
    </row>
    <row r="142">
      <c r="A142" s="5" t="inlineStr"/>
      <c r="B142" s="5" t="inlineStr">
        <is>
          <t>Tukang</t>
        </is>
      </c>
      <c r="C142" s="27" t="inlineStr">
        <is>
          <t>OH</t>
        </is>
      </c>
      <c r="D142" s="28" t="n">
        <v>0.12</v>
      </c>
      <c r="E142" s="6">
        <f>'Harga Dasar'!$E$7</f>
        <v/>
      </c>
      <c r="F142" s="12">
        <f>D142*E142</f>
        <v/>
      </c>
    </row>
    <row r="143">
      <c r="A143" s="5" t="inlineStr"/>
      <c r="B143" s="5" t="inlineStr">
        <is>
          <t>Kepala tukang</t>
        </is>
      </c>
      <c r="C143" s="27" t="inlineStr">
        <is>
          <t>OH</t>
        </is>
      </c>
      <c r="D143" s="28" t="n">
        <v>0.012</v>
      </c>
      <c r="E143" s="6">
        <f>'Harga Dasar'!$E$8</f>
        <v/>
      </c>
      <c r="F143" s="12">
        <f>D143*E143</f>
        <v/>
      </c>
    </row>
    <row r="144">
      <c r="A144" s="5" t="inlineStr"/>
      <c r="B144" s="5" t="inlineStr">
        <is>
          <t>Mandor</t>
        </is>
      </c>
      <c r="C144" s="27" t="inlineStr">
        <is>
          <t>OH</t>
        </is>
      </c>
      <c r="D144" s="28" t="n">
        <v>0.004</v>
      </c>
      <c r="E144" s="6">
        <f>'Harga Dasar'!$E$9</f>
        <v/>
      </c>
      <c r="F144" s="12">
        <f>D144*E144</f>
        <v/>
      </c>
    </row>
    <row r="145">
      <c r="A145" s="9" t="inlineStr"/>
      <c r="B145" s="10" t="inlineStr">
        <is>
          <t>Harga satuan penutup atap seng gelombang per m²</t>
        </is>
      </c>
      <c r="C145" s="9" t="inlineStr"/>
      <c r="D145" s="9" t="inlineStr"/>
      <c r="E145" s="9" t="inlineStr"/>
      <c r="F145" s="11">
        <f>SUM(F139:F144)</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50" customWidth="1" min="2" max="2"/>
    <col width="12" customWidth="1" min="3" max="3"/>
    <col width="9" customWidth="1" min="4" max="4"/>
    <col width="18" customWidth="1" min="5" max="5"/>
    <col width="20" customWidth="1" min="6" max="6"/>
    <col width="64" customWidth="1" min="7" max="7"/>
  </cols>
  <sheetData>
    <row r="1">
      <c r="A1" s="1" t="inlineStr">
        <is>
          <t>RAB Kandang Ayam KUB, per 1 unit (10 m x 20 m, 1.000 ekor)</t>
        </is>
      </c>
    </row>
    <row r="2">
      <c r="A2" s="2" t="inlineStr">
        <is>
          <t>Volume dihitung dengan rumus dari sheet Asumsi. Harga satuan dari Analisa HSP dan Harga Dasar.</t>
        </is>
      </c>
    </row>
    <row r="4">
      <c r="A4" s="3" t="inlineStr">
        <is>
          <t>No</t>
        </is>
      </c>
      <c r="B4" s="3" t="inlineStr">
        <is>
          <t>Uraian pekerjaan</t>
        </is>
      </c>
      <c r="C4" s="3" t="inlineStr">
        <is>
          <t>Volume</t>
        </is>
      </c>
      <c r="D4" s="3" t="inlineStr">
        <is>
          <t>Sat</t>
        </is>
      </c>
      <c r="E4" s="3" t="inlineStr">
        <is>
          <t>Harga satuan (Rp)</t>
        </is>
      </c>
      <c r="F4" s="3" t="inlineStr">
        <is>
          <t>Jumlah (Rp)</t>
        </is>
      </c>
      <c r="G4" s="3" t="inlineStr">
        <is>
          <t>Dasar perhitungan volume</t>
        </is>
      </c>
    </row>
    <row r="5">
      <c r="A5" s="29" t="inlineStr">
        <is>
          <t>I</t>
        </is>
      </c>
      <c r="B5" s="29" t="inlineStr">
        <is>
          <t>PEKERJAAN PERSIAPAN</t>
        </is>
      </c>
      <c r="C5" s="30" t="n"/>
      <c r="D5" s="30" t="n"/>
      <c r="E5" s="30" t="n"/>
      <c r="F5" s="30" t="n"/>
      <c r="G5" s="30" t="n"/>
    </row>
    <row r="6">
      <c r="A6" s="27" t="n">
        <v>1</v>
      </c>
      <c r="B6" s="20" t="inlineStr">
        <is>
          <t>Pembersihan lahan, pengukuran, bowplank</t>
        </is>
      </c>
      <c r="C6" s="31">
        <f>(Asumsi!$B$10+4)*(Asumsi!$B$11+4)</f>
        <v/>
      </c>
      <c r="D6" s="27" t="inlineStr">
        <is>
          <t>m²</t>
        </is>
      </c>
      <c r="E6" s="6">
        <f>'Harga Dasar'!$E$33</f>
        <v/>
      </c>
      <c r="F6" s="12">
        <f>ROUND(C6*E6,0)</f>
        <v/>
      </c>
      <c r="G6" s="32" t="inlineStr">
        <is>
          <t>(panjang + 4 m) x (lebar + 4 m)</t>
        </is>
      </c>
    </row>
    <row r="7">
      <c r="A7" s="29" t="inlineStr">
        <is>
          <t>II</t>
        </is>
      </c>
      <c r="B7" s="29" t="inlineStr">
        <is>
          <t>PEKERJAAN TANAH DAN PONDASI SETEMPAT</t>
        </is>
      </c>
      <c r="C7" s="30" t="n"/>
      <c r="D7" s="30" t="n"/>
      <c r="E7" s="30" t="n"/>
      <c r="F7" s="30" t="n"/>
      <c r="G7" s="30" t="n"/>
    </row>
    <row r="8">
      <c r="A8" s="27" t="n">
        <v>2</v>
      </c>
      <c r="B8" s="20" t="inlineStr">
        <is>
          <t>Galian lubang umpak 50 x 50 x 50 cm</t>
        </is>
      </c>
      <c r="C8" s="31">
        <f>Asumsi!$B$52*0.5*0.5*0.5</f>
        <v/>
      </c>
      <c r="D8" s="27" t="inlineStr">
        <is>
          <t>m³</t>
        </is>
      </c>
      <c r="E8" s="6">
        <f>'Analisa HSP'!$F$7</f>
        <v/>
      </c>
      <c r="F8" s="12">
        <f>ROUND(C8*E8,0)</f>
        <v/>
      </c>
      <c r="G8" s="32" t="inlineStr">
        <is>
          <t>jumlah tiang x 0,5 x 0,5 x 0,5</t>
        </is>
      </c>
    </row>
    <row r="9">
      <c r="A9" s="27" t="n">
        <v>3</v>
      </c>
      <c r="B9" s="20" t="inlineStr">
        <is>
          <t>Umpak beton K-175 30 x 30 x 40 cm</t>
        </is>
      </c>
      <c r="C9" s="31">
        <f>Asumsi!$B$52*0.3*0.3*0.4</f>
        <v/>
      </c>
      <c r="D9" s="27" t="inlineStr">
        <is>
          <t>m³</t>
        </is>
      </c>
      <c r="E9" s="6">
        <f>'Analisa HSP'!$F$39</f>
        <v/>
      </c>
      <c r="F9" s="12">
        <f>ROUND(C9*E9,0)</f>
        <v/>
      </c>
      <c r="G9" s="32" t="inlineStr">
        <is>
          <t>jumlah tiang x volume umpak</t>
        </is>
      </c>
    </row>
    <row r="10">
      <c r="A10" s="27" t="n">
        <v>4</v>
      </c>
      <c r="B10" s="20" t="inlineStr">
        <is>
          <t>Urugan tanah peninggian lantai, dipadatkan</t>
        </is>
      </c>
      <c r="C10" s="31">
        <f>Asumsi!$B$10*Asumsi!$B$11*Asumsi!$B$24</f>
        <v/>
      </c>
      <c r="D10" s="27" t="inlineStr">
        <is>
          <t>m³</t>
        </is>
      </c>
      <c r="E10" s="6">
        <f>'Analisa HSP'!$F$13</f>
        <v/>
      </c>
      <c r="F10" s="12">
        <f>ROUND(C10*E10,0)</f>
        <v/>
      </c>
      <c r="G10" s="32" t="inlineStr">
        <is>
          <t>panjang x lebar x tinggi urugan</t>
        </is>
      </c>
    </row>
    <row r="11">
      <c r="A11" s="27" t="n">
        <v>5</v>
      </c>
      <c r="B11" s="20" t="inlineStr">
        <is>
          <t>Lapisan pasir lantai t = 5 cm</t>
        </is>
      </c>
      <c r="C11" s="31">
        <f>Asumsi!$B$10*Asumsi!$B$11*Asumsi!$B$23</f>
        <v/>
      </c>
      <c r="D11" s="27" t="inlineStr">
        <is>
          <t>m³</t>
        </is>
      </c>
      <c r="E11" s="6">
        <f>'Analisa HSP'!$F$19</f>
        <v/>
      </c>
      <c r="F11" s="12">
        <f>ROUND(C11*E11,0)</f>
        <v/>
      </c>
      <c r="G11" s="32" t="inlineStr">
        <is>
          <t>panjang x lebar x tebal pasir</t>
        </is>
      </c>
    </row>
    <row r="12">
      <c r="A12" s="27" t="n">
        <v>6</v>
      </c>
      <c r="B12" s="20" t="inlineStr">
        <is>
          <t>Pemadatan dan perataan lantai tanah</t>
        </is>
      </c>
      <c r="C12" s="31">
        <f>Asumsi!$B$10*Asumsi!$B$11</f>
        <v/>
      </c>
      <c r="D12" s="27" t="inlineStr">
        <is>
          <t>m²</t>
        </is>
      </c>
      <c r="E12" s="6">
        <f>'Analisa HSP'!$F$101</f>
        <v/>
      </c>
      <c r="F12" s="12">
        <f>ROUND(C12*E12,0)</f>
        <v/>
      </c>
      <c r="G12" s="32" t="inlineStr">
        <is>
          <t>luas lantai</t>
        </is>
      </c>
    </row>
    <row r="13">
      <c r="A13" s="29" t="inlineStr">
        <is>
          <t>III</t>
        </is>
      </c>
      <c r="B13" s="29" t="inlineStr">
        <is>
          <t>PEKERJAAN STRUKTUR KAYU</t>
        </is>
      </c>
      <c r="C13" s="30" t="n"/>
      <c r="D13" s="30" t="n"/>
      <c r="E13" s="30" t="n"/>
      <c r="F13" s="30" t="n"/>
      <c r="G13" s="30" t="n"/>
    </row>
    <row r="14">
      <c r="A14" s="27" t="n">
        <v>7</v>
      </c>
      <c r="B14" s="20" t="inlineStr">
        <is>
          <t>Tiang kayu 10/10 (termasuk bagian yang tertanam di umpak)</t>
        </is>
      </c>
      <c r="C14" s="31">
        <f>Asumsi!$B$52*0.1*0.1*(Asumsi!$B$13+0.3)</f>
        <v/>
      </c>
      <c r="D14" s="27" t="inlineStr">
        <is>
          <t>m³</t>
        </is>
      </c>
      <c r="E14" s="6">
        <f>'Analisa HSP'!$F$127</f>
        <v/>
      </c>
      <c r="F14" s="12">
        <f>ROUND(C14*E14,0)</f>
        <v/>
      </c>
      <c r="G14" s="32" t="inlineStr">
        <is>
          <t>jumlah tiang x 0,1 x 0,1 x (tinggi + 0,3)</t>
        </is>
      </c>
    </row>
    <row r="15">
      <c r="A15" s="27" t="n">
        <v>8</v>
      </c>
      <c r="B15" s="20" t="inlineStr">
        <is>
          <t>Balok pengikat / ring balk kayu 6/12</t>
        </is>
      </c>
      <c r="C15" s="31">
        <f>(2*Asumsi!$B$10+2*Asumsi!$B$11)*0.06*0.12</f>
        <v/>
      </c>
      <c r="D15" s="27" t="inlineStr">
        <is>
          <t>m³</t>
        </is>
      </c>
      <c r="E15" s="6">
        <f>'Analisa HSP'!$F$127</f>
        <v/>
      </c>
      <c r="F15" s="12">
        <f>ROUND(C15*E15,0)</f>
        <v/>
      </c>
      <c r="G15" s="32" t="inlineStr">
        <is>
          <t>keliling x 0,06 x 0,12</t>
        </is>
      </c>
    </row>
    <row r="16">
      <c r="A16" s="29" t="inlineStr">
        <is>
          <t>IV</t>
        </is>
      </c>
      <c r="B16" s="29" t="inlineStr">
        <is>
          <t>PEKERJAAN DINDING DAN BUKAAN</t>
        </is>
      </c>
      <c r="C16" s="30" t="n"/>
      <c r="D16" s="30" t="n"/>
      <c r="E16" s="30" t="n"/>
      <c r="F16" s="30" t="n"/>
      <c r="G16" s="30" t="n"/>
    </row>
    <row r="17">
      <c r="A17" s="27" t="n">
        <v>9</v>
      </c>
      <c r="B17" s="20" t="inlineStr">
        <is>
          <t>Dinding papan kayu, tinggi 0,5 m</t>
        </is>
      </c>
      <c r="C17" s="31">
        <f>(Asumsi!$B$51-Asumsi!$B$19*Asumsi!$B$20)*Asumsi!$B$14</f>
        <v/>
      </c>
      <c r="D17" s="27" t="inlineStr">
        <is>
          <t>m²</t>
        </is>
      </c>
      <c r="E17" s="6">
        <f>'Analisa HSP'!$F$136</f>
        <v/>
      </c>
      <c r="F17" s="12">
        <f>ROUND(C17*E17,0)</f>
        <v/>
      </c>
      <c r="G17" s="32" t="inlineStr">
        <is>
          <t>(perimeter - lebar pintu) x tinggi</t>
        </is>
      </c>
    </row>
    <row r="18">
      <c r="A18" s="27" t="n">
        <v>10</v>
      </c>
      <c r="B18" s="20" t="inlineStr">
        <is>
          <t>Kawat harmonika galvanis + rangka, tinggi 2,5 m</t>
        </is>
      </c>
      <c r="C18" s="31">
        <f>(Asumsi!$B$51-Asumsi!$B$19*Asumsi!$B$20)*Asumsi!$B$15</f>
        <v/>
      </c>
      <c r="D18" s="27" t="inlineStr">
        <is>
          <t>m²</t>
        </is>
      </c>
      <c r="E18" s="6">
        <f>'Analisa HSP'!$F$111</f>
        <v/>
      </c>
      <c r="F18" s="12">
        <f>ROUND(C18*E18,0)</f>
        <v/>
      </c>
      <c r="G18" s="32" t="inlineStr">
        <is>
          <t>(perimeter - lebar pintu) x tinggi kawat</t>
        </is>
      </c>
    </row>
    <row r="19">
      <c r="A19" s="27" t="n">
        <v>11</v>
      </c>
      <c r="B19" s="20" t="inlineStr">
        <is>
          <t>Tirai terpal, tinggi 1,6 m</t>
        </is>
      </c>
      <c r="C19" s="31">
        <f>(Asumsi!$B$51-Asumsi!$B$19*Asumsi!$B$20)*Asumsi!$B$16</f>
        <v/>
      </c>
      <c r="D19" s="27" t="inlineStr">
        <is>
          <t>m²</t>
        </is>
      </c>
      <c r="E19" s="6">
        <f>'Analisa HSP'!$F$118</f>
        <v/>
      </c>
      <c r="F19" s="12">
        <f>ROUND(C19*E19,0)</f>
        <v/>
      </c>
      <c r="G19" s="32" t="inlineStr">
        <is>
          <t>(perimeter - lebar pintu) x tinggi tirai</t>
        </is>
      </c>
    </row>
    <row r="20">
      <c r="A20" s="27" t="n">
        <v>12</v>
      </c>
      <c r="B20" s="20" t="inlineStr">
        <is>
          <t>Pintu rangka kayu + kawat 1,2 x 2,1 m</t>
        </is>
      </c>
      <c r="C20" s="31">
        <f>Asumsi!$B$20</f>
        <v/>
      </c>
      <c r="D20" s="27" t="inlineStr">
        <is>
          <t>unit</t>
        </is>
      </c>
      <c r="E20" s="6">
        <f>'Harga Dasar'!$E$31</f>
        <v/>
      </c>
      <c r="F20" s="12">
        <f>ROUND(C20*E20,0)</f>
        <v/>
      </c>
      <c r="G20" s="32" t="inlineStr">
        <is>
          <t>jumlah pintu</t>
        </is>
      </c>
    </row>
    <row r="21">
      <c r="A21" s="29" t="inlineStr">
        <is>
          <t>V</t>
        </is>
      </c>
      <c r="B21" s="29" t="inlineStr">
        <is>
          <t>PEKERJAAN ATAP</t>
        </is>
      </c>
      <c r="C21" s="30" t="n"/>
      <c r="D21" s="30" t="n"/>
      <c r="E21" s="30" t="n"/>
      <c r="F21" s="30" t="n"/>
      <c r="G21" s="30" t="n"/>
    </row>
    <row r="22">
      <c r="A22" s="27" t="n">
        <v>13</v>
      </c>
      <c r="B22" s="20" t="inlineStr">
        <is>
          <t>Rangka atap kayu</t>
        </is>
      </c>
      <c r="C22" s="31">
        <f>Asumsi!$B$53</f>
        <v/>
      </c>
      <c r="D22" s="27" t="inlineStr">
        <is>
          <t>m²</t>
        </is>
      </c>
      <c r="E22" s="6">
        <f>'Harga Dasar'!$E$28</f>
        <v/>
      </c>
      <c r="F22" s="12">
        <f>ROUND(C22*E22,0)</f>
        <v/>
      </c>
      <c r="G22" s="32" t="inlineStr">
        <is>
          <t>luas bidang atap miring</t>
        </is>
      </c>
    </row>
    <row r="23">
      <c r="A23" s="27" t="n">
        <v>14</v>
      </c>
      <c r="B23" s="20" t="inlineStr">
        <is>
          <t>Penutup atap seng gelombang</t>
        </is>
      </c>
      <c r="C23" s="31">
        <f>Asumsi!$B$53</f>
        <v/>
      </c>
      <c r="D23" s="27" t="inlineStr">
        <is>
          <t>m²</t>
        </is>
      </c>
      <c r="E23" s="6">
        <f>'Analisa HSP'!$F$145</f>
        <v/>
      </c>
      <c r="F23" s="12">
        <f>ROUND(C23*E23,0)</f>
        <v/>
      </c>
      <c r="G23" s="32" t="inlineStr">
        <is>
          <t>luas bidang atap miring</t>
        </is>
      </c>
    </row>
    <row r="24">
      <c r="A24" s="27" t="n">
        <v>15</v>
      </c>
      <c r="B24" s="20" t="inlineStr">
        <is>
          <t>Ventilasi nok (ridge vent) + bubungan</t>
        </is>
      </c>
      <c r="C24" s="31">
        <f>Asumsi!$B$10+2*Asumsi!$B$18</f>
        <v/>
      </c>
      <c r="D24" s="27" t="inlineStr">
        <is>
          <t>m</t>
        </is>
      </c>
      <c r="E24" s="6">
        <f>'Harga Dasar'!$E$29</f>
        <v/>
      </c>
      <c r="F24" s="12">
        <f>ROUND(C24*E24,0)</f>
        <v/>
      </c>
      <c r="G24" s="32" t="inlineStr">
        <is>
          <t>panjang atap termasuk overstek</t>
        </is>
      </c>
    </row>
    <row r="25"/>
    <row r="26">
      <c r="B26" s="14" t="inlineStr">
        <is>
          <t>REKAPITULASI PER BAGIAN (1 unit kandang)</t>
        </is>
      </c>
    </row>
    <row r="27">
      <c r="A27" s="4" t="inlineStr">
        <is>
          <t>I</t>
        </is>
      </c>
      <c r="B27" s="5" t="inlineStr">
        <is>
          <t>PEKERJAAN PERSIAPAN</t>
        </is>
      </c>
      <c r="F27" s="12">
        <f>SUM(F6:F6)</f>
        <v/>
      </c>
    </row>
    <row r="28">
      <c r="A28" s="4" t="inlineStr">
        <is>
          <t>II</t>
        </is>
      </c>
      <c r="B28" s="5" t="inlineStr">
        <is>
          <t>PEKERJAAN TANAH DAN PONDASI SETEMPAT</t>
        </is>
      </c>
      <c r="F28" s="12">
        <f>SUM(F8:F12)</f>
        <v/>
      </c>
    </row>
    <row r="29">
      <c r="A29" s="4" t="inlineStr">
        <is>
          <t>III</t>
        </is>
      </c>
      <c r="B29" s="5" t="inlineStr">
        <is>
          <t>PEKERJAAN STRUKTUR KAYU</t>
        </is>
      </c>
      <c r="F29" s="12">
        <f>SUM(F14:F15)</f>
        <v/>
      </c>
    </row>
    <row r="30">
      <c r="A30" s="4" t="inlineStr">
        <is>
          <t>IV</t>
        </is>
      </c>
      <c r="B30" s="5" t="inlineStr">
        <is>
          <t>PEKERJAAN DINDING DAN BUKAAN</t>
        </is>
      </c>
      <c r="F30" s="12">
        <f>SUM(F17:F20)</f>
        <v/>
      </c>
    </row>
    <row r="31">
      <c r="A31" s="4" t="inlineStr">
        <is>
          <t>V</t>
        </is>
      </c>
      <c r="B31" s="5" t="inlineStr">
        <is>
          <t>PEKERJAAN ATAP</t>
        </is>
      </c>
      <c r="F31" s="12">
        <f>SUM(F22:F24)</f>
        <v/>
      </c>
    </row>
    <row r="32">
      <c r="A32" s="9" t="inlineStr"/>
      <c r="B32" s="10" t="inlineStr">
        <is>
          <t>TOTAL PER 1 UNIT KANDANG</t>
        </is>
      </c>
      <c r="F32" s="11">
        <f>SUM(F27:F31)</f>
        <v/>
      </c>
    </row>
    <row r="33">
      <c r="B33" s="5" t="inlineStr">
        <is>
          <t>Jumlah unit kandang</t>
        </is>
      </c>
      <c r="F33" s="6">
        <f>Asumsi!$B$8</f>
        <v/>
      </c>
    </row>
    <row r="34">
      <c r="A34" s="9" t="inlineStr"/>
      <c r="B34" s="10" t="inlineStr">
        <is>
          <t>TOTAL KANDANG (SEMUA UNIT)</t>
        </is>
      </c>
      <c r="F34" s="11">
        <f>F32*F33</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52" customWidth="1" min="2" max="2"/>
    <col width="12" customWidth="1" min="3" max="3"/>
    <col width="9" customWidth="1" min="4" max="4"/>
    <col width="18" customWidth="1" min="5" max="5"/>
    <col width="20" customWidth="1" min="6" max="6"/>
    <col width="60" customWidth="1" min="7" max="7"/>
  </cols>
  <sheetData>
    <row r="1">
      <c r="A1" s="1" t="inlineStr">
        <is>
          <t>RAB Bangunan dan Fasilitas Pendukung</t>
        </is>
      </c>
    </row>
    <row r="2">
      <c r="A2" s="2" t="inlineStr">
        <is>
          <t>Harga satuan borongan (biru) adalah estimasi; ubah sesuai penawaran tukang lokal.</t>
        </is>
      </c>
    </row>
    <row r="4">
      <c r="A4" s="3" t="inlineStr">
        <is>
          <t>No</t>
        </is>
      </c>
      <c r="B4" s="3" t="inlineStr">
        <is>
          <t>Uraian</t>
        </is>
      </c>
      <c r="C4" s="3" t="inlineStr">
        <is>
          <t>Volume</t>
        </is>
      </c>
      <c r="D4" s="3" t="inlineStr">
        <is>
          <t>Sat</t>
        </is>
      </c>
      <c r="E4" s="3" t="inlineStr">
        <is>
          <t>Harga satuan (Rp)</t>
        </is>
      </c>
      <c r="F4" s="3" t="inlineStr">
        <is>
          <t>Jumlah (Rp)</t>
        </is>
      </c>
      <c r="G4" s="3" t="inlineStr">
        <is>
          <t>Catatan</t>
        </is>
      </c>
    </row>
    <row r="5">
      <c r="A5" s="27" t="n">
        <v>1</v>
      </c>
      <c r="B5" s="20" t="inlineStr">
        <is>
          <t>Pembersihan lahan zona produksi</t>
        </is>
      </c>
      <c r="C5" s="31">
        <f>Asumsi!$B$55</f>
        <v/>
      </c>
      <c r="D5" s="27" t="inlineStr">
        <is>
          <t>m²</t>
        </is>
      </c>
      <c r="E5" s="21" t="n">
        <v>1500</v>
      </c>
      <c r="F5" s="12">
        <f>ROUND(C5*E5,0)</f>
        <v/>
      </c>
      <c r="G5" s="32" t="inlineStr">
        <is>
          <t>Pembukaan semak dan perataan.</t>
        </is>
      </c>
    </row>
    <row r="6">
      <c r="A6" s="27" t="n">
        <v>2</v>
      </c>
      <c r="B6" s="20" t="inlineStr">
        <is>
          <t>Gudang pakan + ruang telur semi-permanen 6 x 5 m</t>
        </is>
      </c>
      <c r="C6" s="33" t="n">
        <v>30</v>
      </c>
      <c r="D6" s="27" t="inlineStr">
        <is>
          <t>m²</t>
        </is>
      </c>
      <c r="E6" s="21" t="n">
        <v>1000000</v>
      </c>
      <c r="F6" s="12">
        <f>ROUND(C6*E6,0)</f>
        <v/>
      </c>
      <c r="G6" s="32" t="inlineStr">
        <is>
          <t>Dinding papan/batako setengah, atap seng, lantai semen tipis. Telur dan pakan disekat.</t>
        </is>
      </c>
    </row>
    <row r="7">
      <c r="A7" s="27" t="n">
        <v>3</v>
      </c>
      <c r="B7" s="20" t="inlineStr">
        <is>
          <t>Pos jaga + ruang ganti 3 x 4 m</t>
        </is>
      </c>
      <c r="C7" s="33" t="n">
        <v>12</v>
      </c>
      <c r="D7" s="27" t="inlineStr">
        <is>
          <t>m²</t>
        </is>
      </c>
      <c r="E7" s="21" t="n">
        <v>1200000</v>
      </c>
      <c r="F7" s="12">
        <f>ROUND(C7*E7,0)</f>
        <v/>
      </c>
      <c r="G7" s="32" t="inlineStr">
        <is>
          <t>Sederhana, sebagai pintu biosekuriti orang.</t>
        </is>
      </c>
    </row>
    <row r="8">
      <c r="A8" s="27" t="n">
        <v>4</v>
      </c>
      <c r="B8" s="20" t="inlineStr">
        <is>
          <t>Kandang karantina / isolasi 4 x 6 m</t>
        </is>
      </c>
      <c r="C8" s="33" t="n">
        <v>24</v>
      </c>
      <c r="D8" s="27" t="inlineStr">
        <is>
          <t>m²</t>
        </is>
      </c>
      <c r="E8" s="21" t="n">
        <v>400000</v>
      </c>
      <c r="F8" s="12">
        <f>ROUND(C8*E8,0)</f>
        <v/>
      </c>
      <c r="G8" s="32" t="inlineStr">
        <is>
          <t>Opsional, bisa ditunda sampai ada ayam baru yang masuk.</t>
        </is>
      </c>
    </row>
    <row r="9">
      <c r="A9" s="27" t="n">
        <v>5</v>
      </c>
      <c r="B9" s="20" t="inlineStr">
        <is>
          <t>Pagar keliling zona produksi, tinggi 1,8 m</t>
        </is>
      </c>
      <c r="C9" s="31">
        <f>Asumsi!$B$54</f>
        <v/>
      </c>
      <c r="D9" s="27" t="inlineStr">
        <is>
          <t>m</t>
        </is>
      </c>
      <c r="E9" s="21" t="n">
        <v>55000</v>
      </c>
      <c r="F9" s="12">
        <f>ROUND(C9*E9,0)</f>
        <v/>
      </c>
      <c r="G9" s="32" t="inlineStr">
        <is>
          <t>Kawat harmonika + tiang kayu/bambu tiap 3 m.</t>
        </is>
      </c>
    </row>
    <row r="10">
      <c r="A10" s="27" t="n">
        <v>6</v>
      </c>
      <c r="B10" s="20" t="inlineStr">
        <is>
          <t>Sumur bor + pompa + tangki air 1 m³</t>
        </is>
      </c>
      <c r="C10" s="33" t="n">
        <v>1</v>
      </c>
      <c r="D10" s="27" t="inlineStr">
        <is>
          <t>ls</t>
        </is>
      </c>
      <c r="E10" s="21" t="n">
        <v>12000000</v>
      </c>
      <c r="F10" s="12">
        <f>ROUND(C10*E10,0)</f>
        <v/>
      </c>
      <c r="G10" s="32" t="inlineStr">
        <is>
          <t>Tergantung kedalaman air tanah. Hemat bila memakai sumber air yang sudah ada.</t>
        </is>
      </c>
    </row>
    <row r="11">
      <c r="A11" s="27" t="n">
        <v>7</v>
      </c>
      <c r="B11" s="20" t="inlineStr">
        <is>
          <t>Instalasi listrik tiap kandang (lampu, kabel, panel)</t>
        </is>
      </c>
      <c r="C11" s="31">
        <f>Asumsi!$B$8</f>
        <v/>
      </c>
      <c r="D11" s="27" t="inlineStr">
        <is>
          <t>unit</t>
        </is>
      </c>
      <c r="E11" s="21" t="n">
        <v>2500000</v>
      </c>
      <c r="F11" s="12">
        <f>ROUND(C11*E11,0)</f>
        <v/>
      </c>
      <c r="G11" s="32" t="inlineStr">
        <is>
          <t>Belum termasuk penambahan daya PLN.</t>
        </is>
      </c>
    </row>
    <row r="12">
      <c r="A12" s="27" t="n">
        <v>8</v>
      </c>
      <c r="B12" s="20" t="inlineStr">
        <is>
          <t>Bak celup kaki / roda kendaraan</t>
        </is>
      </c>
      <c r="C12" s="33" t="n">
        <v>2</v>
      </c>
      <c r="D12" s="27" t="inlineStr">
        <is>
          <t>unit</t>
        </is>
      </c>
      <c r="E12" s="21" t="n">
        <v>500000</v>
      </c>
      <c r="F12" s="12">
        <f>ROUND(C12*E12,0)</f>
        <v/>
      </c>
      <c r="G12" s="32" t="inlineStr">
        <is>
          <t>Gerbang dan pintu zona kandang.</t>
        </is>
      </c>
    </row>
    <row r="13">
      <c r="A13" s="27" t="n">
        <v>9</v>
      </c>
      <c r="B13" s="20" t="inlineStr">
        <is>
          <t>Pengerasan jalan sirtu t = 10 cm, lebar 3 m</t>
        </is>
      </c>
      <c r="C13" s="33" t="n">
        <v>20</v>
      </c>
      <c r="D13" s="27" t="inlineStr">
        <is>
          <t>m³</t>
        </is>
      </c>
      <c r="E13" s="21" t="n">
        <v>150000</v>
      </c>
      <c r="F13" s="12">
        <f>ROUND(C13*E13,0)</f>
        <v/>
      </c>
      <c r="G13" s="32" t="inlineStr">
        <is>
          <t>Hanya jalan masuk utama.</t>
        </is>
      </c>
    </row>
    <row r="14">
      <c r="A14" s="27" t="n">
        <v>10</v>
      </c>
      <c r="B14" s="20" t="inlineStr">
        <is>
          <t>Bak kompos / penampung kotoran</t>
        </is>
      </c>
      <c r="C14" s="33" t="n">
        <v>1</v>
      </c>
      <c r="D14" s="27" t="inlineStr">
        <is>
          <t>ls</t>
        </is>
      </c>
      <c r="E14" s="21" t="n">
        <v>1500000</v>
      </c>
      <c r="F14" s="12">
        <f>ROUND(C14*E14,0)</f>
        <v/>
      </c>
      <c r="G14" s="32" t="inlineStr">
        <is>
          <t>Sederhana, atap seng dan lantai tanah padat.</t>
        </is>
      </c>
    </row>
    <row r="15">
      <c r="A15" s="27" t="n">
        <v>11</v>
      </c>
      <c r="B15" s="20" t="inlineStr">
        <is>
          <t>Mobilisasi, papan nama, K3</t>
        </is>
      </c>
      <c r="C15" s="33" t="n">
        <v>1</v>
      </c>
      <c r="D15" s="27" t="inlineStr">
        <is>
          <t>ls</t>
        </is>
      </c>
      <c r="E15" s="21" t="n">
        <v>2000000</v>
      </c>
      <c r="F15" s="12">
        <f>ROUND(C15*E15,0)</f>
        <v/>
      </c>
      <c r="G15" s="32" t="inlineStr"/>
    </row>
    <row r="16">
      <c r="A16" s="9" t="inlineStr"/>
      <c r="B16" s="10" t="inlineStr">
        <is>
          <t>TOTAL PENDUKUNG</t>
        </is>
      </c>
      <c r="F16" s="11">
        <f>SUM(F5:F15)</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52" customWidth="1" min="2" max="2"/>
    <col width="12" customWidth="1" min="3" max="3"/>
    <col width="9" customWidth="1" min="4" max="4"/>
    <col width="18" customWidth="1" min="5" max="5"/>
    <col width="20" customWidth="1" min="6" max="6"/>
    <col width="60" customWidth="1" min="7" max="7"/>
  </cols>
  <sheetData>
    <row r="1">
      <c r="A1" s="1" t="inlineStr">
        <is>
          <t>Peralatan Kandang untuk 2.000 Ekor</t>
        </is>
      </c>
    </row>
    <row r="2">
      <c r="A2" s="2" t="inlineStr">
        <is>
          <t>Jumlah dihitung dari jumlah ayam di sheet Asumsi (rumus). Harga satuan estimasi (biru).</t>
        </is>
      </c>
    </row>
    <row r="4">
      <c r="A4" s="3" t="inlineStr">
        <is>
          <t>No</t>
        </is>
      </c>
      <c r="B4" s="3" t="inlineStr">
        <is>
          <t>Uraian</t>
        </is>
      </c>
      <c r="C4" s="3" t="inlineStr">
        <is>
          <t>Jumlah</t>
        </is>
      </c>
      <c r="D4" s="3" t="inlineStr">
        <is>
          <t>Sat</t>
        </is>
      </c>
      <c r="E4" s="3" t="inlineStr">
        <is>
          <t>Harga satuan (Rp)</t>
        </is>
      </c>
      <c r="F4" s="3" t="inlineStr">
        <is>
          <t>Jumlah (Rp)</t>
        </is>
      </c>
      <c r="G4" s="3" t="inlineStr">
        <is>
          <t>Dasar jumlah</t>
        </is>
      </c>
    </row>
    <row r="5">
      <c r="A5" s="27" t="n">
        <v>1</v>
      </c>
      <c r="B5" s="20" t="inlineStr">
        <is>
          <t>Tempat pakan tubular (feeder)</t>
        </is>
      </c>
      <c r="C5" s="12">
        <f>ROUNDUP(Asumsi!$B$6/25,0)</f>
        <v/>
      </c>
      <c r="D5" s="27" t="inlineStr">
        <is>
          <t>buah</t>
        </is>
      </c>
      <c r="E5" s="21" t="n">
        <v>60000</v>
      </c>
      <c r="F5" s="12">
        <f>ROUND(C5*E5,0)</f>
        <v/>
      </c>
      <c r="G5" s="32" t="inlineStr">
        <is>
          <t>1 per 25 ekor. Tempat pakan lokal dari pipa/ember.</t>
        </is>
      </c>
    </row>
    <row r="6">
      <c r="A6" s="27" t="n">
        <v>2</v>
      </c>
      <c r="B6" s="20" t="inlineStr">
        <is>
          <t>Tempat minum otomatis (bell drinker)</t>
        </is>
      </c>
      <c r="C6" s="12">
        <f>ROUNDUP(Asumsi!$B$6/60,0)</f>
        <v/>
      </c>
      <c r="D6" s="27" t="inlineStr">
        <is>
          <t>buah</t>
        </is>
      </c>
      <c r="E6" s="21" t="n">
        <v>55000</v>
      </c>
      <c r="F6" s="12">
        <f>ROUND(C6*E6,0)</f>
        <v/>
      </c>
      <c r="G6" s="32" t="inlineStr">
        <is>
          <t>1 per 60 ekor.</t>
        </is>
      </c>
    </row>
    <row r="7">
      <c r="A7" s="27" t="n">
        <v>3</v>
      </c>
      <c r="B7" s="20" t="inlineStr">
        <is>
          <t>Sarang bertelur (kotak 6 lubang)</t>
        </is>
      </c>
      <c r="C7" s="12">
        <f>ROUNDUP(Asumsi!$B$6/5/6,0)</f>
        <v/>
      </c>
      <c r="D7" s="27" t="inlineStr">
        <is>
          <t>unit</t>
        </is>
      </c>
      <c r="E7" s="21" t="n">
        <v>250000</v>
      </c>
      <c r="F7" s="12">
        <f>ROUND(C7*E7,0)</f>
        <v/>
      </c>
      <c r="G7" s="32" t="inlineStr">
        <is>
          <t>1 lubang per 5 ekor. Dibuat sendiri dari kayu/multipleks.</t>
        </is>
      </c>
    </row>
    <row r="8">
      <c r="A8" s="27" t="n">
        <v>4</v>
      </c>
      <c r="B8" s="20" t="inlineStr">
        <is>
          <t>Tempat bertengger bambu</t>
        </is>
      </c>
      <c r="C8" s="12">
        <f>ROUNDUP(Asumsi!$B$6/5,0)</f>
        <v/>
      </c>
      <c r="D8" s="27" t="inlineStr">
        <is>
          <t>m</t>
        </is>
      </c>
      <c r="E8" s="21" t="n">
        <v>6000</v>
      </c>
      <c r="F8" s="12">
        <f>ROUND(C8*E8,0)</f>
        <v/>
      </c>
      <c r="G8" s="32" t="inlineStr">
        <is>
          <t>1 m per 5 ekor.</t>
        </is>
      </c>
    </row>
    <row r="9">
      <c r="A9" s="27" t="n">
        <v>5</v>
      </c>
      <c r="B9" s="20" t="inlineStr">
        <is>
          <t>Brooder gas (kapasitas 200 DOC)</t>
        </is>
      </c>
      <c r="C9" s="12">
        <f>ROUNDUP(Asumsi!$B$6/200,0)</f>
        <v/>
      </c>
      <c r="D9" s="27" t="inlineStr">
        <is>
          <t>unit</t>
        </is>
      </c>
      <c r="E9" s="21" t="n">
        <v>600000</v>
      </c>
      <c r="F9" s="12">
        <f>ROUND(C9*E9,0)</f>
        <v/>
      </c>
      <c r="G9" s="32" t="inlineStr">
        <is>
          <t>Dipakai di area brooding.</t>
        </is>
      </c>
    </row>
    <row r="10">
      <c r="A10" s="27" t="n">
        <v>6</v>
      </c>
      <c r="B10" s="20" t="inlineStr">
        <is>
          <t>Tabung gas 3 kg + regulator</t>
        </is>
      </c>
      <c r="C10" s="12">
        <f>ROUNDUP(Asumsi!$B$6/200,0)</f>
        <v/>
      </c>
      <c r="D10" s="27" t="inlineStr">
        <is>
          <t>unit</t>
        </is>
      </c>
      <c r="E10" s="21" t="n">
        <v>200000</v>
      </c>
      <c r="F10" s="12">
        <f>ROUND(C10*E10,0)</f>
        <v/>
      </c>
      <c r="G10" s="32" t="inlineStr"/>
    </row>
    <row r="11">
      <c r="A11" s="27" t="n">
        <v>7</v>
      </c>
      <c r="B11" s="20" t="inlineStr">
        <is>
          <t>Pembatas brooding (kawat + terpal)</t>
        </is>
      </c>
      <c r="C11" s="21" t="n">
        <v>60</v>
      </c>
      <c r="D11" s="27" t="inlineStr">
        <is>
          <t>m</t>
        </is>
      </c>
      <c r="E11" s="21" t="n">
        <v>35000</v>
      </c>
      <c r="F11" s="12">
        <f>ROUND(C11*E11,0)</f>
        <v/>
      </c>
      <c r="G11" s="32" t="inlineStr">
        <is>
          <t>Disesuaikan dengan sekat area brooding.</t>
        </is>
      </c>
    </row>
    <row r="12">
      <c r="A12" s="27" t="n">
        <v>8</v>
      </c>
      <c r="B12" s="20" t="inlineStr">
        <is>
          <t>Lampu LED 15 W</t>
        </is>
      </c>
      <c r="C12" s="12">
        <f>ROUNDUP(Asumsi!$B$6/35,0)</f>
        <v/>
      </c>
      <c r="D12" s="27" t="inlineStr">
        <is>
          <t>buah</t>
        </is>
      </c>
      <c r="E12" s="21" t="n">
        <v>35000</v>
      </c>
      <c r="F12" s="12">
        <f>ROUND(C12*E12,0)</f>
        <v/>
      </c>
      <c r="G12" s="32" t="inlineStr"/>
    </row>
    <row r="13">
      <c r="A13" s="27" t="n">
        <v>9</v>
      </c>
      <c r="B13" s="20" t="inlineStr">
        <is>
          <t>Timer lampu</t>
        </is>
      </c>
      <c r="C13" s="21" t="n">
        <v>2</v>
      </c>
      <c r="D13" s="27" t="inlineStr">
        <is>
          <t>buah</t>
        </is>
      </c>
      <c r="E13" s="21" t="n">
        <v>150000</v>
      </c>
      <c r="F13" s="12">
        <f>ROUND(C13*E13,0)</f>
        <v/>
      </c>
      <c r="G13" s="32" t="inlineStr">
        <is>
          <t>Pencahayaan 16 jam untuk petelur.</t>
        </is>
      </c>
    </row>
    <row r="14">
      <c r="A14" s="27" t="n">
        <v>10</v>
      </c>
      <c r="B14" s="20" t="inlineStr">
        <is>
          <t>Termometer dan higrometer</t>
        </is>
      </c>
      <c r="C14" s="21" t="n">
        <v>4</v>
      </c>
      <c r="D14" s="27" t="inlineStr">
        <is>
          <t>buah</t>
        </is>
      </c>
      <c r="E14" s="21" t="n">
        <v>75000</v>
      </c>
      <c r="F14" s="12">
        <f>ROUND(C14*E14,0)</f>
        <v/>
      </c>
      <c r="G14" s="32" t="inlineStr"/>
    </row>
    <row r="15">
      <c r="A15" s="27" t="n">
        <v>11</v>
      </c>
      <c r="B15" s="20" t="inlineStr">
        <is>
          <t>Timbangan gantung 50 kg</t>
        </is>
      </c>
      <c r="C15" s="21" t="n">
        <v>1</v>
      </c>
      <c r="D15" s="27" t="inlineStr">
        <is>
          <t>buah</t>
        </is>
      </c>
      <c r="E15" s="21" t="n">
        <v>350000</v>
      </c>
      <c r="F15" s="12">
        <f>ROUND(C15*E15,0)</f>
        <v/>
      </c>
      <c r="G15" s="32" t="inlineStr"/>
    </row>
    <row r="16">
      <c r="A16" s="27" t="n">
        <v>12</v>
      </c>
      <c r="B16" s="20" t="inlineStr">
        <is>
          <t>Timbangan digital 5 kg</t>
        </is>
      </c>
      <c r="C16" s="21" t="n">
        <v>1</v>
      </c>
      <c r="D16" s="27" t="inlineStr">
        <is>
          <t>buah</t>
        </is>
      </c>
      <c r="E16" s="21" t="n">
        <v>250000</v>
      </c>
      <c r="F16" s="12">
        <f>ROUND(C16*E16,0)</f>
        <v/>
      </c>
      <c r="G16" s="32" t="inlineStr"/>
    </row>
    <row r="17">
      <c r="A17" s="27" t="n">
        <v>13</v>
      </c>
      <c r="B17" s="20" t="inlineStr">
        <is>
          <t>Egg tray 30 butir</t>
        </is>
      </c>
      <c r="C17" s="21" t="n">
        <v>300</v>
      </c>
      <c r="D17" s="27" t="inlineStr">
        <is>
          <t>buah</t>
        </is>
      </c>
      <c r="E17" s="21" t="n">
        <v>2500</v>
      </c>
      <c r="F17" s="12">
        <f>ROUND(C17*E17,0)</f>
        <v/>
      </c>
      <c r="G17" s="32" t="inlineStr"/>
    </row>
    <row r="18">
      <c r="A18" s="27" t="n">
        <v>14</v>
      </c>
      <c r="B18" s="20" t="inlineStr">
        <is>
          <t>Kereta dorong</t>
        </is>
      </c>
      <c r="C18" s="21" t="n">
        <v>2</v>
      </c>
      <c r="D18" s="27" t="inlineStr">
        <is>
          <t>buah</t>
        </is>
      </c>
      <c r="E18" s="21" t="n">
        <v>500000</v>
      </c>
      <c r="F18" s="12">
        <f>ROUND(C18*E18,0)</f>
        <v/>
      </c>
      <c r="G18" s="32" t="inlineStr"/>
    </row>
    <row r="19">
      <c r="A19" s="27" t="n">
        <v>15</v>
      </c>
      <c r="B19" s="20" t="inlineStr">
        <is>
          <t>Sprayer 16 L</t>
        </is>
      </c>
      <c r="C19" s="21" t="n">
        <v>2</v>
      </c>
      <c r="D19" s="27" t="inlineStr">
        <is>
          <t>buah</t>
        </is>
      </c>
      <c r="E19" s="21" t="n">
        <v>450000</v>
      </c>
      <c r="F19" s="12">
        <f>ROUND(C19*E19,0)</f>
        <v/>
      </c>
      <c r="G19" s="32" t="inlineStr"/>
    </row>
    <row r="20">
      <c r="A20" s="27" t="n">
        <v>16</v>
      </c>
      <c r="B20" s="20" t="inlineStr">
        <is>
          <t>Tong penyimpan pakan 100 L</t>
        </is>
      </c>
      <c r="C20" s="21" t="n">
        <v>4</v>
      </c>
      <c r="D20" s="27" t="inlineStr">
        <is>
          <t>buah</t>
        </is>
      </c>
      <c r="E20" s="21" t="n">
        <v>250000</v>
      </c>
      <c r="F20" s="12">
        <f>ROUND(C20*E20,0)</f>
        <v/>
      </c>
      <c r="G20" s="32" t="inlineStr"/>
    </row>
    <row r="21">
      <c r="A21" s="27" t="n">
        <v>17</v>
      </c>
      <c r="B21" s="20" t="inlineStr">
        <is>
          <t>Sekam padi untuk litter, tebal 8 cm</t>
        </is>
      </c>
      <c r="C21" s="15">
        <f>Asumsi!$B$10*Asumsi!$B$11*Asumsi!$B$8*0.08</f>
        <v/>
      </c>
      <c r="D21" s="27" t="inlineStr">
        <is>
          <t>m³</t>
        </is>
      </c>
      <c r="E21" s="21" t="n">
        <v>100000</v>
      </c>
      <c r="F21" s="12">
        <f>ROUND(C21*E21,0)</f>
        <v/>
      </c>
      <c r="G21" s="32" t="inlineStr">
        <is>
          <t>Luas lantai total x 0,08.</t>
        </is>
      </c>
    </row>
    <row r="22">
      <c r="A22" s="27" t="n">
        <v>18</v>
      </c>
      <c r="B22" s="20" t="inlineStr">
        <is>
          <t>Alat kebersihan dan APD</t>
        </is>
      </c>
      <c r="C22" s="21" t="n">
        <v>1</v>
      </c>
      <c r="D22" s="27" t="inlineStr">
        <is>
          <t>ls</t>
        </is>
      </c>
      <c r="E22" s="21" t="n">
        <v>1500000</v>
      </c>
      <c r="F22" s="12">
        <f>ROUND(C22*E22,0)</f>
        <v/>
      </c>
      <c r="G22" s="32" t="inlineStr">
        <is>
          <t>Sepatu bot, masker, sarung tangan, sapu, sikat.</t>
        </is>
      </c>
    </row>
    <row r="23">
      <c r="A23" s="27" t="n">
        <v>19</v>
      </c>
      <c r="B23" s="20" t="inlineStr">
        <is>
          <t>Perlengkapan kesehatan awal (vaksin, vitamin, desinfektan)</t>
        </is>
      </c>
      <c r="C23" s="21" t="n">
        <v>1</v>
      </c>
      <c r="D23" s="27" t="inlineStr">
        <is>
          <t>ls</t>
        </is>
      </c>
      <c r="E23" s="21" t="n">
        <v>2000000</v>
      </c>
      <c r="F23" s="12">
        <f>ROUND(C23*E23,0)</f>
        <v/>
      </c>
      <c r="G23" s="32" t="inlineStr">
        <is>
          <t>Stok awal, belum termasuk vaksin batch berikutnya.</t>
        </is>
      </c>
    </row>
    <row r="24">
      <c r="A24" s="9" t="inlineStr"/>
      <c r="B24" s="10" t="inlineStr">
        <is>
          <t>TOTAL PERALATAN</t>
        </is>
      </c>
      <c r="F24" s="11">
        <f>SUM(F5:F23)</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
  <sheetViews>
    <sheetView showGridLines="0" workbookViewId="0">
      <selection activeCell="A1" sqref="A1"/>
    </sheetView>
  </sheetViews>
  <sheetFormatPr baseColWidth="8" defaultRowHeight="15"/>
  <cols>
    <col width="4" customWidth="1" min="1" max="1"/>
    <col width="4" customWidth="1" min="2" max="2"/>
  </cols>
  <sheetData>
    <row r="1">
      <c r="A1" s="1" t="inlineStr">
        <is>
          <t>Gambar Desain</t>
        </is>
      </c>
    </row>
    <row r="2">
      <c r="A2" s="2" t="inlineStr">
        <is>
          <t>G-01 Rencana tapak · G-02 Denah · G-03 Potongan A-A · G-04 Tampak · G-05 Detail pondasi</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2026-10-04T11:43:17Z</dcterms:created>
  <dcterms:modified xsi:type="dcterms:W3CDTF">2026-10-04T11:43:17Z</dcterms:modified>
</cp:coreProperties>
</file>