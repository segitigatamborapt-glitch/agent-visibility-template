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si Project" sheetId="1" state="visible" r:id="rId3"/>
    <sheet name="Rekap RAB" sheetId="2" state="visible" r:id="rId4"/>
    <sheet name="RAB" sheetId="3" state="visible" r:id="rId5"/>
    <sheet name="Analisa Harga Satuan" sheetId="4" state="visible" r:id="rId6"/>
    <sheet name="Harga Bahan" sheetId="5" state="visible" r:id="rId7"/>
    <sheet name="Harga Upah" sheetId="6" state="visible" r:id="rId8"/>
    <sheet name="Sche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<sst xmlns="http://schemas.openxmlformats.org/spreadsheetml/2006/main" count="1002" uniqueCount="347">
  <si>
    <t xml:space="preserve">RENCANA ANGGARAN BIAYA (RAB)</t>
  </si>
  <si>
    <t xml:space="preserve">Sel BIRU = input pengguna; hitam = rumus; hijau = tautan antar sheet; kuning = asumsi kunci. Data di bawah adalah CONTOH sampai gambar kerja dilampirkan.</t>
  </si>
  <si>
    <t xml:space="preserve">Nama Pekerjaan</t>
  </si>
  <si>
    <t xml:space="preserve">Pembangunan Gedung Kantor 1 Lantai (CONTOH - sesuaikan dengan gambar)</t>
  </si>
  <si>
    <t xml:space="preserve">Lokasi Pekerjaan</t>
  </si>
  <si>
    <t xml:space="preserve">Kabupaten Morowali Utara, Provinsi Sulawesi Tengah</t>
  </si>
  <si>
    <t xml:space="preserve">Pemilik / PPK</t>
  </si>
  <si>
    <t xml:space="preserve">(isi nama instansi / PPK)</t>
  </si>
  <si>
    <t xml:space="preserve">Project Manager</t>
  </si>
  <si>
    <t xml:space="preserve">(isi nama PM)</t>
  </si>
  <si>
    <t xml:space="preserve">Konsultan Perencana / Pengawas</t>
  </si>
  <si>
    <t xml:space="preserve">(isi)</t>
  </si>
  <si>
    <t xml:space="preserve">Kontraktor Pelaksana</t>
  </si>
  <si>
    <t xml:space="preserve">Jenis Pekerjaan</t>
  </si>
  <si>
    <t xml:space="preserve">Konstruksi Bangunan Gedung (Cipta Karya)</t>
  </si>
  <si>
    <t xml:space="preserve">Tahun Anggaran</t>
  </si>
  <si>
    <t xml:space="preserve">Acuan Harga Satuan</t>
  </si>
  <si>
    <t xml:space="preserve">HSPK/Analisis Standar Biaya &amp; HSD Kab. Morowali Utara TA 2026 (isi nomor Perbup)</t>
  </si>
  <si>
    <t xml:space="preserve">Status Harga</t>
  </si>
  <si>
    <t xml:space="preserve">ASUMSI INDIKATIF - belum diverifikasi ke Perbup/survei; WAJIB diganti</t>
  </si>
  <si>
    <t xml:space="preserve">Luas Bangunan (m²)</t>
  </si>
  <si>
    <t xml:space="preserve">Waktu Pelaksanaan (hari kalender)</t>
  </si>
  <si>
    <t xml:space="preserve">Waktu Pelaksanaan (minggu)</t>
  </si>
  <si>
    <t xml:space="preserve">Overhead &amp; Profit (%)</t>
  </si>
  <si>
    <t xml:space="preserve">PPN (%)</t>
  </si>
  <si>
    <t xml:space="preserve">Pembulatan ke kelipatan (Rp)</t>
  </si>
  <si>
    <t xml:space="preserve">Tanggal Mulai (rencana)</t>
  </si>
  <si>
    <t xml:space="preserve">Sumber Dana</t>
  </si>
  <si>
    <t xml:space="preserve">APBD Kab. Morowali Utara TA 2026 (sesuaikan)</t>
  </si>
  <si>
    <t xml:space="preserve">CATATAN &amp; ASUMSI</t>
  </si>
  <si>
    <t xml:space="preserve">1. Harga bahan &amp; upah adalah ESTIMASI INDIKATIF level Kab. Morowali Utara (daerah dengan biaya angkut tinggi). Data resmi Perbup HSPK/HSD Morowali Utara TA 2026 tidak dapat saya akses; ganti seluruh sel biru di sheet Harga Bahan &amp; Harga Upah dengan angka Perbup / survei pasar.</t>
  </si>
  <si>
    <t xml:space="preserve">2. Koefisien AHSP mengacu pola SNI/Permen PUPR (Analisis Harga Satuan Pekerjaan) - bersifat indikatif; sesuaikan dengan spesifikasi teknis.</t>
  </si>
  <si>
    <t xml:space="preserve">3. Volume pada sheet RAB adalah volume CONTOH untuk gedung 1 lantai +/-120 m² (kolom Keterangan menjelaskan dasar hitungnya). Ganti dengan quantity take-off dari gambar kerja.</t>
  </si>
  <si>
    <t xml:space="preserve">4. Pekerjaan Lump Sum (LS) memakai harga input langsung (biru) pada sheet RAB.</t>
  </si>
  <si>
    <t xml:space="preserve">5. Alur: Harga Bahan &amp; Harga Upah -&gt; Analisa Harga Satuan -&gt; RAB -&gt; Rekap RAB -&gt; Schedule (bobot &amp; kurva S).</t>
  </si>
  <si>
    <t xml:space="preserve">6. Tarif PPN 11% adalah input; ubah di B18 bila ketentuan perpajakan berbeda.</t>
  </si>
  <si>
    <t xml:space="preserve">REKAPITULASI RENCANA ANGGARAN BIAYA</t>
  </si>
  <si>
    <t xml:space="preserve">No</t>
  </si>
  <si>
    <t xml:space="preserve">Uraian Pekerjaan</t>
  </si>
  <si>
    <t xml:space="preserve">Jumlah Harga (Rp)</t>
  </si>
  <si>
    <t xml:space="preserve">Bobot (%)</t>
  </si>
  <si>
    <t xml:space="preserve">I</t>
  </si>
  <si>
    <t xml:space="preserve">PEKERJAAN PERSIAPAN</t>
  </si>
  <si>
    <t xml:space="preserve">II</t>
  </si>
  <si>
    <t xml:space="preserve">PEKERJAAN TANAH &amp; PONDASI</t>
  </si>
  <si>
    <t xml:space="preserve">III</t>
  </si>
  <si>
    <t xml:space="preserve">PEKERJAAN STRUKTUR BETON</t>
  </si>
  <si>
    <t xml:space="preserve">IV</t>
  </si>
  <si>
    <t xml:space="preserve">PEKERJAAN DINDING</t>
  </si>
  <si>
    <t xml:space="preserve">V</t>
  </si>
  <si>
    <t xml:space="preserve">PEKERJAAN ATAP &amp; PLAFON</t>
  </si>
  <si>
    <t xml:space="preserve">VI</t>
  </si>
  <si>
    <t xml:space="preserve">PEKERJAAN LANTAI &amp; KERAMIK</t>
  </si>
  <si>
    <t xml:space="preserve">VII</t>
  </si>
  <si>
    <t xml:space="preserve">PEKERJAAN KUSEN, PINTU &amp; JENDELA</t>
  </si>
  <si>
    <t xml:space="preserve">VIII</t>
  </si>
  <si>
    <t xml:space="preserve">PEKERJAAN FINISHING</t>
  </si>
  <si>
    <t xml:space="preserve">IX</t>
  </si>
  <si>
    <t xml:space="preserve">PEKERJAAN SANITASI &amp; AIR</t>
  </si>
  <si>
    <t xml:space="preserve">X</t>
  </si>
  <si>
    <t xml:space="preserve">PEKERJAAN INSTALASI LISTRIK</t>
  </si>
  <si>
    <t xml:space="preserve">XI</t>
  </si>
  <si>
    <t xml:space="preserve">PEKERJAAN AKHIR</t>
  </si>
  <si>
    <t xml:space="preserve">JUMLAH</t>
  </si>
  <si>
    <t xml:space="preserve">PPN</t>
  </si>
  <si>
    <t xml:space="preserve">JUMLAH TOTAL (termasuk PPN)</t>
  </si>
  <si>
    <t xml:space="preserve">DIBULATKAN</t>
  </si>
  <si>
    <t xml:space="preserve">Biaya per m² bangunan (dibulatkan)</t>
  </si>
  <si>
    <t xml:space="preserve">Disusun oleh,</t>
  </si>
  <si>
    <t xml:space="preserve">Disetujui oleh,</t>
  </si>
  <si>
    <t xml:space="preserve">( Project Manager )</t>
  </si>
  <si>
    <t xml:space="preserve">( PPK / Pemilik )</t>
  </si>
  <si>
    <t xml:space="preserve">Kode AHSP &amp; Volume (biru) = input. Volume contoh - ganti dari gambar kerja. Baris 'LS' = lump sum, harga input langsung.</t>
  </si>
  <si>
    <t xml:space="preserve">Kode AHSP</t>
  </si>
  <si>
    <t xml:space="preserve">Satuan</t>
  </si>
  <si>
    <t xml:space="preserve">Volume</t>
  </si>
  <si>
    <t xml:space="preserve">Harga Satuan (Rp)</t>
  </si>
  <si>
    <t xml:space="preserve">Dasar Volume (contoh)</t>
  </si>
  <si>
    <t xml:space="preserve">Mobilisasi &amp; demobilisasi peralatan/personel</t>
  </si>
  <si>
    <t xml:space="preserve">-</t>
  </si>
  <si>
    <t xml:space="preserve">LS</t>
  </si>
  <si>
    <t xml:space="preserve">Lump sum, biaya angkut ke Morowali Utara</t>
  </si>
  <si>
    <t xml:space="preserve">Direksi keet, gudang &amp; fasilitas sementara</t>
  </si>
  <si>
    <t xml:space="preserve">Lump sum</t>
  </si>
  <si>
    <t xml:space="preserve">Papan nama proyek</t>
  </si>
  <si>
    <t xml:space="preserve">Keselamatan &amp; kesehatan kerja (SMKK)</t>
  </si>
  <si>
    <t xml:space="preserve">Lump sum - APD, rambu, P3K</t>
  </si>
  <si>
    <t xml:space="preserve">Dokumentasi, pelaporan &amp; gambar as built drawing</t>
  </si>
  <si>
    <t xml:space="preserve">P.2</t>
  </si>
  <si>
    <t xml:space="preserve">Luas lahan kerja = bangunan + 100 m²</t>
  </si>
  <si>
    <t xml:space="preserve">P.1</t>
  </si>
  <si>
    <t xml:space="preserve">Keliling 2x(10+12) m</t>
  </si>
  <si>
    <t xml:space="preserve">Sub Total I</t>
  </si>
  <si>
    <t xml:space="preserve">T.1</t>
  </si>
  <si>
    <t xml:space="preserve">80 m' x 0,6 m x 0,8 m</t>
  </si>
  <si>
    <t xml:space="preserve">T.2</t>
  </si>
  <si>
    <t xml:space="preserve">80 m' x 0,6 m x 0,1 m</t>
  </si>
  <si>
    <t xml:space="preserve">T.3</t>
  </si>
  <si>
    <t xml:space="preserve">80 m' x 0,6 m x 0,2 m</t>
  </si>
  <si>
    <t xml:space="preserve">T.4</t>
  </si>
  <si>
    <t xml:space="preserve">80 m' x 0,45 m x 0,7 m</t>
  </si>
  <si>
    <t xml:space="preserve">T.5</t>
  </si>
  <si>
    <t xml:space="preserve">Sisa galian setelah pondasi</t>
  </si>
  <si>
    <t xml:space="preserve">T.6</t>
  </si>
  <si>
    <t xml:space="preserve">120 m² x 0,4 m peninggian lantai</t>
  </si>
  <si>
    <t xml:space="preserve">120 m² x 0,1 m (pasir bawah lantai)</t>
  </si>
  <si>
    <t xml:space="preserve">Sub Total II</t>
  </si>
  <si>
    <t xml:space="preserve">S.1</t>
  </si>
  <si>
    <t xml:space="preserve">120 m² x 0,05 m lantai kerja</t>
  </si>
  <si>
    <t xml:space="preserve">S.2</t>
  </si>
  <si>
    <t xml:space="preserve">Kolom 3,65 + sloof 2,4 + ring balk 2,4 + lain-lain</t>
  </si>
  <si>
    <t xml:space="preserve">S.3</t>
  </si>
  <si>
    <t xml:space="preserve">+/-150 kg/m³ beton</t>
  </si>
  <si>
    <t xml:space="preserve">S.4</t>
  </si>
  <si>
    <t xml:space="preserve">24 kolom x 0,8 m x 3,8 m</t>
  </si>
  <si>
    <t xml:space="preserve">S.5</t>
  </si>
  <si>
    <t xml:space="preserve">160 m' sloof+balok x 0,55 m</t>
  </si>
  <si>
    <t xml:space="preserve">Sub Total III</t>
  </si>
  <si>
    <t xml:space="preserve">D.1</t>
  </si>
  <si>
    <t xml:space="preserve">(74 m' x 3,2 m) - bukaan</t>
  </si>
  <si>
    <t xml:space="preserve">D.2</t>
  </si>
  <si>
    <t xml:space="preserve">Dua sisi dinding</t>
  </si>
  <si>
    <t xml:space="preserve">D.3</t>
  </si>
  <si>
    <t xml:space="preserve">Sub Total IV</t>
  </si>
  <si>
    <t xml:space="preserve">A.1</t>
  </si>
  <si>
    <t xml:space="preserve">Luas atap miring + overstek</t>
  </si>
  <si>
    <t xml:space="preserve">A.2</t>
  </si>
  <si>
    <t xml:space="preserve">Nok 12 m' + rusuk 24 m'</t>
  </si>
  <si>
    <t xml:space="preserve">A.3</t>
  </si>
  <si>
    <t xml:space="preserve">Plafon ruang + teras</t>
  </si>
  <si>
    <t xml:space="preserve">Sub Total V</t>
  </si>
  <si>
    <t xml:space="preserve">L.1</t>
  </si>
  <si>
    <t xml:space="preserve">120 m² - KM/WC 6 m²</t>
  </si>
  <si>
    <t xml:space="preserve">L.2</t>
  </si>
  <si>
    <t xml:space="preserve">2 KM/WC x 14 m²</t>
  </si>
  <si>
    <t xml:space="preserve">Sub Total VI</t>
  </si>
  <si>
    <t xml:space="preserve">K.1</t>
  </si>
  <si>
    <t xml:space="preserve">8 daun pintu</t>
  </si>
  <si>
    <t xml:space="preserve">K.2</t>
  </si>
  <si>
    <t xml:space="preserve">Jendela total 14 m²</t>
  </si>
  <si>
    <t xml:space="preserve">Sub Total VII</t>
  </si>
  <si>
    <t xml:space="preserve">F.1</t>
  </si>
  <si>
    <t xml:space="preserve">Dinding dua sisi</t>
  </si>
  <si>
    <t xml:space="preserve">F.2</t>
  </si>
  <si>
    <t xml:space="preserve">Luas plafon</t>
  </si>
  <si>
    <t xml:space="preserve">Sub Total VIII</t>
  </si>
  <si>
    <t xml:space="preserve">N.1</t>
  </si>
  <si>
    <t xml:space="preserve">2 KM/WC</t>
  </si>
  <si>
    <t xml:space="preserve">N.2</t>
  </si>
  <si>
    <t xml:space="preserve">4 titik kran</t>
  </si>
  <si>
    <t xml:space="preserve">N.3</t>
  </si>
  <si>
    <t xml:space="preserve">Pipa air bersih</t>
  </si>
  <si>
    <t xml:space="preserve">N.4</t>
  </si>
  <si>
    <t xml:space="preserve">Pipa air kotor</t>
  </si>
  <si>
    <t xml:space="preserve">Septic tank &amp; sumur resapan (pas. bata + beton)</t>
  </si>
  <si>
    <t xml:space="preserve">Lump sum - sesuaikan gambar</t>
  </si>
  <si>
    <t xml:space="preserve">Sub Total IX</t>
  </si>
  <si>
    <t xml:space="preserve">E.1</t>
  </si>
  <si>
    <t xml:space="preserve">18 titik lampu</t>
  </si>
  <si>
    <t xml:space="preserve">E.2</t>
  </si>
  <si>
    <t xml:space="preserve">12 titik stop kontak</t>
  </si>
  <si>
    <t xml:space="preserve">Panel listrik, MCB &amp; grounding</t>
  </si>
  <si>
    <t xml:space="preserve">Sub Total X</t>
  </si>
  <si>
    <t xml:space="preserve">Z.1</t>
  </si>
  <si>
    <t xml:space="preserve">Luas bangunan + teras</t>
  </si>
  <si>
    <t xml:space="preserve">Sub Total XI</t>
  </si>
  <si>
    <t xml:space="preserve">JUMLAH TOTAL</t>
  </si>
  <si>
    <t xml:space="preserve">ANALISA HARGA SATUAN PEKERJAAN (AHSP)</t>
  </si>
  <si>
    <t xml:space="preserve">Koefisien (biru) mengacu pola SNI/Permen PUPR - indikatif. Uraian, satuan &amp; harga komponen otomatis dari sheet Harga Bahan/Harga Upah. Overhead &amp; profit dari Informasi Project.</t>
  </si>
  <si>
    <t xml:space="preserve">Kode</t>
  </si>
  <si>
    <t xml:space="preserve">Uraian</t>
  </si>
  <si>
    <t xml:space="preserve">Koefisien</t>
  </si>
  <si>
    <t xml:space="preserve">Kategori</t>
  </si>
  <si>
    <t xml:space="preserve">Pengukuran &amp; pemasangan bouwplank</t>
  </si>
  <si>
    <t xml:space="preserve">m'</t>
  </si>
  <si>
    <t xml:space="preserve">Harga satuan:</t>
  </si>
  <si>
    <t xml:space="preserve">B-11</t>
  </si>
  <si>
    <t xml:space="preserve">Bahan</t>
  </si>
  <si>
    <t xml:space="preserve">B-10</t>
  </si>
  <si>
    <t xml:space="preserve">B-13</t>
  </si>
  <si>
    <t xml:space="preserve">U-01</t>
  </si>
  <si>
    <t xml:space="preserve">Upah</t>
  </si>
  <si>
    <t xml:space="preserve">U-03</t>
  </si>
  <si>
    <t xml:space="preserve">U-08</t>
  </si>
  <si>
    <t xml:space="preserve">U-09</t>
  </si>
  <si>
    <t xml:space="preserve">Jumlah harga bahan</t>
  </si>
  <si>
    <t xml:space="preserve">Jumlah harga upah</t>
  </si>
  <si>
    <t xml:space="preserve">HARGA SATUAN PEKERJAAN</t>
  </si>
  <si>
    <t xml:space="preserve">Pembersihan lahan &amp; perataan</t>
  </si>
  <si>
    <t xml:space="preserve">m²</t>
  </si>
  <si>
    <t xml:space="preserve">Galian tanah biasa kedalaman s.d. 1 m</t>
  </si>
  <si>
    <t xml:space="preserve">m³</t>
  </si>
  <si>
    <t xml:space="preserve">Urugan pasir bawah pondasi / lantai</t>
  </si>
  <si>
    <t xml:space="preserve">B-02</t>
  </si>
  <si>
    <t xml:space="preserve">Pasangan batu kosong (aanstamping)</t>
  </si>
  <si>
    <t xml:space="preserve">B-06</t>
  </si>
  <si>
    <t xml:space="preserve">U-02</t>
  </si>
  <si>
    <t xml:space="preserve">Pondasi batu kali campuran 1 PC : 5 PS</t>
  </si>
  <si>
    <t xml:space="preserve">B-05</t>
  </si>
  <si>
    <t xml:space="preserve">B-01</t>
  </si>
  <si>
    <t xml:space="preserve">Urugan tanah kembali (galian setempat)</t>
  </si>
  <si>
    <t xml:space="preserve">Urugan tanah peninggi lantai (didatangkan)</t>
  </si>
  <si>
    <t xml:space="preserve">B-15</t>
  </si>
  <si>
    <t xml:space="preserve">Beton K-125 (lantai kerja)</t>
  </si>
  <si>
    <t xml:space="preserve">B-03</t>
  </si>
  <si>
    <t xml:space="preserve">B-04</t>
  </si>
  <si>
    <t xml:space="preserve">B-14</t>
  </si>
  <si>
    <t xml:space="preserve">Beton K-225 (kolom, sloof, balok, ring balk)</t>
  </si>
  <si>
    <t xml:space="preserve">Pembesian dengan besi beton</t>
  </si>
  <si>
    <t xml:space="preserve">kg</t>
  </si>
  <si>
    <t xml:space="preserve">B-08</t>
  </si>
  <si>
    <t xml:space="preserve">B-09</t>
  </si>
  <si>
    <t xml:space="preserve">U-04</t>
  </si>
  <si>
    <t xml:space="preserve">Bekisting kolom (plywood)</t>
  </si>
  <si>
    <t xml:space="preserve">B-12</t>
  </si>
  <si>
    <t xml:space="preserve">Bekisting sloof / balok (papan kayu)</t>
  </si>
  <si>
    <t xml:space="preserve">Pasangan dinding bata merah 1 PC : 4 PS</t>
  </si>
  <si>
    <t xml:space="preserve">B-07</t>
  </si>
  <si>
    <t xml:space="preserve">Plesteran 1 PC : 4 PS tebal 15 mm</t>
  </si>
  <si>
    <t xml:space="preserve">Acian</t>
  </si>
  <si>
    <t xml:space="preserve">Rangka atap baja ringan + penutup spandek</t>
  </si>
  <si>
    <t xml:space="preserve">B-16</t>
  </si>
  <si>
    <t xml:space="preserve">B-17</t>
  </si>
  <si>
    <t xml:space="preserve">U-10</t>
  </si>
  <si>
    <t xml:space="preserve">Nok / bubungan zincalume</t>
  </si>
  <si>
    <t xml:space="preserve">B-18</t>
  </si>
  <si>
    <t xml:space="preserve">Plafon gypsum rangka hollow</t>
  </si>
  <si>
    <t xml:space="preserve">B-19</t>
  </si>
  <si>
    <t xml:space="preserve">B-20</t>
  </si>
  <si>
    <t xml:space="preserve">Lantai keramik 40x40</t>
  </si>
  <si>
    <t xml:space="preserve">B-21</t>
  </si>
  <si>
    <t xml:space="preserve">Dinding keramik 20x25 (KM/WC)</t>
  </si>
  <si>
    <t xml:space="preserve">B-22</t>
  </si>
  <si>
    <t xml:space="preserve">Pintu panel kayu lengkap (kusen, daun, engsel, kunci)</t>
  </si>
  <si>
    <t xml:space="preserve">unit</t>
  </si>
  <si>
    <t xml:space="preserve">B-26</t>
  </si>
  <si>
    <t xml:space="preserve">Jendela aluminium + kaca 5 mm</t>
  </si>
  <si>
    <t xml:space="preserve">B-27</t>
  </si>
  <si>
    <t xml:space="preserve">Pengecatan dinding (plamir, cat dasar, cat penutup)</t>
  </si>
  <si>
    <t xml:space="preserve">B-23</t>
  </si>
  <si>
    <t xml:space="preserve">B-25</t>
  </si>
  <si>
    <t xml:space="preserve">B-24</t>
  </si>
  <si>
    <t xml:space="preserve">U-05</t>
  </si>
  <si>
    <t xml:space="preserve">Pengecatan plafon</t>
  </si>
  <si>
    <t xml:space="preserve">Pasang closet jongkok</t>
  </si>
  <si>
    <t xml:space="preserve">B-28</t>
  </si>
  <si>
    <t xml:space="preserve">U-07</t>
  </si>
  <si>
    <t xml:space="preserve">Pasang kran air</t>
  </si>
  <si>
    <t xml:space="preserve">B-29</t>
  </si>
  <si>
    <t xml:space="preserve">Pipa air bersih PVC 3/4"</t>
  </si>
  <si>
    <t xml:space="preserve">B-30</t>
  </si>
  <si>
    <t xml:space="preserve">Pipa air kotor PVC 4"</t>
  </si>
  <si>
    <t xml:space="preserve">B-31</t>
  </si>
  <si>
    <t xml:space="preserve">Titik lampu (kabel, conduit, saklar, lampu)</t>
  </si>
  <si>
    <t xml:space="preserve">titik</t>
  </si>
  <si>
    <t xml:space="preserve">B-32</t>
  </si>
  <si>
    <t xml:space="preserve">B-36</t>
  </si>
  <si>
    <t xml:space="preserve">B-33</t>
  </si>
  <si>
    <t xml:space="preserve">B-35</t>
  </si>
  <si>
    <t xml:space="preserve">U-06</t>
  </si>
  <si>
    <t xml:space="preserve">Titik stop kontak (kabel, conduit)</t>
  </si>
  <si>
    <t xml:space="preserve">B-34</t>
  </si>
  <si>
    <t xml:space="preserve">Pembersihan akhir lokasi</t>
  </si>
  <si>
    <t xml:space="preserve">DAFTAR HARGA SATUAN BAHAN - KAB. MOROWALI UTARA TA 2026</t>
  </si>
  <si>
    <t xml:space="preserve">Sel biru = harga input. ASUMSI INDIKATIF (bukan data resmi) - ganti dengan harga Perbup HSPK/HSD Kab. Morowali Utara TA 2026 atau survei. Boleh tambah baris (lookup sampai baris 200).</t>
  </si>
  <si>
    <t xml:space="preserve">Semen Portland (PC)</t>
  </si>
  <si>
    <t xml:space="preserve">Pasir pasang</t>
  </si>
  <si>
    <t xml:space="preserve">Pasir beton</t>
  </si>
  <si>
    <t xml:space="preserve">Batu split / kerikil 2/3</t>
  </si>
  <si>
    <t xml:space="preserve">Batu kali belah</t>
  </si>
  <si>
    <t xml:space="preserve">Batu kosong (aanstamping)</t>
  </si>
  <si>
    <t xml:space="preserve">Batu bata merah</t>
  </si>
  <si>
    <t xml:space="preserve">bh</t>
  </si>
  <si>
    <t xml:space="preserve">Besi beton polos/ulir</t>
  </si>
  <si>
    <t xml:space="preserve">Kawat beton (bendrat)</t>
  </si>
  <si>
    <t xml:space="preserve">Kayu kelas II (balok/usuk/kusen)</t>
  </si>
  <si>
    <t xml:space="preserve">Kayu kelas III (papan bekisting/bouwplank)</t>
  </si>
  <si>
    <t xml:space="preserve">Plywood 12 mm</t>
  </si>
  <si>
    <t xml:space="preserve">lembar</t>
  </si>
  <si>
    <t xml:space="preserve">Paku campuran</t>
  </si>
  <si>
    <t xml:space="preserve">Air kerja</t>
  </si>
  <si>
    <t xml:space="preserve">liter</t>
  </si>
  <si>
    <t xml:space="preserve">Tanah urug (didatangkan)</t>
  </si>
  <si>
    <t xml:space="preserve">Rangka atap baja ringan (terpasang kompl. bahan)</t>
  </si>
  <si>
    <t xml:space="preserve">Atap spandek zincalume 0,35 mm</t>
  </si>
  <si>
    <t xml:space="preserve">Plafon gypsum 9 mm (120x240)</t>
  </si>
  <si>
    <t xml:space="preserve">Rangka plafon hollow galvalum</t>
  </si>
  <si>
    <t xml:space="preserve">Keramik lantai 40x40</t>
  </si>
  <si>
    <t xml:space="preserve">Keramik dinding 20x25</t>
  </si>
  <si>
    <t xml:space="preserve">Plamir tembok</t>
  </si>
  <si>
    <t xml:space="preserve">Cat tembok (penutup)</t>
  </si>
  <si>
    <t xml:space="preserve">Cat dasar (sealer)</t>
  </si>
  <si>
    <t xml:space="preserve">Pintu panel kayu kelas II lengkap kusen, engsel, kunci</t>
  </si>
  <si>
    <t xml:space="preserve">Closet jongkok</t>
  </si>
  <si>
    <t xml:space="preserve">Kran air</t>
  </si>
  <si>
    <t xml:space="preserve">Pipa PVC 3/4"</t>
  </si>
  <si>
    <t xml:space="preserve">Pipa PVC 4"</t>
  </si>
  <si>
    <t xml:space="preserve">Kabel NYM 2x1,5 mm²</t>
  </si>
  <si>
    <t xml:space="preserve">Saklar</t>
  </si>
  <si>
    <t xml:space="preserve">Stop kontak</t>
  </si>
  <si>
    <t xml:space="preserve">Lampu LED 12W + fitting</t>
  </si>
  <si>
    <t xml:space="preserve">Pipa conduit</t>
  </si>
  <si>
    <t xml:space="preserve">DAFTAR HARGA SATUAN UPAH TENAGA KERJA - KAB. MOROWALI UTARA TA 2026</t>
  </si>
  <si>
    <t xml:space="preserve">Pekerja</t>
  </si>
  <si>
    <t xml:space="preserve">OH</t>
  </si>
  <si>
    <t xml:space="preserve">Tukang batu</t>
  </si>
  <si>
    <t xml:space="preserve">Tukang kayu</t>
  </si>
  <si>
    <t xml:space="preserve">Tukang besi</t>
  </si>
  <si>
    <t xml:space="preserve">Tukang cat</t>
  </si>
  <si>
    <t xml:space="preserve">Tukang listrik</t>
  </si>
  <si>
    <t xml:space="preserve">Tukang pipa</t>
  </si>
  <si>
    <t xml:space="preserve">Kepala tukang</t>
  </si>
  <si>
    <t xml:space="preserve">Mandor</t>
  </si>
  <si>
    <t xml:space="preserve">Tukang pasang atap / rangka baja ringan</t>
  </si>
  <si>
    <t xml:space="preserve">JADWAL PELAKSANAAN &amp; KURVA S</t>
  </si>
  <si>
    <t xml:space="preserve">Mulai &amp; Selesai (minggu ke-, biru) = input. Bobot mingguan = bobot divisi dibagi rata pada minggu aktif. Bobot dari Rekap RAB.</t>
  </si>
  <si>
    <t xml:space="preserve">Mulai (Mgg)</t>
  </si>
  <si>
    <t xml:space="preserve">Selesai (Mgg)</t>
  </si>
  <si>
    <t xml:space="preserve">Durasi (Mgg)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</si>
  <si>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</si>
  <si>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</si>
  <si>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</si>
  <si>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</si>
  <si>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</si>
  <si>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</si>
  <si>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</si>
  <si>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</si>
  <si>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</si>
  <si>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</si>
  <si>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</si>
  <si>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</si>
  <si>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</si>
  <si>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</si>
  <si>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</si>
  <si>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</si>
  <si>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</si>
  <si>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</si>
  <si>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</si>
  <si>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</si>
  <si>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</si>
  <si>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</si>
  <si>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</si>
  <si>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</si>
  <si>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RENCANA PROGRES MINGGUAN</t>
  </si>
  <si>
    <t xml:space="preserve">RENCANA PROGRES KUMULATIF (KURVA S)</t>
  </si>
  <si>
    <t xml:space="preserve">Cek: kumulatif akhir harus 100%</t>
  </si>
  <si>
    <t xml:space="preserve">Tanggal akhir minggu (rencana)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</si>
</sst>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.00"/>
    <numFmt numFmtId="167" formatCode="#,##0"/>
    <numFmt numFmtId="168" formatCode="0.0%"/>
    <numFmt numFmtId="169" formatCode="dd\-mmm\-yyyy"/>
    <numFmt numFmtId="170" formatCode="#,##0;\(#,##0\);\-"/>
    <numFmt numFmtId="171" formatCode="0.00%"/>
    <numFmt numFmtId="172" formatCode="0.0000"/>
    <numFmt numFmtId="173" formatCode="0.00%;;;"/>
    <numFmt numFmtId="174" formatCode="dd\-mmm"/>
    <numFmt numFmtId="17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9DC3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Kurva S - Rencana Kumulatif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Schedule!$G$4:$AD$4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Schedule!$G$17:$AD$17</c:f>
              <c:numCache>
                <c:formatCode>0.0%</c:formatCode>
                <c:ptCount val="24"/>
                <c:pt idx="0">
                  <c:v>0.0295458689225602</c:v>
                </c:pt>
                <c:pt idx="1">
                  <c:v>0.0859982472628334</c:v>
                </c:pt>
                <c:pt idx="2">
                  <c:v>0.112904756680546</c:v>
                </c:pt>
                <c:pt idx="3">
                  <c:v>0.168431164195235</c:v>
                </c:pt>
                <c:pt idx="4">
                  <c:v>0.223957571709924</c:v>
                </c:pt>
                <c:pt idx="5">
                  <c:v>0.2525774698069</c:v>
                </c:pt>
                <c:pt idx="6">
                  <c:v>0.281197367903877</c:v>
                </c:pt>
                <c:pt idx="7">
                  <c:v>0.309817266000853</c:v>
                </c:pt>
                <c:pt idx="8">
                  <c:v>0.370172200820835</c:v>
                </c:pt>
                <c:pt idx="9">
                  <c:v>0.430527135640818</c:v>
                </c:pt>
                <c:pt idx="10">
                  <c:v>0.462262172363825</c:v>
                </c:pt>
                <c:pt idx="11">
                  <c:v>0.521957403973092</c:v>
                </c:pt>
                <c:pt idx="12">
                  <c:v>0.593561202374355</c:v>
                </c:pt>
                <c:pt idx="13">
                  <c:v>0.670961815122747</c:v>
                </c:pt>
                <c:pt idx="14">
                  <c:v>0.737996817190312</c:v>
                </c:pt>
                <c:pt idx="15">
                  <c:v>0.805031819257877</c:v>
                </c:pt>
                <c:pt idx="16">
                  <c:v>0.879863500080887</c:v>
                </c:pt>
                <c:pt idx="17">
                  <c:v>0.942786614111903</c:v>
                </c:pt>
                <c:pt idx="18">
                  <c:v>0.977749533256657</c:v>
                </c:pt>
                <c:pt idx="19">
                  <c:v>0.990033794957012</c:v>
                </c:pt>
                <c:pt idx="20">
                  <c:v>0.998915236856228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77301"/>
        <c:axId val="61657193"/>
      </c:lineChart>
      <c:catAx>
        <c:axId val="19477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Minggu ke-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57193"/>
        <c:crosses val="autoZero"/>
        <c:auto val="1"/>
        <c:lblAlgn val="ctr"/>
        <c:lblOffset val="100"/>
        <c:noMultiLvlLbl val="0"/>
      </c:catAx>
      <c:valAx>
        <c:axId val="6165719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Progres kumulatif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7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48600</xdr:rowOff>
    </xdr:from>
    <xdr:to>
      <xdr:col>13</xdr:col>
      <xdr:colOff>229680</xdr:colOff>
      <xdr:row>37</xdr:row>
      <xdr:rowOff>49680</xdr:rowOff>
    </xdr:to>
    <xdr:graphicFrame>
      <xdr:nvGraphicFramePr>
        <xdr:cNvPr id="0" name="Chart 1"/>
        <xdr:cNvGraphicFramePr/>
      </xdr:nvGraphicFramePr>
      <xdr:xfrm>
        <a:off x="423000" y="4000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11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5" t="n">
        <v>2026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6" t="s">
        <v>19</v>
      </c>
    </row>
    <row r="14" customFormat="false" ht="15" hidden="false" customHeight="false" outlineLevel="0" collapsed="false">
      <c r="A14" s="3" t="s">
        <v>20</v>
      </c>
      <c r="B14" s="7" t="n">
        <v>120</v>
      </c>
    </row>
    <row r="15" customFormat="false" ht="15" hidden="false" customHeight="false" outlineLevel="0" collapsed="false">
      <c r="A15" s="3" t="s">
        <v>21</v>
      </c>
      <c r="B15" s="8" t="n">
        <v>150</v>
      </c>
    </row>
    <row r="16" customFormat="false" ht="15" hidden="false" customHeight="false" outlineLevel="0" collapsed="false">
      <c r="A16" s="3" t="s">
        <v>22</v>
      </c>
      <c r="B16" s="9" t="n">
        <f aca="false">CEILING(B15/7,1)</f>
        <v>22</v>
      </c>
    </row>
    <row r="17" customFormat="false" ht="15" hidden="false" customHeight="false" outlineLevel="0" collapsed="false">
      <c r="A17" s="3" t="s">
        <v>23</v>
      </c>
      <c r="B17" s="10" t="n">
        <v>0.15</v>
      </c>
    </row>
    <row r="18" customFormat="false" ht="15" hidden="false" customHeight="false" outlineLevel="0" collapsed="false">
      <c r="A18" s="3" t="s">
        <v>24</v>
      </c>
      <c r="B18" s="10" t="n">
        <v>0.11</v>
      </c>
    </row>
    <row r="19" customFormat="false" ht="15" hidden="false" customHeight="false" outlineLevel="0" collapsed="false">
      <c r="A19" s="3" t="s">
        <v>25</v>
      </c>
      <c r="B19" s="8" t="n">
        <v>1000</v>
      </c>
    </row>
    <row r="20" customFormat="false" ht="15" hidden="false" customHeight="false" outlineLevel="0" collapsed="false">
      <c r="A20" s="3" t="s">
        <v>26</v>
      </c>
      <c r="B20" s="11" t="n">
        <v>46027</v>
      </c>
    </row>
    <row r="21" customFormat="false" ht="15" hidden="false" customHeight="false" outlineLevel="0" collapsed="false">
      <c r="A21" s="3" t="s">
        <v>27</v>
      </c>
      <c r="B21" s="4" t="s">
        <v>28</v>
      </c>
    </row>
    <row r="24" customFormat="false" ht="15" hidden="false" customHeight="false" outlineLevel="0" collapsed="false">
      <c r="A24" s="12" t="s">
        <v>29</v>
      </c>
    </row>
    <row r="25" customFormat="false" ht="37.5" hidden="false" customHeight="true" outlineLevel="0" collapsed="false">
      <c r="A25" s="13" t="s">
        <v>30</v>
      </c>
      <c r="B25" s="13"/>
    </row>
    <row r="26" customFormat="false" ht="37.5" hidden="false" customHeight="true" outlineLevel="0" collapsed="false">
      <c r="A26" s="13" t="s">
        <v>31</v>
      </c>
      <c r="B26" s="13"/>
    </row>
    <row r="27" customFormat="false" ht="37.5" hidden="false" customHeight="true" outlineLevel="0" collapsed="false">
      <c r="A27" s="13" t="s">
        <v>32</v>
      </c>
      <c r="B27" s="13"/>
    </row>
    <row r="28" customFormat="false" ht="37.5" hidden="false" customHeight="true" outlineLevel="0" collapsed="false">
      <c r="A28" s="13" t="s">
        <v>33</v>
      </c>
      <c r="B28" s="13"/>
    </row>
    <row r="29" customFormat="false" ht="37.5" hidden="false" customHeight="true" outlineLevel="0" collapsed="false">
      <c r="A29" s="13" t="s">
        <v>34</v>
      </c>
      <c r="B29" s="13"/>
    </row>
    <row r="30" customFormat="false" ht="37.5" hidden="false" customHeight="true" outlineLevel="0" collapsed="false">
      <c r="A30" s="13" t="s">
        <v>35</v>
      </c>
      <c r="B30" s="13"/>
    </row>
  </sheetData>
  <mergeCells count="6"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2" t="str">
        <f aca="false">"Pekerjaan: "&amp;'Informasi Project'!B4</f>
        <v>Pekerjaan: Pembangunan Gedung Kantor 1 Lantai (CONTOH - sesuaikan dengan gambar)</v>
      </c>
    </row>
    <row r="3" customFormat="false" ht="15" hidden="false" customHeight="false" outlineLevel="0" collapsed="false">
      <c r="A3" s="12" t="str">
        <f aca="false">"Lokasi: "&amp;'Informasi Project'!B5</f>
        <v>Lokasi: Kabupaten Morowali Utara, Provinsi Sulawesi Tengah</v>
      </c>
    </row>
    <row r="4" customFormat="false" ht="15" hidden="false" customHeight="false" outlineLevel="0" collapsed="false">
      <c r="A4" s="12" t="str">
        <f aca="false">"Tahun Anggaran: "&amp;'Informasi Project'!B11</f>
        <v>Tahun Anggaran: 2026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4" t="s">
        <v>39</v>
      </c>
      <c r="D6" s="14" t="s">
        <v>40</v>
      </c>
    </row>
    <row r="7" customFormat="false" ht="15" hidden="false" customHeight="false" outlineLevel="0" collapsed="false">
      <c r="A7" s="15" t="s">
        <v>41</v>
      </c>
      <c r="B7" s="16" t="s">
        <v>42</v>
      </c>
      <c r="C7" s="17" t="n">
        <f aca="false">RAB!G15</f>
        <v>37880933.5</v>
      </c>
      <c r="D7" s="18" t="n">
        <f aca="false">IF($C$18=0,0,C7/$C$18)</f>
        <v>0.0590917378451205</v>
      </c>
    </row>
    <row r="8" customFormat="false" ht="15" hidden="false" customHeight="false" outlineLevel="0" collapsed="false">
      <c r="A8" s="15" t="s">
        <v>43</v>
      </c>
      <c r="B8" s="16" t="s">
        <v>44</v>
      </c>
      <c r="C8" s="17" t="n">
        <f aca="false">RAB!G25</f>
        <v>68993990.1</v>
      </c>
      <c r="D8" s="18" t="n">
        <f aca="false">IF($C$18=0,0,C8/$C$18)</f>
        <v>0.107626037670852</v>
      </c>
    </row>
    <row r="9" customFormat="false" ht="15" hidden="false" customHeight="false" outlineLevel="0" collapsed="false">
      <c r="A9" s="15" t="s">
        <v>45</v>
      </c>
      <c r="B9" s="16" t="s">
        <v>46</v>
      </c>
      <c r="C9" s="17" t="n">
        <f aca="false">RAB!G33</f>
        <v>128428092.875</v>
      </c>
      <c r="D9" s="18" t="n">
        <f aca="false">IF($C$18=0,0,C9/$C$18)</f>
        <v>0.200339286678832</v>
      </c>
    </row>
    <row r="10" customFormat="false" ht="15" hidden="false" customHeight="false" outlineLevel="0" collapsed="false">
      <c r="A10" s="15" t="s">
        <v>47</v>
      </c>
      <c r="B10" s="16" t="s">
        <v>48</v>
      </c>
      <c r="C10" s="17" t="n">
        <f aca="false">RAB!G39</f>
        <v>122063035.5</v>
      </c>
      <c r="D10" s="18" t="n">
        <f aca="false">IF($C$18=0,0,C10/$C$18)</f>
        <v>0.19041022033804</v>
      </c>
    </row>
    <row r="11" customFormat="false" ht="15" hidden="false" customHeight="false" outlineLevel="0" collapsed="false">
      <c r="A11" s="15" t="s">
        <v>49</v>
      </c>
      <c r="B11" s="16" t="s">
        <v>50</v>
      </c>
      <c r="C11" s="17" t="n">
        <f aca="false">RAB!G45</f>
        <v>125467760</v>
      </c>
      <c r="D11" s="18" t="n">
        <f aca="false">IF($C$18=0,0,C11/$C$18)</f>
        <v>0.195721364203828</v>
      </c>
    </row>
    <row r="12" customFormat="false" ht="15" hidden="false" customHeight="false" outlineLevel="0" collapsed="false">
      <c r="A12" s="15" t="s">
        <v>51</v>
      </c>
      <c r="B12" s="16" t="s">
        <v>52</v>
      </c>
      <c r="C12" s="17" t="n">
        <f aca="false">RAB!G50</f>
        <v>54110777.5</v>
      </c>
      <c r="D12" s="18" t="n">
        <f aca="false">IF($C$18=0,0,C12/$C$18)</f>
        <v>0.0844092154863513</v>
      </c>
    </row>
    <row r="13" customFormat="false" ht="15" hidden="false" customHeight="false" outlineLevel="0" collapsed="false">
      <c r="A13" s="15" t="s">
        <v>53</v>
      </c>
      <c r="B13" s="16" t="s">
        <v>54</v>
      </c>
      <c r="C13" s="17" t="n">
        <f aca="false">RAB!G55</f>
        <v>38170110</v>
      </c>
      <c r="D13" s="18" t="n">
        <f aca="false">IF($C$18=0,0,C13/$C$18)</f>
        <v>0.0595428339599765</v>
      </c>
    </row>
    <row r="14" customFormat="false" ht="15" hidden="false" customHeight="false" outlineLevel="0" collapsed="false">
      <c r="A14" s="15" t="s">
        <v>55</v>
      </c>
      <c r="B14" s="16" t="s">
        <v>56</v>
      </c>
      <c r="C14" s="17" t="n">
        <f aca="false">RAB!G60</f>
        <v>24990420</v>
      </c>
      <c r="D14" s="18" t="n">
        <f aca="false">IF($C$18=0,0,C14/$C$18)</f>
        <v>0.0389833937772271</v>
      </c>
    </row>
    <row r="15" customFormat="false" ht="15" hidden="false" customHeight="false" outlineLevel="0" collapsed="false">
      <c r="A15" s="15" t="s">
        <v>57</v>
      </c>
      <c r="B15" s="16" t="s">
        <v>58</v>
      </c>
      <c r="C15" s="17" t="n">
        <f aca="false">RAB!G68</f>
        <v>22296390</v>
      </c>
      <c r="D15" s="18" t="n">
        <f aca="false">IF($C$18=0,0,C15/$C$18)</f>
        <v>0.0347808860827721</v>
      </c>
    </row>
    <row r="16" customFormat="false" ht="15" hidden="false" customHeight="false" outlineLevel="0" collapsed="false">
      <c r="A16" s="15" t="s">
        <v>59</v>
      </c>
      <c r="B16" s="16" t="s">
        <v>60</v>
      </c>
      <c r="C16" s="17" t="n">
        <f aca="false">RAB!G74</f>
        <v>17260670</v>
      </c>
      <c r="D16" s="18" t="n">
        <f aca="false">IF($C$18=0,0,C16/$C$18)</f>
        <v>0.0269254976694578</v>
      </c>
    </row>
    <row r="17" customFormat="false" ht="15" hidden="false" customHeight="false" outlineLevel="0" collapsed="false">
      <c r="A17" s="15" t="s">
        <v>61</v>
      </c>
      <c r="B17" s="16" t="s">
        <v>62</v>
      </c>
      <c r="C17" s="17" t="n">
        <f aca="false">RAB!G78</f>
        <v>1390781.25</v>
      </c>
      <c r="D17" s="18" t="n">
        <f aca="false">IF($C$18=0,0,C17/$C$18)</f>
        <v>0.00216952628754275</v>
      </c>
    </row>
    <row r="18" customFormat="false" ht="15" hidden="false" customHeight="false" outlineLevel="0" collapsed="false">
      <c r="A18" s="19"/>
      <c r="B18" s="3" t="s">
        <v>63</v>
      </c>
      <c r="C18" s="20" t="n">
        <f aca="false">SUM(C7:C17)</f>
        <v>641052960.725</v>
      </c>
      <c r="D18" s="21" t="n">
        <f aca="false">SUM(D7:D17)</f>
        <v>1</v>
      </c>
    </row>
    <row r="19" customFormat="false" ht="15" hidden="false" customHeight="false" outlineLevel="0" collapsed="false">
      <c r="A19" s="19"/>
      <c r="B19" s="3" t="s">
        <v>64</v>
      </c>
      <c r="C19" s="20" t="n">
        <f aca="false">C18*'Informasi Project'!$B$18</f>
        <v>70515825.67975</v>
      </c>
      <c r="D19" s="19"/>
    </row>
    <row r="20" customFormat="false" ht="15" hidden="false" customHeight="false" outlineLevel="0" collapsed="false">
      <c r="A20" s="19"/>
      <c r="B20" s="3" t="s">
        <v>65</v>
      </c>
      <c r="C20" s="20" t="n">
        <f aca="false">C18+C19</f>
        <v>711568786.40475</v>
      </c>
      <c r="D20" s="19"/>
    </row>
    <row r="21" customFormat="false" ht="15" hidden="false" customHeight="false" outlineLevel="0" collapsed="false">
      <c r="A21" s="19"/>
      <c r="B21" s="3" t="s">
        <v>66</v>
      </c>
      <c r="C21" s="20" t="n">
        <f aca="false">IF('Informasi Project'!$B$19&gt;0,CEILING(C20,'Informasi Project'!$B$19),C20)</f>
        <v>711569000</v>
      </c>
      <c r="D21" s="19"/>
    </row>
    <row r="22" customFormat="false" ht="15" hidden="false" customHeight="false" outlineLevel="0" collapsed="false">
      <c r="A22" s="19"/>
      <c r="B22" s="3" t="s">
        <v>67</v>
      </c>
      <c r="C22" s="20" t="n">
        <f aca="false">IF('Informasi Project'!$B$14&gt;0,C21/'Informasi Project'!$B$14,0)</f>
        <v>5929741.66666667</v>
      </c>
      <c r="D22" s="19"/>
    </row>
    <row r="25" customFormat="false" ht="15" hidden="false" customHeight="false" outlineLevel="0" collapsed="false">
      <c r="B25" s="22" t="s">
        <v>68</v>
      </c>
      <c r="C25" s="22" t="s">
        <v>69</v>
      </c>
    </row>
    <row r="29" customFormat="false" ht="15" hidden="false" customHeight="false" outlineLevel="0" collapsed="false">
      <c r="B29" s="22" t="s">
        <v>70</v>
      </c>
      <c r="C29" s="2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12" t="str">
        <f aca="false">"Pekerjaan: "&amp;'Informasi Project'!B4</f>
        <v>Pekerjaan: Pembangunan Gedung Kantor 1 Lantai (CONTOH - sesuaikan dengan gambar)</v>
      </c>
    </row>
    <row r="3" customFormat="false" ht="15" hidden="false" customHeight="false" outlineLevel="0" collapsed="false">
      <c r="A3" s="22" t="str">
        <f aca="false">"Lokasi: "&amp;'Informasi Project'!B5</f>
        <v>Lokasi: Kabupaten Morowali Utara, Provinsi Sulawesi Tengah</v>
      </c>
    </row>
    <row r="4" customFormat="false" ht="15" hidden="false" customHeight="false" outlineLevel="0" collapsed="false">
      <c r="A4" s="2" t="s">
        <v>72</v>
      </c>
    </row>
    <row r="6" customFormat="false" ht="15" hidden="false" customHeight="false" outlineLevel="0" collapsed="false">
      <c r="A6" s="14" t="s">
        <v>37</v>
      </c>
      <c r="B6" s="14" t="s">
        <v>38</v>
      </c>
      <c r="C6" s="14" t="s">
        <v>73</v>
      </c>
      <c r="D6" s="14" t="s">
        <v>74</v>
      </c>
      <c r="E6" s="14" t="s">
        <v>75</v>
      </c>
      <c r="F6" s="14" t="s">
        <v>76</v>
      </c>
      <c r="G6" s="14" t="s">
        <v>39</v>
      </c>
      <c r="H6" s="14" t="s">
        <v>77</v>
      </c>
    </row>
    <row r="7" customFormat="false" ht="15" hidden="false" customHeight="false" outlineLevel="0" collapsed="false">
      <c r="A7" s="3" t="s">
        <v>41</v>
      </c>
      <c r="B7" s="3" t="s">
        <v>42</v>
      </c>
      <c r="C7" s="19"/>
      <c r="D7" s="19"/>
      <c r="E7" s="19"/>
      <c r="F7" s="19"/>
      <c r="G7" s="19"/>
      <c r="H7" s="19"/>
    </row>
    <row r="8" customFormat="false" ht="15" hidden="false" customHeight="false" outlineLevel="0" collapsed="false">
      <c r="A8" s="23" t="n">
        <v>1</v>
      </c>
      <c r="B8" s="24" t="s">
        <v>78</v>
      </c>
      <c r="C8" s="23" t="s">
        <v>79</v>
      </c>
      <c r="D8" s="23" t="s">
        <v>80</v>
      </c>
      <c r="E8" s="25" t="n">
        <v>1</v>
      </c>
      <c r="F8" s="26" t="n">
        <v>7500000</v>
      </c>
      <c r="G8" s="27" t="n">
        <f aca="false">E8*F8</f>
        <v>7500000</v>
      </c>
      <c r="H8" s="28" t="s">
        <v>81</v>
      </c>
    </row>
    <row r="9" customFormat="false" ht="15" hidden="false" customHeight="false" outlineLevel="0" collapsed="false">
      <c r="A9" s="23" t="n">
        <v>2</v>
      </c>
      <c r="B9" s="24" t="s">
        <v>82</v>
      </c>
      <c r="C9" s="23" t="s">
        <v>79</v>
      </c>
      <c r="D9" s="23" t="s">
        <v>80</v>
      </c>
      <c r="E9" s="25" t="n">
        <v>1</v>
      </c>
      <c r="F9" s="26" t="n">
        <v>9000000</v>
      </c>
      <c r="G9" s="27" t="n">
        <f aca="false">E9*F9</f>
        <v>9000000</v>
      </c>
      <c r="H9" s="28" t="s">
        <v>83</v>
      </c>
    </row>
    <row r="10" customFormat="false" ht="15" hidden="false" customHeight="false" outlineLevel="0" collapsed="false">
      <c r="A10" s="23" t="n">
        <v>3</v>
      </c>
      <c r="B10" s="24" t="s">
        <v>84</v>
      </c>
      <c r="C10" s="23" t="s">
        <v>79</v>
      </c>
      <c r="D10" s="23" t="s">
        <v>80</v>
      </c>
      <c r="E10" s="25" t="n">
        <v>1</v>
      </c>
      <c r="F10" s="26" t="n">
        <v>750000</v>
      </c>
      <c r="G10" s="27" t="n">
        <f aca="false">E10*F10</f>
        <v>750000</v>
      </c>
      <c r="H10" s="28" t="s">
        <v>83</v>
      </c>
    </row>
    <row r="11" customFormat="false" ht="15" hidden="false" customHeight="false" outlineLevel="0" collapsed="false">
      <c r="A11" s="23" t="n">
        <v>4</v>
      </c>
      <c r="B11" s="24" t="s">
        <v>85</v>
      </c>
      <c r="C11" s="23" t="s">
        <v>79</v>
      </c>
      <c r="D11" s="23" t="s">
        <v>80</v>
      </c>
      <c r="E11" s="25" t="n">
        <v>1</v>
      </c>
      <c r="F11" s="26" t="n">
        <v>6500000</v>
      </c>
      <c r="G11" s="27" t="n">
        <f aca="false">E11*F11</f>
        <v>6500000</v>
      </c>
      <c r="H11" s="28" t="s">
        <v>86</v>
      </c>
    </row>
    <row r="12" customFormat="false" ht="15" hidden="false" customHeight="false" outlineLevel="0" collapsed="false">
      <c r="A12" s="23" t="n">
        <v>5</v>
      </c>
      <c r="B12" s="24" t="s">
        <v>87</v>
      </c>
      <c r="C12" s="23" t="s">
        <v>79</v>
      </c>
      <c r="D12" s="23" t="s">
        <v>80</v>
      </c>
      <c r="E12" s="25" t="n">
        <v>1</v>
      </c>
      <c r="F12" s="26" t="n">
        <v>3500000</v>
      </c>
      <c r="G12" s="27" t="n">
        <f aca="false">E12*F12</f>
        <v>3500000</v>
      </c>
      <c r="H12" s="28" t="s">
        <v>83</v>
      </c>
    </row>
    <row r="13" customFormat="false" ht="15" hidden="false" customHeight="false" outlineLevel="0" collapsed="false">
      <c r="A13" s="23" t="n">
        <v>6</v>
      </c>
      <c r="B13" s="29" t="str">
        <f aca="false">INDEX('Analisa Harga Satuan'!$B$5:$B$372,MATCH(C13,'Analisa Harga Satuan'!$A$5:$A$372,0))</f>
        <v>Pembersihan lahan &amp; perataan</v>
      </c>
      <c r="C13" s="30" t="s">
        <v>88</v>
      </c>
      <c r="D13" s="31" t="str">
        <f aca="false">INDEX('Analisa Harga Satuan'!$C$5:$C$372,MATCH(C13,'Analisa Harga Satuan'!$A$5:$A$372,0))</f>
        <v>m²</v>
      </c>
      <c r="E13" s="25" t="n">
        <v>220</v>
      </c>
      <c r="F13" s="17" t="n">
        <f aca="false">INDEX('Analisa Harga Satuan'!$F$5:$F$372,MATCH(C13,'Analisa Harga Satuan'!$A$5:$A$372,0))</f>
        <v>9271.875</v>
      </c>
      <c r="G13" s="27" t="n">
        <f aca="false">E13*F13</f>
        <v>2039812.5</v>
      </c>
      <c r="H13" s="28" t="s">
        <v>89</v>
      </c>
    </row>
    <row r="14" customFormat="false" ht="15" hidden="false" customHeight="false" outlineLevel="0" collapsed="false">
      <c r="A14" s="23" t="n">
        <v>7</v>
      </c>
      <c r="B14" s="29" t="str">
        <f aca="false">INDEX('Analisa Harga Satuan'!$B$5:$B$372,MATCH(C14,'Analisa Harga Satuan'!$A$5:$A$372,0))</f>
        <v>Pengukuran &amp; pemasangan bouwplank</v>
      </c>
      <c r="C14" s="30" t="s">
        <v>90</v>
      </c>
      <c r="D14" s="31" t="str">
        <f aca="false">INDEX('Analisa Harga Satuan'!$C$5:$C$372,MATCH(C14,'Analisa Harga Satuan'!$A$5:$A$372,0))</f>
        <v>m'</v>
      </c>
      <c r="E14" s="25" t="n">
        <v>44</v>
      </c>
      <c r="F14" s="17" t="n">
        <f aca="false">INDEX('Analisa Harga Satuan'!$F$5:$F$372,MATCH(C14,'Analisa Harga Satuan'!$A$5:$A$372,0))</f>
        <v>195252.75</v>
      </c>
      <c r="G14" s="27" t="n">
        <f aca="false">E14*F14</f>
        <v>8591121</v>
      </c>
      <c r="H14" s="28" t="s">
        <v>91</v>
      </c>
    </row>
    <row r="15" customFormat="false" ht="15" hidden="false" customHeight="false" outlineLevel="0" collapsed="false">
      <c r="A15" s="32"/>
      <c r="B15" s="33" t="s">
        <v>92</v>
      </c>
      <c r="C15" s="32"/>
      <c r="D15" s="32"/>
      <c r="E15" s="32"/>
      <c r="F15" s="32"/>
      <c r="G15" s="34" t="n">
        <f aca="false">SUM(G8:G14)</f>
        <v>37880933.5</v>
      </c>
      <c r="H15" s="32"/>
    </row>
    <row r="17" customFormat="false" ht="15" hidden="false" customHeight="false" outlineLevel="0" collapsed="false">
      <c r="A17" s="3" t="s">
        <v>43</v>
      </c>
      <c r="B17" s="3" t="s">
        <v>44</v>
      </c>
      <c r="C17" s="19"/>
      <c r="D17" s="19"/>
      <c r="E17" s="19"/>
      <c r="F17" s="19"/>
      <c r="G17" s="19"/>
      <c r="H17" s="19"/>
    </row>
    <row r="18" customFormat="false" ht="15" hidden="false" customHeight="false" outlineLevel="0" collapsed="false">
      <c r="A18" s="23" t="n">
        <v>1</v>
      </c>
      <c r="B18" s="29" t="str">
        <f aca="false">INDEX('Analisa Harga Satuan'!$B$5:$B$372,MATCH(C18,'Analisa Harga Satuan'!$A$5:$A$372,0))</f>
        <v>Galian tanah biasa kedalaman s.d. 1 m</v>
      </c>
      <c r="C18" s="30" t="s">
        <v>93</v>
      </c>
      <c r="D18" s="31" t="str">
        <f aca="false">INDEX('Analisa Harga Satuan'!$C$5:$C$372,MATCH(C18,'Analisa Harga Satuan'!$A$5:$A$372,0))</f>
        <v>m³</v>
      </c>
      <c r="E18" s="25" t="n">
        <v>38.4</v>
      </c>
      <c r="F18" s="17" t="n">
        <f aca="false">INDEX('Analisa Harga Satuan'!$F$5:$F$372,MATCH(C18,'Analisa Harga Satuan'!$A$5:$A$372,0))</f>
        <v>135843.75</v>
      </c>
      <c r="G18" s="27" t="n">
        <f aca="false">E18*F18</f>
        <v>5216400</v>
      </c>
      <c r="H18" s="28" t="s">
        <v>94</v>
      </c>
    </row>
    <row r="19" customFormat="false" ht="15" hidden="false" customHeight="false" outlineLevel="0" collapsed="false">
      <c r="A19" s="23" t="n">
        <v>2</v>
      </c>
      <c r="B19" s="29" t="str">
        <f aca="false">INDEX('Analisa Harga Satuan'!$B$5:$B$372,MATCH(C19,'Analisa Harga Satuan'!$A$5:$A$372,0))</f>
        <v>Urugan pasir bawah pondasi / lantai</v>
      </c>
      <c r="C19" s="30" t="s">
        <v>95</v>
      </c>
      <c r="D19" s="31" t="str">
        <f aca="false">INDEX('Analisa Harga Satuan'!$C$5:$C$372,MATCH(C19,'Analisa Harga Satuan'!$A$5:$A$372,0))</f>
        <v>m³</v>
      </c>
      <c r="E19" s="25" t="n">
        <v>4.8</v>
      </c>
      <c r="F19" s="17" t="n">
        <f aca="false">INDEX('Analisa Harga Satuan'!$F$5:$F$372,MATCH(C19,'Analisa Harga Satuan'!$A$5:$A$372,0))</f>
        <v>468337.5</v>
      </c>
      <c r="G19" s="27" t="n">
        <f aca="false">E19*F19</f>
        <v>2248020</v>
      </c>
      <c r="H19" s="28" t="s">
        <v>96</v>
      </c>
    </row>
    <row r="20" customFormat="false" ht="15" hidden="false" customHeight="false" outlineLevel="0" collapsed="false">
      <c r="A20" s="23" t="n">
        <v>3</v>
      </c>
      <c r="B20" s="29" t="str">
        <f aca="false">INDEX('Analisa Harga Satuan'!$B$5:$B$372,MATCH(C20,'Analisa Harga Satuan'!$A$5:$A$372,0))</f>
        <v>Pasangan batu kosong (aanstamping)</v>
      </c>
      <c r="C20" s="30" t="s">
        <v>97</v>
      </c>
      <c r="D20" s="31" t="str">
        <f aca="false">INDEX('Analisa Harga Satuan'!$C$5:$C$372,MATCH(C20,'Analisa Harga Satuan'!$A$5:$A$372,0))</f>
        <v>m³</v>
      </c>
      <c r="E20" s="25" t="n">
        <v>9.6</v>
      </c>
      <c r="F20" s="17" t="n">
        <f aca="false">INDEX('Analisa Harga Satuan'!$F$5:$F$372,MATCH(C20,'Analisa Harga Satuan'!$A$5:$A$372,0))</f>
        <v>843714.75</v>
      </c>
      <c r="G20" s="27" t="n">
        <f aca="false">E20*F20</f>
        <v>8099661.6</v>
      </c>
      <c r="H20" s="28" t="s">
        <v>98</v>
      </c>
    </row>
    <row r="21" customFormat="false" ht="15" hidden="false" customHeight="false" outlineLevel="0" collapsed="false">
      <c r="A21" s="23" t="n">
        <v>4</v>
      </c>
      <c r="B21" s="29" t="str">
        <f aca="false">INDEX('Analisa Harga Satuan'!$B$5:$B$372,MATCH(C21,'Analisa Harga Satuan'!$A$5:$A$372,0))</f>
        <v>Pondasi batu kali campuran 1 PC : 5 PS</v>
      </c>
      <c r="C21" s="30" t="s">
        <v>99</v>
      </c>
      <c r="D21" s="31" t="str">
        <f aca="false">INDEX('Analisa Harga Satuan'!$C$5:$C$372,MATCH(C21,'Analisa Harga Satuan'!$A$5:$A$372,0))</f>
        <v>m³</v>
      </c>
      <c r="E21" s="25" t="n">
        <v>25.2</v>
      </c>
      <c r="F21" s="17" t="n">
        <f aca="false">INDEX('Analisa Harga Satuan'!$F$5:$F$372,MATCH(C21,'Analisa Harga Satuan'!$A$5:$A$372,0))</f>
        <v>1478698.75</v>
      </c>
      <c r="G21" s="27" t="n">
        <f aca="false">E21*F21</f>
        <v>37263208.5</v>
      </c>
      <c r="H21" s="28" t="s">
        <v>100</v>
      </c>
    </row>
    <row r="22" customFormat="false" ht="15" hidden="false" customHeight="false" outlineLevel="0" collapsed="false">
      <c r="A22" s="23" t="n">
        <v>5</v>
      </c>
      <c r="B22" s="29" t="str">
        <f aca="false">INDEX('Analisa Harga Satuan'!$B$5:$B$372,MATCH(C22,'Analisa Harga Satuan'!$A$5:$A$372,0))</f>
        <v>Urugan tanah kembali (galian setempat)</v>
      </c>
      <c r="C22" s="30" t="s">
        <v>101</v>
      </c>
      <c r="D22" s="31" t="str">
        <f aca="false">INDEX('Analisa Harga Satuan'!$C$5:$C$372,MATCH(C22,'Analisa Harga Satuan'!$A$5:$A$372,0))</f>
        <v>m³</v>
      </c>
      <c r="E22" s="25" t="n">
        <v>12</v>
      </c>
      <c r="F22" s="17" t="n">
        <f aca="false">INDEX('Analisa Harga Satuan'!$F$5:$F$372,MATCH(C22,'Analisa Harga Satuan'!$A$5:$A$372,0))</f>
        <v>54337.5</v>
      </c>
      <c r="G22" s="27" t="n">
        <f aca="false">E22*F22</f>
        <v>652050</v>
      </c>
      <c r="H22" s="28" t="s">
        <v>102</v>
      </c>
    </row>
    <row r="23" customFormat="false" ht="15" hidden="false" customHeight="false" outlineLevel="0" collapsed="false">
      <c r="A23" s="23" t="n">
        <v>6</v>
      </c>
      <c r="B23" s="29" t="str">
        <f aca="false">INDEX('Analisa Harga Satuan'!$B$5:$B$372,MATCH(C23,'Analisa Harga Satuan'!$A$5:$A$372,0))</f>
        <v>Urugan tanah peninggi lantai (didatangkan)</v>
      </c>
      <c r="C23" s="30" t="s">
        <v>103</v>
      </c>
      <c r="D23" s="31" t="str">
        <f aca="false">INDEX('Analisa Harga Satuan'!$C$5:$C$372,MATCH(C23,'Analisa Harga Satuan'!$A$5:$A$372,0))</f>
        <v>m³</v>
      </c>
      <c r="E23" s="25" t="n">
        <v>48</v>
      </c>
      <c r="F23" s="17" t="n">
        <f aca="false">INDEX('Analisa Harga Satuan'!$F$5:$F$372,MATCH(C23,'Analisa Harga Satuan'!$A$5:$A$372,0))</f>
        <v>206137.5</v>
      </c>
      <c r="G23" s="27" t="n">
        <f aca="false">E23*F23</f>
        <v>9894600</v>
      </c>
      <c r="H23" s="28" t="s">
        <v>104</v>
      </c>
    </row>
    <row r="24" customFormat="false" ht="15" hidden="false" customHeight="false" outlineLevel="0" collapsed="false">
      <c r="A24" s="23" t="n">
        <v>7</v>
      </c>
      <c r="B24" s="29" t="str">
        <f aca="false">INDEX('Analisa Harga Satuan'!$B$5:$B$372,MATCH(C24,'Analisa Harga Satuan'!$A$5:$A$372,0))</f>
        <v>Urugan pasir bawah pondasi / lantai</v>
      </c>
      <c r="C24" s="30" t="s">
        <v>95</v>
      </c>
      <c r="D24" s="31" t="str">
        <f aca="false">INDEX('Analisa Harga Satuan'!$C$5:$C$372,MATCH(C24,'Analisa Harga Satuan'!$A$5:$A$372,0))</f>
        <v>m³</v>
      </c>
      <c r="E24" s="25" t="n">
        <v>12</v>
      </c>
      <c r="F24" s="17" t="n">
        <f aca="false">INDEX('Analisa Harga Satuan'!$F$5:$F$372,MATCH(C24,'Analisa Harga Satuan'!$A$5:$A$372,0))</f>
        <v>468337.5</v>
      </c>
      <c r="G24" s="27" t="n">
        <f aca="false">E24*F24</f>
        <v>5620050</v>
      </c>
      <c r="H24" s="28" t="s">
        <v>105</v>
      </c>
    </row>
    <row r="25" customFormat="false" ht="15" hidden="false" customHeight="false" outlineLevel="0" collapsed="false">
      <c r="A25" s="32"/>
      <c r="B25" s="33" t="s">
        <v>106</v>
      </c>
      <c r="C25" s="32"/>
      <c r="D25" s="32"/>
      <c r="E25" s="32"/>
      <c r="F25" s="32"/>
      <c r="G25" s="34" t="n">
        <f aca="false">SUM(G18:G24)</f>
        <v>68993990.1</v>
      </c>
      <c r="H25" s="32"/>
    </row>
    <row r="27" customFormat="false" ht="15" hidden="false" customHeight="false" outlineLevel="0" collapsed="false">
      <c r="A27" s="3" t="s">
        <v>45</v>
      </c>
      <c r="B27" s="3" t="s">
        <v>46</v>
      </c>
      <c r="C27" s="19"/>
      <c r="D27" s="19"/>
      <c r="E27" s="19"/>
      <c r="F27" s="19"/>
      <c r="G27" s="19"/>
      <c r="H27" s="19"/>
    </row>
    <row r="28" customFormat="false" ht="15" hidden="false" customHeight="false" outlineLevel="0" collapsed="false">
      <c r="A28" s="23" t="n">
        <v>1</v>
      </c>
      <c r="B28" s="29" t="str">
        <f aca="false">INDEX('Analisa Harga Satuan'!$B$5:$B$372,MATCH(C28,'Analisa Harga Satuan'!$A$5:$A$372,0))</f>
        <v>Beton K-125 (lantai kerja)</v>
      </c>
      <c r="C28" s="30" t="s">
        <v>107</v>
      </c>
      <c r="D28" s="31" t="str">
        <f aca="false">INDEX('Analisa Harga Satuan'!$C$5:$C$372,MATCH(C28,'Analisa Harga Satuan'!$A$5:$A$372,0))</f>
        <v>m³</v>
      </c>
      <c r="E28" s="25" t="n">
        <v>6</v>
      </c>
      <c r="F28" s="17" t="n">
        <f aca="false">INDEX('Analisa Harga Satuan'!$F$5:$F$372,MATCH(C28,'Analisa Harga Satuan'!$A$5:$A$372,0))</f>
        <v>1828781.75</v>
      </c>
      <c r="G28" s="27" t="n">
        <f aca="false">E28*F28</f>
        <v>10972690.5</v>
      </c>
      <c r="H28" s="28" t="s">
        <v>108</v>
      </c>
    </row>
    <row r="29" customFormat="false" ht="15" hidden="false" customHeight="false" outlineLevel="0" collapsed="false">
      <c r="A29" s="23" t="n">
        <v>2</v>
      </c>
      <c r="B29" s="29" t="str">
        <f aca="false">INDEX('Analisa Harga Satuan'!$B$5:$B$372,MATCH(C29,'Analisa Harga Satuan'!$A$5:$A$372,0))</f>
        <v>Beton K-225 (kolom, sloof, balok, ring balk)</v>
      </c>
      <c r="C29" s="30" t="s">
        <v>109</v>
      </c>
      <c r="D29" s="31" t="str">
        <f aca="false">INDEX('Analisa Harga Satuan'!$C$5:$C$372,MATCH(C29,'Analisa Harga Satuan'!$A$5:$A$372,0))</f>
        <v>m³</v>
      </c>
      <c r="E29" s="25" t="n">
        <v>9.5</v>
      </c>
      <c r="F29" s="17" t="n">
        <f aca="false">INDEX('Analisa Harga Satuan'!$F$5:$F$372,MATCH(C29,'Analisa Harga Satuan'!$A$5:$A$372,0))</f>
        <v>2005134.25</v>
      </c>
      <c r="G29" s="27" t="n">
        <f aca="false">E29*F29</f>
        <v>19048775.375</v>
      </c>
      <c r="H29" s="28" t="s">
        <v>110</v>
      </c>
    </row>
    <row r="30" customFormat="false" ht="15" hidden="false" customHeight="false" outlineLevel="0" collapsed="false">
      <c r="A30" s="23" t="n">
        <v>3</v>
      </c>
      <c r="B30" s="29" t="str">
        <f aca="false">INDEX('Analisa Harga Satuan'!$B$5:$B$372,MATCH(C30,'Analisa Harga Satuan'!$A$5:$A$372,0))</f>
        <v>Pembesian dengan besi beton</v>
      </c>
      <c r="C30" s="30" t="s">
        <v>111</v>
      </c>
      <c r="D30" s="31" t="str">
        <f aca="false">INDEX('Analisa Harga Satuan'!$C$5:$C$372,MATCH(C30,'Analisa Harga Satuan'!$A$5:$A$372,0))</f>
        <v>kg</v>
      </c>
      <c r="E30" s="25" t="n">
        <v>1450</v>
      </c>
      <c r="F30" s="17" t="n">
        <f aca="false">INDEX('Analisa Harga Satuan'!$F$5:$F$372,MATCH(C30,'Analisa Harga Satuan'!$A$5:$A$372,0))</f>
        <v>24623.8</v>
      </c>
      <c r="G30" s="27" t="n">
        <f aca="false">E30*F30</f>
        <v>35704510</v>
      </c>
      <c r="H30" s="28" t="s">
        <v>112</v>
      </c>
    </row>
    <row r="31" customFormat="false" ht="15" hidden="false" customHeight="false" outlineLevel="0" collapsed="false">
      <c r="A31" s="23" t="n">
        <v>4</v>
      </c>
      <c r="B31" s="29" t="str">
        <f aca="false">INDEX('Analisa Harga Satuan'!$B$5:$B$372,MATCH(C31,'Analisa Harga Satuan'!$A$5:$A$372,0))</f>
        <v>Bekisting kolom (plywood)</v>
      </c>
      <c r="C31" s="30" t="s">
        <v>113</v>
      </c>
      <c r="D31" s="31" t="str">
        <f aca="false">INDEX('Analisa Harga Satuan'!$C$5:$C$372,MATCH(C31,'Analisa Harga Satuan'!$A$5:$A$372,0))</f>
        <v>m²</v>
      </c>
      <c r="E31" s="25" t="n">
        <v>73</v>
      </c>
      <c r="F31" s="17" t="n">
        <f aca="false">INDEX('Analisa Harga Satuan'!$F$5:$F$372,MATCH(C31,'Analisa Harga Satuan'!$A$5:$A$372,0))</f>
        <v>391184</v>
      </c>
      <c r="G31" s="27" t="n">
        <f aca="false">E31*F31</f>
        <v>28556432</v>
      </c>
      <c r="H31" s="28" t="s">
        <v>114</v>
      </c>
    </row>
    <row r="32" customFormat="false" ht="15" hidden="false" customHeight="false" outlineLevel="0" collapsed="false">
      <c r="A32" s="23" t="n">
        <v>5</v>
      </c>
      <c r="B32" s="29" t="str">
        <f aca="false">INDEX('Analisa Harga Satuan'!$B$5:$B$372,MATCH(C32,'Analisa Harga Satuan'!$A$5:$A$372,0))</f>
        <v>Bekisting sloof / balok (papan kayu)</v>
      </c>
      <c r="C32" s="30" t="s">
        <v>115</v>
      </c>
      <c r="D32" s="31" t="str">
        <f aca="false">INDEX('Analisa Harga Satuan'!$C$5:$C$372,MATCH(C32,'Analisa Harga Satuan'!$A$5:$A$372,0))</f>
        <v>m²</v>
      </c>
      <c r="E32" s="25" t="n">
        <v>90</v>
      </c>
      <c r="F32" s="17" t="n">
        <f aca="false">INDEX('Analisa Harga Satuan'!$F$5:$F$372,MATCH(C32,'Analisa Harga Satuan'!$A$5:$A$372,0))</f>
        <v>379396.5</v>
      </c>
      <c r="G32" s="27" t="n">
        <f aca="false">E32*F32</f>
        <v>34145685</v>
      </c>
      <c r="H32" s="28" t="s">
        <v>116</v>
      </c>
    </row>
    <row r="33" customFormat="false" ht="15" hidden="false" customHeight="false" outlineLevel="0" collapsed="false">
      <c r="A33" s="32"/>
      <c r="B33" s="33" t="s">
        <v>117</v>
      </c>
      <c r="C33" s="32"/>
      <c r="D33" s="32"/>
      <c r="E33" s="32"/>
      <c r="F33" s="32"/>
      <c r="G33" s="34" t="n">
        <f aca="false">SUM(G28:G32)</f>
        <v>128428092.875</v>
      </c>
      <c r="H33" s="32"/>
    </row>
    <row r="35" customFormat="false" ht="15" hidden="false" customHeight="false" outlineLevel="0" collapsed="false">
      <c r="A35" s="3" t="s">
        <v>47</v>
      </c>
      <c r="B35" s="3" t="s">
        <v>48</v>
      </c>
      <c r="C35" s="19"/>
      <c r="D35" s="19"/>
      <c r="E35" s="19"/>
      <c r="F35" s="19"/>
      <c r="G35" s="19"/>
      <c r="H35" s="19"/>
    </row>
    <row r="36" customFormat="false" ht="15" hidden="false" customHeight="false" outlineLevel="0" collapsed="false">
      <c r="A36" s="23" t="n">
        <v>1</v>
      </c>
      <c r="B36" s="29" t="str">
        <f aca="false">INDEX('Analisa Harga Satuan'!$B$5:$B$372,MATCH(C36,'Analisa Harga Satuan'!$A$5:$A$372,0))</f>
        <v>Pasangan dinding bata merah 1 PC : 4 PS</v>
      </c>
      <c r="C36" s="30" t="s">
        <v>118</v>
      </c>
      <c r="D36" s="31" t="str">
        <f aca="false">INDEX('Analisa Harga Satuan'!$C$5:$C$372,MATCH(C36,'Analisa Harga Satuan'!$A$5:$A$372,0))</f>
        <v>m²</v>
      </c>
      <c r="E36" s="25" t="n">
        <v>210</v>
      </c>
      <c r="F36" s="17" t="n">
        <f aca="false">INDEX('Analisa Harga Satuan'!$F$5:$F$372,MATCH(C36,'Analisa Harga Satuan'!$A$5:$A$372,0))</f>
        <v>216458.75</v>
      </c>
      <c r="G36" s="27" t="n">
        <f aca="false">E36*F36</f>
        <v>45456337.5</v>
      </c>
      <c r="H36" s="28" t="s">
        <v>119</v>
      </c>
    </row>
    <row r="37" customFormat="false" ht="15" hidden="false" customHeight="false" outlineLevel="0" collapsed="false">
      <c r="A37" s="23" t="n">
        <v>2</v>
      </c>
      <c r="B37" s="29" t="str">
        <f aca="false">INDEX('Analisa Harga Satuan'!$B$5:$B$372,MATCH(C37,'Analisa Harga Satuan'!$A$5:$A$372,0))</f>
        <v>Plesteran 1 PC : 4 PS tebal 15 mm</v>
      </c>
      <c r="C37" s="30" t="s">
        <v>120</v>
      </c>
      <c r="D37" s="31" t="str">
        <f aca="false">INDEX('Analisa Harga Satuan'!$C$5:$C$372,MATCH(C37,'Analisa Harga Satuan'!$A$5:$A$372,0))</f>
        <v>m²</v>
      </c>
      <c r="E37" s="25" t="n">
        <v>420</v>
      </c>
      <c r="F37" s="17" t="n">
        <f aca="false">INDEX('Analisa Harga Satuan'!$F$5:$F$372,MATCH(C37,'Analisa Harga Satuan'!$A$5:$A$372,0))</f>
        <v>113943.15</v>
      </c>
      <c r="G37" s="27" t="n">
        <f aca="false">E37*F37</f>
        <v>47856123</v>
      </c>
      <c r="H37" s="28" t="s">
        <v>121</v>
      </c>
    </row>
    <row r="38" customFormat="false" ht="15" hidden="false" customHeight="false" outlineLevel="0" collapsed="false">
      <c r="A38" s="23" t="n">
        <v>3</v>
      </c>
      <c r="B38" s="29" t="str">
        <f aca="false">INDEX('Analisa Harga Satuan'!$B$5:$B$372,MATCH(C38,'Analisa Harga Satuan'!$A$5:$A$372,0))</f>
        <v>Acian</v>
      </c>
      <c r="C38" s="30" t="s">
        <v>122</v>
      </c>
      <c r="D38" s="31" t="str">
        <f aca="false">INDEX('Analisa Harga Satuan'!$C$5:$C$372,MATCH(C38,'Analisa Harga Satuan'!$A$5:$A$372,0))</f>
        <v>m²</v>
      </c>
      <c r="E38" s="25" t="n">
        <v>420</v>
      </c>
      <c r="F38" s="17" t="n">
        <f aca="false">INDEX('Analisa Harga Satuan'!$F$5:$F$372,MATCH(C38,'Analisa Harga Satuan'!$A$5:$A$372,0))</f>
        <v>68453.75</v>
      </c>
      <c r="G38" s="27" t="n">
        <f aca="false">E38*F38</f>
        <v>28750575</v>
      </c>
      <c r="H38" s="28" t="s">
        <v>121</v>
      </c>
    </row>
    <row r="39" customFormat="false" ht="15" hidden="false" customHeight="false" outlineLevel="0" collapsed="false">
      <c r="A39" s="32"/>
      <c r="B39" s="33" t="s">
        <v>123</v>
      </c>
      <c r="C39" s="32"/>
      <c r="D39" s="32"/>
      <c r="E39" s="32"/>
      <c r="F39" s="32"/>
      <c r="G39" s="34" t="n">
        <f aca="false">SUM(G36:G38)</f>
        <v>122063035.5</v>
      </c>
      <c r="H39" s="32"/>
    </row>
    <row r="41" customFormat="false" ht="15" hidden="false" customHeight="false" outlineLevel="0" collapsed="false">
      <c r="A41" s="3" t="s">
        <v>49</v>
      </c>
      <c r="B41" s="3" t="s">
        <v>50</v>
      </c>
      <c r="C41" s="19"/>
      <c r="D41" s="19"/>
      <c r="E41" s="19"/>
      <c r="F41" s="19"/>
      <c r="G41" s="19"/>
      <c r="H41" s="19"/>
    </row>
    <row r="42" customFormat="false" ht="15" hidden="false" customHeight="false" outlineLevel="0" collapsed="false">
      <c r="A42" s="23" t="n">
        <v>1</v>
      </c>
      <c r="B42" s="29" t="str">
        <f aca="false">INDEX('Analisa Harga Satuan'!$B$5:$B$372,MATCH(C42,'Analisa Harga Satuan'!$A$5:$A$372,0))</f>
        <v>Rangka atap baja ringan + penutup spandek</v>
      </c>
      <c r="C42" s="30" t="s">
        <v>124</v>
      </c>
      <c r="D42" s="31" t="str">
        <f aca="false">INDEX('Analisa Harga Satuan'!$C$5:$C$372,MATCH(C42,'Analisa Harga Satuan'!$A$5:$A$372,0))</f>
        <v>m²</v>
      </c>
      <c r="E42" s="25" t="n">
        <v>190</v>
      </c>
      <c r="F42" s="17" t="n">
        <f aca="false">INDEX('Analisa Harga Satuan'!$F$5:$F$372,MATCH(C42,'Analisa Harga Satuan'!$A$5:$A$372,0))</f>
        <v>523422.5</v>
      </c>
      <c r="G42" s="27" t="n">
        <f aca="false">E42*F42</f>
        <v>99450275</v>
      </c>
      <c r="H42" s="28" t="s">
        <v>125</v>
      </c>
    </row>
    <row r="43" customFormat="false" ht="15" hidden="false" customHeight="false" outlineLevel="0" collapsed="false">
      <c r="A43" s="23" t="n">
        <v>2</v>
      </c>
      <c r="B43" s="29" t="str">
        <f aca="false">INDEX('Analisa Harga Satuan'!$B$5:$B$372,MATCH(C43,'Analisa Harga Satuan'!$A$5:$A$372,0))</f>
        <v>Nok / bubungan zincalume</v>
      </c>
      <c r="C43" s="30" t="s">
        <v>126</v>
      </c>
      <c r="D43" s="31" t="str">
        <f aca="false">INDEX('Analisa Harga Satuan'!$C$5:$C$372,MATCH(C43,'Analisa Harga Satuan'!$A$5:$A$372,0))</f>
        <v>m'</v>
      </c>
      <c r="E43" s="25" t="n">
        <v>36</v>
      </c>
      <c r="F43" s="17" t="n">
        <f aca="false">INDEX('Analisa Harga Satuan'!$F$5:$F$372,MATCH(C43,'Analisa Harga Satuan'!$A$5:$A$372,0))</f>
        <v>120031.25</v>
      </c>
      <c r="G43" s="27" t="n">
        <f aca="false">E43*F43</f>
        <v>4321125</v>
      </c>
      <c r="H43" s="28" t="s">
        <v>127</v>
      </c>
    </row>
    <row r="44" customFormat="false" ht="15" hidden="false" customHeight="false" outlineLevel="0" collapsed="false">
      <c r="A44" s="23" t="n">
        <v>3</v>
      </c>
      <c r="B44" s="29" t="str">
        <f aca="false">INDEX('Analisa Harga Satuan'!$B$5:$B$372,MATCH(C44,'Analisa Harga Satuan'!$A$5:$A$372,0))</f>
        <v>Plafon gypsum rangka hollow</v>
      </c>
      <c r="C44" s="30" t="s">
        <v>128</v>
      </c>
      <c r="D44" s="31" t="str">
        <f aca="false">INDEX('Analisa Harga Satuan'!$C$5:$C$372,MATCH(C44,'Analisa Harga Satuan'!$A$5:$A$372,0))</f>
        <v>m²</v>
      </c>
      <c r="E44" s="25" t="n">
        <v>140</v>
      </c>
      <c r="F44" s="17" t="n">
        <f aca="false">INDEX('Analisa Harga Satuan'!$F$5:$F$372,MATCH(C44,'Analisa Harga Satuan'!$A$5:$A$372,0))</f>
        <v>154974</v>
      </c>
      <c r="G44" s="27" t="n">
        <f aca="false">E44*F44</f>
        <v>21696360</v>
      </c>
      <c r="H44" s="28" t="s">
        <v>129</v>
      </c>
    </row>
    <row r="45" customFormat="false" ht="15" hidden="false" customHeight="false" outlineLevel="0" collapsed="false">
      <c r="A45" s="32"/>
      <c r="B45" s="33" t="s">
        <v>130</v>
      </c>
      <c r="C45" s="32"/>
      <c r="D45" s="32"/>
      <c r="E45" s="32"/>
      <c r="F45" s="32"/>
      <c r="G45" s="34" t="n">
        <f aca="false">SUM(G42:G44)</f>
        <v>125467760</v>
      </c>
      <c r="H45" s="32"/>
    </row>
    <row r="47" customFormat="false" ht="15" hidden="false" customHeight="false" outlineLevel="0" collapsed="false">
      <c r="A47" s="3" t="s">
        <v>51</v>
      </c>
      <c r="B47" s="3" t="s">
        <v>52</v>
      </c>
      <c r="C47" s="19"/>
      <c r="D47" s="19"/>
      <c r="E47" s="19"/>
      <c r="F47" s="19"/>
      <c r="G47" s="19"/>
      <c r="H47" s="19"/>
    </row>
    <row r="48" customFormat="false" ht="15" hidden="false" customHeight="false" outlineLevel="0" collapsed="false">
      <c r="A48" s="23" t="n">
        <v>1</v>
      </c>
      <c r="B48" s="29" t="str">
        <f aca="false">INDEX('Analisa Harga Satuan'!$B$5:$B$372,MATCH(C48,'Analisa Harga Satuan'!$A$5:$A$372,0))</f>
        <v>Lantai keramik 40x40</v>
      </c>
      <c r="C48" s="30" t="s">
        <v>131</v>
      </c>
      <c r="D48" s="31" t="str">
        <f aca="false">INDEX('Analisa Harga Satuan'!$C$5:$C$372,MATCH(C48,'Analisa Harga Satuan'!$A$5:$A$372,0))</f>
        <v>m²</v>
      </c>
      <c r="E48" s="25" t="n">
        <v>114</v>
      </c>
      <c r="F48" s="17" t="n">
        <f aca="false">INDEX('Analisa Harga Satuan'!$F$5:$F$372,MATCH(C48,'Analisa Harga Satuan'!$A$5:$A$372,0))</f>
        <v>378896.25</v>
      </c>
      <c r="G48" s="27" t="n">
        <f aca="false">E48*F48</f>
        <v>43194172.5</v>
      </c>
      <c r="H48" s="28" t="s">
        <v>132</v>
      </c>
    </row>
    <row r="49" customFormat="false" ht="15" hidden="false" customHeight="false" outlineLevel="0" collapsed="false">
      <c r="A49" s="23" t="n">
        <v>2</v>
      </c>
      <c r="B49" s="29" t="str">
        <f aca="false">INDEX('Analisa Harga Satuan'!$B$5:$B$372,MATCH(C49,'Analisa Harga Satuan'!$A$5:$A$372,0))</f>
        <v>Dinding keramik 20x25 (KM/WC)</v>
      </c>
      <c r="C49" s="30" t="s">
        <v>133</v>
      </c>
      <c r="D49" s="31" t="str">
        <f aca="false">INDEX('Analisa Harga Satuan'!$C$5:$C$372,MATCH(C49,'Analisa Harga Satuan'!$A$5:$A$372,0))</f>
        <v>m²</v>
      </c>
      <c r="E49" s="25" t="n">
        <v>28</v>
      </c>
      <c r="F49" s="17" t="n">
        <f aca="false">INDEX('Analisa Harga Satuan'!$F$5:$F$372,MATCH(C49,'Analisa Harga Satuan'!$A$5:$A$372,0))</f>
        <v>389878.75</v>
      </c>
      <c r="G49" s="27" t="n">
        <f aca="false">E49*F49</f>
        <v>10916605</v>
      </c>
      <c r="H49" s="28" t="s">
        <v>134</v>
      </c>
    </row>
    <row r="50" customFormat="false" ht="15" hidden="false" customHeight="false" outlineLevel="0" collapsed="false">
      <c r="A50" s="32"/>
      <c r="B50" s="33" t="s">
        <v>135</v>
      </c>
      <c r="C50" s="32"/>
      <c r="D50" s="32"/>
      <c r="E50" s="32"/>
      <c r="F50" s="32"/>
      <c r="G50" s="34" t="n">
        <f aca="false">SUM(G48:G49)</f>
        <v>54110777.5</v>
      </c>
      <c r="H50" s="32"/>
    </row>
    <row r="52" customFormat="false" ht="15" hidden="false" customHeight="false" outlineLevel="0" collapsed="false">
      <c r="A52" s="3" t="s">
        <v>53</v>
      </c>
      <c r="B52" s="3" t="s">
        <v>54</v>
      </c>
      <c r="C52" s="19"/>
      <c r="D52" s="19"/>
      <c r="E52" s="19"/>
      <c r="F52" s="19"/>
      <c r="G52" s="19"/>
      <c r="H52" s="19"/>
    </row>
    <row r="53" customFormat="false" ht="15" hidden="false" customHeight="false" outlineLevel="0" collapsed="false">
      <c r="A53" s="23" t="n">
        <v>1</v>
      </c>
      <c r="B53" s="29" t="str">
        <f aca="false">INDEX('Analisa Harga Satuan'!$B$5:$B$372,MATCH(C53,'Analisa Harga Satuan'!$A$5:$A$372,0))</f>
        <v>Pintu panel kayu lengkap (kusen, daun, engsel, kunci)</v>
      </c>
      <c r="C53" s="30" t="s">
        <v>136</v>
      </c>
      <c r="D53" s="31" t="str">
        <f aca="false">INDEX('Analisa Harga Satuan'!$C$5:$C$372,MATCH(C53,'Analisa Harga Satuan'!$A$5:$A$372,0))</f>
        <v>unit</v>
      </c>
      <c r="E53" s="25" t="n">
        <v>8</v>
      </c>
      <c r="F53" s="17" t="n">
        <f aca="false">INDEX('Analisa Harga Satuan'!$F$5:$F$372,MATCH(C53,'Analisa Harga Satuan'!$A$5:$A$372,0))</f>
        <v>2620102.5</v>
      </c>
      <c r="G53" s="27" t="n">
        <f aca="false">E53*F53</f>
        <v>20960820</v>
      </c>
      <c r="H53" s="28" t="s">
        <v>137</v>
      </c>
    </row>
    <row r="54" customFormat="false" ht="15" hidden="false" customHeight="false" outlineLevel="0" collapsed="false">
      <c r="A54" s="23" t="n">
        <v>2</v>
      </c>
      <c r="B54" s="29" t="str">
        <f aca="false">INDEX('Analisa Harga Satuan'!$B$5:$B$372,MATCH(C54,'Analisa Harga Satuan'!$A$5:$A$372,0))</f>
        <v>Jendela aluminium + kaca 5 mm</v>
      </c>
      <c r="C54" s="30" t="s">
        <v>138</v>
      </c>
      <c r="D54" s="31" t="str">
        <f aca="false">INDEX('Analisa Harga Satuan'!$C$5:$C$372,MATCH(C54,'Analisa Harga Satuan'!$A$5:$A$372,0))</f>
        <v>m²</v>
      </c>
      <c r="E54" s="25" t="n">
        <v>14</v>
      </c>
      <c r="F54" s="17" t="n">
        <f aca="false">INDEX('Analisa Harga Satuan'!$F$5:$F$372,MATCH(C54,'Analisa Harga Satuan'!$A$5:$A$372,0))</f>
        <v>1229235</v>
      </c>
      <c r="G54" s="27" t="n">
        <f aca="false">E54*F54</f>
        <v>17209290</v>
      </c>
      <c r="H54" s="28" t="s">
        <v>139</v>
      </c>
    </row>
    <row r="55" customFormat="false" ht="15" hidden="false" customHeight="false" outlineLevel="0" collapsed="false">
      <c r="A55" s="32"/>
      <c r="B55" s="33" t="s">
        <v>140</v>
      </c>
      <c r="C55" s="32"/>
      <c r="D55" s="32"/>
      <c r="E55" s="32"/>
      <c r="F55" s="32"/>
      <c r="G55" s="34" t="n">
        <f aca="false">SUM(G53:G54)</f>
        <v>38170110</v>
      </c>
      <c r="H55" s="32"/>
    </row>
    <row r="57" customFormat="false" ht="15" hidden="false" customHeight="false" outlineLevel="0" collapsed="false">
      <c r="A57" s="3" t="s">
        <v>55</v>
      </c>
      <c r="B57" s="3" t="s">
        <v>56</v>
      </c>
      <c r="C57" s="19"/>
      <c r="D57" s="19"/>
      <c r="E57" s="19"/>
      <c r="F57" s="19"/>
      <c r="G57" s="19"/>
      <c r="H57" s="19"/>
    </row>
    <row r="58" customFormat="false" ht="15" hidden="false" customHeight="false" outlineLevel="0" collapsed="false">
      <c r="A58" s="23" t="n">
        <v>1</v>
      </c>
      <c r="B58" s="29" t="str">
        <f aca="false">INDEX('Analisa Harga Satuan'!$B$5:$B$372,MATCH(C58,'Analisa Harga Satuan'!$A$5:$A$372,0))</f>
        <v>Pengecatan dinding (plamir, cat dasar, cat penutup)</v>
      </c>
      <c r="C58" s="30" t="s">
        <v>141</v>
      </c>
      <c r="D58" s="31" t="str">
        <f aca="false">INDEX('Analisa Harga Satuan'!$C$5:$C$372,MATCH(C58,'Analisa Harga Satuan'!$A$5:$A$372,0))</f>
        <v>m²</v>
      </c>
      <c r="E58" s="25" t="n">
        <v>420</v>
      </c>
      <c r="F58" s="17" t="n">
        <f aca="false">INDEX('Analisa Harga Satuan'!$F$5:$F$372,MATCH(C58,'Analisa Harga Satuan'!$A$5:$A$372,0))</f>
        <v>44625.75</v>
      </c>
      <c r="G58" s="27" t="n">
        <f aca="false">E58*F58</f>
        <v>18742815</v>
      </c>
      <c r="H58" s="28" t="s">
        <v>142</v>
      </c>
    </row>
    <row r="59" customFormat="false" ht="15" hidden="false" customHeight="false" outlineLevel="0" collapsed="false">
      <c r="A59" s="23" t="n">
        <v>2</v>
      </c>
      <c r="B59" s="29" t="str">
        <f aca="false">INDEX('Analisa Harga Satuan'!$B$5:$B$372,MATCH(C59,'Analisa Harga Satuan'!$A$5:$A$372,0))</f>
        <v>Pengecatan plafon</v>
      </c>
      <c r="C59" s="30" t="s">
        <v>143</v>
      </c>
      <c r="D59" s="31" t="str">
        <f aca="false">INDEX('Analisa Harga Satuan'!$C$5:$C$372,MATCH(C59,'Analisa Harga Satuan'!$A$5:$A$372,0))</f>
        <v>m²</v>
      </c>
      <c r="E59" s="25" t="n">
        <v>140</v>
      </c>
      <c r="F59" s="17" t="n">
        <f aca="false">INDEX('Analisa Harga Satuan'!$F$5:$F$372,MATCH(C59,'Analisa Harga Satuan'!$A$5:$A$372,0))</f>
        <v>44625.75</v>
      </c>
      <c r="G59" s="27" t="n">
        <f aca="false">E59*F59</f>
        <v>6247605</v>
      </c>
      <c r="H59" s="28" t="s">
        <v>144</v>
      </c>
    </row>
    <row r="60" customFormat="false" ht="15" hidden="false" customHeight="false" outlineLevel="0" collapsed="false">
      <c r="A60" s="32"/>
      <c r="B60" s="33" t="s">
        <v>145</v>
      </c>
      <c r="C60" s="32"/>
      <c r="D60" s="32"/>
      <c r="E60" s="32"/>
      <c r="F60" s="32"/>
      <c r="G60" s="34" t="n">
        <f aca="false">SUM(G58:G59)</f>
        <v>24990420</v>
      </c>
      <c r="H60" s="32"/>
    </row>
    <row r="62" customFormat="false" ht="15" hidden="false" customHeight="false" outlineLevel="0" collapsed="false">
      <c r="A62" s="3" t="s">
        <v>57</v>
      </c>
      <c r="B62" s="3" t="s">
        <v>58</v>
      </c>
      <c r="C62" s="19"/>
      <c r="D62" s="19"/>
      <c r="E62" s="19"/>
      <c r="F62" s="19"/>
      <c r="G62" s="19"/>
      <c r="H62" s="19"/>
    </row>
    <row r="63" customFormat="false" ht="15" hidden="false" customHeight="false" outlineLevel="0" collapsed="false">
      <c r="A63" s="23" t="n">
        <v>1</v>
      </c>
      <c r="B63" s="29" t="str">
        <f aca="false">INDEX('Analisa Harga Satuan'!$B$5:$B$372,MATCH(C63,'Analisa Harga Satuan'!$A$5:$A$372,0))</f>
        <v>Pasang closet jongkok</v>
      </c>
      <c r="C63" s="30" t="s">
        <v>146</v>
      </c>
      <c r="D63" s="31" t="str">
        <f aca="false">INDEX('Analisa Harga Satuan'!$C$5:$C$372,MATCH(C63,'Analisa Harga Satuan'!$A$5:$A$372,0))</f>
        <v>unit</v>
      </c>
      <c r="E63" s="25" t="n">
        <v>2</v>
      </c>
      <c r="F63" s="17" t="n">
        <f aca="false">INDEX('Analisa Harga Satuan'!$F$5:$F$372,MATCH(C63,'Analisa Harga Satuan'!$A$5:$A$372,0))</f>
        <v>860832.5</v>
      </c>
      <c r="G63" s="27" t="n">
        <f aca="false">E63*F63</f>
        <v>1721665</v>
      </c>
      <c r="H63" s="28" t="s">
        <v>147</v>
      </c>
    </row>
    <row r="64" customFormat="false" ht="15" hidden="false" customHeight="false" outlineLevel="0" collapsed="false">
      <c r="A64" s="23" t="n">
        <v>2</v>
      </c>
      <c r="B64" s="29" t="str">
        <f aca="false">INDEX('Analisa Harga Satuan'!$B$5:$B$372,MATCH(C64,'Analisa Harga Satuan'!$A$5:$A$372,0))</f>
        <v>Pasang kran air</v>
      </c>
      <c r="C64" s="30" t="s">
        <v>148</v>
      </c>
      <c r="D64" s="31" t="str">
        <f aca="false">INDEX('Analisa Harga Satuan'!$C$5:$C$372,MATCH(C64,'Analisa Harga Satuan'!$A$5:$A$372,0))</f>
        <v>unit</v>
      </c>
      <c r="E64" s="25" t="n">
        <v>4</v>
      </c>
      <c r="F64" s="17" t="n">
        <f aca="false">INDEX('Analisa Harga Satuan'!$F$5:$F$372,MATCH(C64,'Analisa Harga Satuan'!$A$5:$A$372,0))</f>
        <v>93725</v>
      </c>
      <c r="G64" s="27" t="n">
        <f aca="false">E64*F64</f>
        <v>374900</v>
      </c>
      <c r="H64" s="28" t="s">
        <v>149</v>
      </c>
    </row>
    <row r="65" customFormat="false" ht="15" hidden="false" customHeight="false" outlineLevel="0" collapsed="false">
      <c r="A65" s="23" t="n">
        <v>3</v>
      </c>
      <c r="B65" s="29" t="str">
        <f aca="false">INDEX('Analisa Harga Satuan'!$B$5:$B$372,MATCH(C65,'Analisa Harga Satuan'!$A$5:$A$372,0))</f>
        <v>Pipa air bersih PVC 3/4"</v>
      </c>
      <c r="C65" s="30" t="s">
        <v>150</v>
      </c>
      <c r="D65" s="31" t="str">
        <f aca="false">INDEX('Analisa Harga Satuan'!$C$5:$C$372,MATCH(C65,'Analisa Harga Satuan'!$A$5:$A$372,0))</f>
        <v>m'</v>
      </c>
      <c r="E65" s="25" t="n">
        <v>40</v>
      </c>
      <c r="F65" s="17" t="n">
        <f aca="false">INDEX('Analisa Harga Satuan'!$F$5:$F$372,MATCH(C65,'Analisa Harga Satuan'!$A$5:$A$372,0))</f>
        <v>70753.75</v>
      </c>
      <c r="G65" s="27" t="n">
        <f aca="false">E65*F65</f>
        <v>2830150</v>
      </c>
      <c r="H65" s="28" t="s">
        <v>151</v>
      </c>
    </row>
    <row r="66" customFormat="false" ht="15" hidden="false" customHeight="false" outlineLevel="0" collapsed="false">
      <c r="A66" s="23" t="n">
        <v>4</v>
      </c>
      <c r="B66" s="29" t="str">
        <f aca="false">INDEX('Analisa Harga Satuan'!$B$5:$B$372,MATCH(C66,'Analisa Harga Satuan'!$A$5:$A$372,0))</f>
        <v>Pipa air kotor PVC 4"</v>
      </c>
      <c r="C66" s="30" t="s">
        <v>152</v>
      </c>
      <c r="D66" s="31" t="str">
        <f aca="false">INDEX('Analisa Harga Satuan'!$C$5:$C$372,MATCH(C66,'Analisa Harga Satuan'!$A$5:$A$372,0))</f>
        <v>m'</v>
      </c>
      <c r="E66" s="25" t="n">
        <v>30</v>
      </c>
      <c r="F66" s="17" t="n">
        <f aca="false">INDEX('Analisa Harga Satuan'!$F$5:$F$372,MATCH(C66,'Analisa Harga Satuan'!$A$5:$A$372,0))</f>
        <v>162322.5</v>
      </c>
      <c r="G66" s="27" t="n">
        <f aca="false">E66*F66</f>
        <v>4869675</v>
      </c>
      <c r="H66" s="28" t="s">
        <v>153</v>
      </c>
    </row>
    <row r="67" customFormat="false" ht="15" hidden="false" customHeight="false" outlineLevel="0" collapsed="false">
      <c r="A67" s="23" t="n">
        <v>5</v>
      </c>
      <c r="B67" s="24" t="s">
        <v>154</v>
      </c>
      <c r="C67" s="23" t="s">
        <v>79</v>
      </c>
      <c r="D67" s="23" t="s">
        <v>80</v>
      </c>
      <c r="E67" s="25" t="n">
        <v>1</v>
      </c>
      <c r="F67" s="26" t="n">
        <v>12500000</v>
      </c>
      <c r="G67" s="27" t="n">
        <f aca="false">E67*F67</f>
        <v>12500000</v>
      </c>
      <c r="H67" s="28" t="s">
        <v>155</v>
      </c>
    </row>
    <row r="68" customFormat="false" ht="15" hidden="false" customHeight="false" outlineLevel="0" collapsed="false">
      <c r="A68" s="32"/>
      <c r="B68" s="33" t="s">
        <v>156</v>
      </c>
      <c r="C68" s="32"/>
      <c r="D68" s="32"/>
      <c r="E68" s="32"/>
      <c r="F68" s="32"/>
      <c r="G68" s="34" t="n">
        <f aca="false">SUM(G63:G67)</f>
        <v>22296390</v>
      </c>
      <c r="H68" s="32"/>
    </row>
    <row r="70" customFormat="false" ht="15" hidden="false" customHeight="false" outlineLevel="0" collapsed="false">
      <c r="A70" s="3" t="s">
        <v>59</v>
      </c>
      <c r="B70" s="3" t="s">
        <v>60</v>
      </c>
      <c r="C70" s="19"/>
      <c r="D70" s="19"/>
      <c r="E70" s="19"/>
      <c r="F70" s="19"/>
      <c r="G70" s="19"/>
      <c r="H70" s="19"/>
    </row>
    <row r="71" customFormat="false" ht="15" hidden="false" customHeight="false" outlineLevel="0" collapsed="false">
      <c r="A71" s="23" t="n">
        <v>1</v>
      </c>
      <c r="B71" s="29" t="str">
        <f aca="false">INDEX('Analisa Harga Satuan'!$B$5:$B$372,MATCH(C71,'Analisa Harga Satuan'!$A$5:$A$372,0))</f>
        <v>Titik lampu (kabel, conduit, saklar, lampu)</v>
      </c>
      <c r="C71" s="30" t="s">
        <v>157</v>
      </c>
      <c r="D71" s="31" t="str">
        <f aca="false">INDEX('Analisa Harga Satuan'!$C$5:$C$372,MATCH(C71,'Analisa Harga Satuan'!$A$5:$A$372,0))</f>
        <v>titik</v>
      </c>
      <c r="E71" s="25" t="n">
        <v>18</v>
      </c>
      <c r="F71" s="17" t="n">
        <f aca="false">INDEX('Analisa Harga Satuan'!$F$5:$F$372,MATCH(C71,'Analisa Harga Satuan'!$A$5:$A$372,0))</f>
        <v>505252.5</v>
      </c>
      <c r="G71" s="27" t="n">
        <f aca="false">E71*F71</f>
        <v>9094545</v>
      </c>
      <c r="H71" s="28" t="s">
        <v>158</v>
      </c>
    </row>
    <row r="72" customFormat="false" ht="15" hidden="false" customHeight="false" outlineLevel="0" collapsed="false">
      <c r="A72" s="23" t="n">
        <v>2</v>
      </c>
      <c r="B72" s="29" t="str">
        <f aca="false">INDEX('Analisa Harga Satuan'!$B$5:$B$372,MATCH(C72,'Analisa Harga Satuan'!$A$5:$A$372,0))</f>
        <v>Titik stop kontak (kabel, conduit)</v>
      </c>
      <c r="C72" s="30" t="s">
        <v>159</v>
      </c>
      <c r="D72" s="31" t="str">
        <f aca="false">INDEX('Analisa Harga Satuan'!$C$5:$C$372,MATCH(C72,'Analisa Harga Satuan'!$A$5:$A$372,0))</f>
        <v>titik</v>
      </c>
      <c r="E72" s="25" t="n">
        <v>12</v>
      </c>
      <c r="F72" s="17" t="n">
        <f aca="false">INDEX('Analisa Harga Satuan'!$F$5:$F$372,MATCH(C72,'Analisa Harga Satuan'!$A$5:$A$372,0))</f>
        <v>388843.75</v>
      </c>
      <c r="G72" s="27" t="n">
        <f aca="false">E72*F72</f>
        <v>4666125</v>
      </c>
      <c r="H72" s="28" t="s">
        <v>160</v>
      </c>
    </row>
    <row r="73" customFormat="false" ht="15" hidden="false" customHeight="false" outlineLevel="0" collapsed="false">
      <c r="A73" s="23" t="n">
        <v>3</v>
      </c>
      <c r="B73" s="24" t="s">
        <v>161</v>
      </c>
      <c r="C73" s="23" t="s">
        <v>79</v>
      </c>
      <c r="D73" s="23" t="s">
        <v>80</v>
      </c>
      <c r="E73" s="25" t="n">
        <v>1</v>
      </c>
      <c r="F73" s="26" t="n">
        <v>3500000</v>
      </c>
      <c r="G73" s="27" t="n">
        <f aca="false">E73*F73</f>
        <v>3500000</v>
      </c>
      <c r="H73" s="28" t="s">
        <v>83</v>
      </c>
    </row>
    <row r="74" customFormat="false" ht="15" hidden="false" customHeight="false" outlineLevel="0" collapsed="false">
      <c r="A74" s="32"/>
      <c r="B74" s="33" t="s">
        <v>162</v>
      </c>
      <c r="C74" s="32"/>
      <c r="D74" s="32"/>
      <c r="E74" s="32"/>
      <c r="F74" s="32"/>
      <c r="G74" s="34" t="n">
        <f aca="false">SUM(G71:G73)</f>
        <v>17260670</v>
      </c>
      <c r="H74" s="32"/>
    </row>
    <row r="76" customFormat="false" ht="15" hidden="false" customHeight="false" outlineLevel="0" collapsed="false">
      <c r="A76" s="3" t="s">
        <v>61</v>
      </c>
      <c r="B76" s="3" t="s">
        <v>62</v>
      </c>
      <c r="C76" s="19"/>
      <c r="D76" s="19"/>
      <c r="E76" s="19"/>
      <c r="F76" s="19"/>
      <c r="G76" s="19"/>
      <c r="H76" s="19"/>
    </row>
    <row r="77" customFormat="false" ht="15" hidden="false" customHeight="false" outlineLevel="0" collapsed="false">
      <c r="A77" s="23" t="n">
        <v>1</v>
      </c>
      <c r="B77" s="29" t="str">
        <f aca="false">INDEX('Analisa Harga Satuan'!$B$5:$B$372,MATCH(C77,'Analisa Harga Satuan'!$A$5:$A$372,0))</f>
        <v>Pembersihan akhir lokasi</v>
      </c>
      <c r="C77" s="30" t="s">
        <v>163</v>
      </c>
      <c r="D77" s="31" t="str">
        <f aca="false">INDEX('Analisa Harga Satuan'!$C$5:$C$372,MATCH(C77,'Analisa Harga Satuan'!$A$5:$A$372,0))</f>
        <v>m²</v>
      </c>
      <c r="E77" s="25" t="n">
        <v>150</v>
      </c>
      <c r="F77" s="17" t="n">
        <f aca="false">INDEX('Analisa Harga Satuan'!$F$5:$F$372,MATCH(C77,'Analisa Harga Satuan'!$A$5:$A$372,0))</f>
        <v>9271.875</v>
      </c>
      <c r="G77" s="27" t="n">
        <f aca="false">E77*F77</f>
        <v>1390781.25</v>
      </c>
      <c r="H77" s="28" t="s">
        <v>164</v>
      </c>
    </row>
    <row r="78" customFormat="false" ht="15" hidden="false" customHeight="false" outlineLevel="0" collapsed="false">
      <c r="A78" s="32"/>
      <c r="B78" s="33" t="s">
        <v>165</v>
      </c>
      <c r="C78" s="32"/>
      <c r="D78" s="32"/>
      <c r="E78" s="32"/>
      <c r="F78" s="32"/>
      <c r="G78" s="34" t="n">
        <f aca="false">SUM(G77:G77)</f>
        <v>1390781.25</v>
      </c>
      <c r="H78" s="32"/>
    </row>
    <row r="80" customFormat="false" ht="15" hidden="false" customHeight="false" outlineLevel="0" collapsed="false">
      <c r="A80" s="19"/>
      <c r="B80" s="3" t="s">
        <v>166</v>
      </c>
      <c r="C80" s="19"/>
      <c r="D80" s="19"/>
      <c r="E80" s="19"/>
      <c r="F80" s="19"/>
      <c r="G80" s="20" t="n">
        <f aca="false">G15+G25+G33+G39+G45+G50+G55+G60+G68+G74+G78</f>
        <v>641052960.725</v>
      </c>
      <c r="H8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35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14" t="s">
        <v>169</v>
      </c>
      <c r="B4" s="14" t="s">
        <v>170</v>
      </c>
      <c r="C4" s="14" t="s">
        <v>74</v>
      </c>
      <c r="D4" s="14" t="s">
        <v>171</v>
      </c>
      <c r="E4" s="14" t="s">
        <v>76</v>
      </c>
      <c r="F4" s="14" t="s">
        <v>39</v>
      </c>
      <c r="G4" s="14" t="s">
        <v>172</v>
      </c>
    </row>
    <row r="5" customFormat="false" ht="15" hidden="false" customHeight="false" outlineLevel="0" collapsed="false">
      <c r="A5" s="3" t="s">
        <v>90</v>
      </c>
      <c r="B5" s="3" t="s">
        <v>173</v>
      </c>
      <c r="C5" s="3" t="s">
        <v>174</v>
      </c>
      <c r="D5" s="3"/>
      <c r="E5" s="36" t="s">
        <v>175</v>
      </c>
      <c r="F5" s="20" t="n">
        <f aca="false">F16</f>
        <v>195252.75</v>
      </c>
      <c r="G5" s="3"/>
    </row>
    <row r="6" customFormat="false" ht="15" hidden="false" customHeight="false" outlineLevel="0" collapsed="false">
      <c r="A6" s="16" t="s">
        <v>176</v>
      </c>
      <c r="B6" s="29" t="str">
        <f aca="false">IF(LEFT($A6,1)="B",INDEX('Harga Bahan'!$B$5:$B$200,MATCH($A6,'Harga Bahan'!$A$5:$A$200,0)),INDEX('Harga Upah'!$B$5:$B$200,MATCH($A6,'Harga Upah'!$A$5:$A$200,0)))</f>
        <v>Kayu kelas III (papan bekisting/bouwplank)</v>
      </c>
      <c r="C6" s="31" t="str">
        <f aca="false">IF(LEFT($A6,1)="B",INDEX('Harga Bahan'!$C$5:$C$200,MATCH($A6,'Harga Bahan'!$A$5:$A$200,0)),INDEX('Harga Upah'!$C$5:$C$200,MATCH($A6,'Harga Upah'!$A$5:$A$200,0)))</f>
        <v>m³</v>
      </c>
      <c r="D6" s="37" t="n">
        <v>0.012</v>
      </c>
      <c r="E6" s="17" t="n">
        <f aca="false">IF(LEFT($A6,1)="B",INDEX('Harga Bahan'!$D$5:$D$200,MATCH($A6,'Harga Bahan'!$A$5:$A$200,0)),INDEX('Harga Upah'!$D$5:$D$200,MATCH($A6,'Harga Upah'!$A$5:$A$200,0)))</f>
        <v>4500000</v>
      </c>
      <c r="F6" s="27" t="n">
        <f aca="false">D6*E6</f>
        <v>54000</v>
      </c>
      <c r="G6" s="23" t="s">
        <v>177</v>
      </c>
    </row>
    <row r="7" customFormat="false" ht="15" hidden="false" customHeight="false" outlineLevel="0" collapsed="false">
      <c r="A7" s="16" t="s">
        <v>178</v>
      </c>
      <c r="B7" s="29" t="str">
        <f aca="false">IF(LEFT($A7,1)="B",INDEX('Harga Bahan'!$B$5:$B$200,MATCH($A7,'Harga Bahan'!$A$5:$A$200,0)),INDEX('Harga Upah'!$B$5:$B$200,MATCH($A7,'Harga Upah'!$A$5:$A$200,0)))</f>
        <v>Kayu kelas II (balok/usuk/kusen)</v>
      </c>
      <c r="C7" s="31" t="str">
        <f aca="false">IF(LEFT($A7,1)="B",INDEX('Harga Bahan'!$C$5:$C$200,MATCH($A7,'Harga Bahan'!$A$5:$A$200,0)),INDEX('Harga Upah'!$C$5:$C$200,MATCH($A7,'Harga Upah'!$A$5:$A$200,0)))</f>
        <v>m³</v>
      </c>
      <c r="D7" s="37" t="n">
        <v>0.012</v>
      </c>
      <c r="E7" s="17" t="n">
        <f aca="false">IF(LEFT($A7,1)="B",INDEX('Harga Bahan'!$D$5:$D$200,MATCH($A7,'Harga Bahan'!$A$5:$A$200,0)),INDEX('Harga Upah'!$D$5:$D$200,MATCH($A7,'Harga Upah'!$A$5:$A$200,0)))</f>
        <v>6500000</v>
      </c>
      <c r="F7" s="27" t="n">
        <f aca="false">D7*E7</f>
        <v>78000</v>
      </c>
      <c r="G7" s="23" t="s">
        <v>177</v>
      </c>
    </row>
    <row r="8" customFormat="false" ht="15" hidden="false" customHeight="false" outlineLevel="0" collapsed="false">
      <c r="A8" s="16" t="s">
        <v>179</v>
      </c>
      <c r="B8" s="29" t="str">
        <f aca="false">IF(LEFT($A8,1)="B",INDEX('Harga Bahan'!$B$5:$B$200,MATCH($A8,'Harga Bahan'!$A$5:$A$200,0)),INDEX('Harga Upah'!$B$5:$B$200,MATCH($A8,'Harga Upah'!$A$5:$A$200,0)))</f>
        <v>Paku campuran</v>
      </c>
      <c r="C8" s="31" t="str">
        <f aca="false">IF(LEFT($A8,1)="B",INDEX('Harga Bahan'!$C$5:$C$200,MATCH($A8,'Harga Bahan'!$A$5:$A$200,0)),INDEX('Harga Upah'!$C$5:$C$200,MATCH($A8,'Harga Upah'!$A$5:$A$200,0)))</f>
        <v>kg</v>
      </c>
      <c r="D8" s="37" t="n">
        <v>0.02</v>
      </c>
      <c r="E8" s="17" t="n">
        <f aca="false">IF(LEFT($A8,1)="B",INDEX('Harga Bahan'!$D$5:$D$200,MATCH($A8,'Harga Bahan'!$A$5:$A$200,0)),INDEX('Harga Upah'!$D$5:$D$200,MATCH($A8,'Harga Upah'!$A$5:$A$200,0)))</f>
        <v>28000</v>
      </c>
      <c r="F8" s="27" t="n">
        <f aca="false">D8*E8</f>
        <v>560</v>
      </c>
      <c r="G8" s="23" t="s">
        <v>177</v>
      </c>
    </row>
    <row r="9" customFormat="false" ht="15" hidden="false" customHeight="false" outlineLevel="0" collapsed="false">
      <c r="A9" s="16" t="s">
        <v>180</v>
      </c>
      <c r="B9" s="29" t="str">
        <f aca="false">IF(LEFT($A9,1)="B",INDEX('Harga Bahan'!$B$5:$B$200,MATCH($A9,'Harga Bahan'!$A$5:$A$200,0)),INDEX('Harga Upah'!$B$5:$B$200,MATCH($A9,'Harga Upah'!$A$5:$A$200,0)))</f>
        <v>Pekerja</v>
      </c>
      <c r="C9" s="31" t="str">
        <f aca="false">IF(LEFT($A9,1)="B",INDEX('Harga Bahan'!$C$5:$C$200,MATCH($A9,'Harga Bahan'!$A$5:$A$200,0)),INDEX('Harga Upah'!$C$5:$C$200,MATCH($A9,'Harga Upah'!$A$5:$A$200,0)))</f>
        <v>OH</v>
      </c>
      <c r="D9" s="37" t="n">
        <v>0.1</v>
      </c>
      <c r="E9" s="17" t="n">
        <f aca="false">IF(LEFT($A9,1)="B",INDEX('Harga Bahan'!$D$5:$D$200,MATCH($A9,'Harga Bahan'!$A$5:$A$200,0)),INDEX('Harga Upah'!$D$5:$D$200,MATCH($A9,'Harga Upah'!$A$5:$A$200,0)))</f>
        <v>150000</v>
      </c>
      <c r="F9" s="27" t="n">
        <f aca="false">D9*E9</f>
        <v>15000</v>
      </c>
      <c r="G9" s="23" t="s">
        <v>181</v>
      </c>
    </row>
    <row r="10" customFormat="false" ht="15" hidden="false" customHeight="false" outlineLevel="0" collapsed="false">
      <c r="A10" s="16" t="s">
        <v>182</v>
      </c>
      <c r="B10" s="29" t="str">
        <f aca="false">IF(LEFT($A10,1)="B",INDEX('Harga Bahan'!$B$5:$B$200,MATCH($A10,'Harga Bahan'!$A$5:$A$200,0)),INDEX('Harga Upah'!$B$5:$B$200,MATCH($A10,'Harga Upah'!$A$5:$A$200,0)))</f>
        <v>Tukang kayu</v>
      </c>
      <c r="C10" s="31" t="str">
        <f aca="false">IF(LEFT($A10,1)="B",INDEX('Harga Bahan'!$C$5:$C$200,MATCH($A10,'Harga Bahan'!$A$5:$A$200,0)),INDEX('Harga Upah'!$C$5:$C$200,MATCH($A10,'Harga Upah'!$A$5:$A$200,0)))</f>
        <v>OH</v>
      </c>
      <c r="D10" s="37" t="n">
        <v>0.1</v>
      </c>
      <c r="E10" s="17" t="n">
        <f aca="false">IF(LEFT($A10,1)="B",INDEX('Harga Bahan'!$D$5:$D$200,MATCH($A10,'Harga Bahan'!$A$5:$A$200,0)),INDEX('Harga Upah'!$D$5:$D$200,MATCH($A10,'Harga Upah'!$A$5:$A$200,0)))</f>
        <v>190000</v>
      </c>
      <c r="F10" s="27" t="n">
        <f aca="false">D10*E10</f>
        <v>19000</v>
      </c>
      <c r="G10" s="23" t="s">
        <v>181</v>
      </c>
    </row>
    <row r="11" customFormat="false" ht="15" hidden="false" customHeight="false" outlineLevel="0" collapsed="false">
      <c r="A11" s="16" t="s">
        <v>183</v>
      </c>
      <c r="B11" s="29" t="str">
        <f aca="false">IF(LEFT($A11,1)="B",INDEX('Harga Bahan'!$B$5:$B$200,MATCH($A11,'Harga Bahan'!$A$5:$A$200,0)),INDEX('Harga Upah'!$B$5:$B$200,MATCH($A11,'Harga Upah'!$A$5:$A$200,0)))</f>
        <v>Kepala tukang</v>
      </c>
      <c r="C11" s="31" t="str">
        <f aca="false">IF(LEFT($A11,1)="B",INDEX('Harga Bahan'!$C$5:$C$200,MATCH($A11,'Harga Bahan'!$A$5:$A$200,0)),INDEX('Harga Upah'!$C$5:$C$200,MATCH($A11,'Harga Upah'!$A$5:$A$200,0)))</f>
        <v>OH</v>
      </c>
      <c r="D11" s="37" t="n">
        <v>0.01</v>
      </c>
      <c r="E11" s="17" t="n">
        <f aca="false">IF(LEFT($A11,1)="B",INDEX('Harga Bahan'!$D$5:$D$200,MATCH($A11,'Harga Bahan'!$A$5:$A$200,0)),INDEX('Harga Upah'!$D$5:$D$200,MATCH($A11,'Harga Upah'!$A$5:$A$200,0)))</f>
        <v>210000</v>
      </c>
      <c r="F11" s="27" t="n">
        <f aca="false">D11*E11</f>
        <v>2100</v>
      </c>
      <c r="G11" s="23" t="s">
        <v>181</v>
      </c>
    </row>
    <row r="12" customFormat="false" ht="15" hidden="false" customHeight="false" outlineLevel="0" collapsed="false">
      <c r="A12" s="16" t="s">
        <v>184</v>
      </c>
      <c r="B12" s="29" t="str">
        <f aca="false">IF(LEFT($A12,1)="B",INDEX('Harga Bahan'!$B$5:$B$200,MATCH($A12,'Harga Bahan'!$A$5:$A$200,0)),INDEX('Harga Upah'!$B$5:$B$200,MATCH($A12,'Harga Upah'!$A$5:$A$200,0)))</f>
        <v>Mandor</v>
      </c>
      <c r="C12" s="31" t="str">
        <f aca="false">IF(LEFT($A12,1)="B",INDEX('Harga Bahan'!$C$5:$C$200,MATCH($A12,'Harga Bahan'!$A$5:$A$200,0)),INDEX('Harga Upah'!$C$5:$C$200,MATCH($A12,'Harga Upah'!$A$5:$A$200,0)))</f>
        <v>OH</v>
      </c>
      <c r="D12" s="37" t="n">
        <v>0.005</v>
      </c>
      <c r="E12" s="17" t="n">
        <f aca="false">IF(LEFT($A12,1)="B",INDEX('Harga Bahan'!$D$5:$D$200,MATCH($A12,'Harga Bahan'!$A$5:$A$200,0)),INDEX('Harga Upah'!$D$5:$D$200,MATCH($A12,'Harga Upah'!$A$5:$A$200,0)))</f>
        <v>225000</v>
      </c>
      <c r="F12" s="27" t="n">
        <f aca="false">D12*E12</f>
        <v>1125</v>
      </c>
      <c r="G12" s="23" t="s">
        <v>181</v>
      </c>
    </row>
    <row r="13" customFormat="false" ht="15" hidden="false" customHeight="false" outlineLevel="0" collapsed="false">
      <c r="A13" s="32"/>
      <c r="B13" s="32" t="s">
        <v>185</v>
      </c>
      <c r="C13" s="32"/>
      <c r="D13" s="32"/>
      <c r="E13" s="32"/>
      <c r="F13" s="38" t="n">
        <f aca="false">SUMIF(G6:G12,"Bahan",F6:F12)</f>
        <v>132560</v>
      </c>
      <c r="G13" s="32"/>
    </row>
    <row r="14" customFormat="false" ht="15" hidden="false" customHeight="false" outlineLevel="0" collapsed="false">
      <c r="A14" s="32"/>
      <c r="B14" s="32" t="s">
        <v>186</v>
      </c>
      <c r="C14" s="32"/>
      <c r="D14" s="32"/>
      <c r="E14" s="32"/>
      <c r="F14" s="38" t="n">
        <f aca="false">SUMIF(G6:G12,"Upah",F6:F12)</f>
        <v>37225</v>
      </c>
      <c r="G14" s="32"/>
    </row>
    <row r="15" customFormat="false" ht="15" hidden="false" customHeight="false" outlineLevel="0" collapsed="false">
      <c r="A15" s="32"/>
      <c r="B15" s="32" t="str">
        <f aca="false">"Overhead &amp; profit ("&amp;TEXT('Informasi Project'!$B$17,"0.0%")&amp;")"</f>
        <v>Overhead &amp; profit (15.0%)</v>
      </c>
      <c r="C15" s="32"/>
      <c r="D15" s="32"/>
      <c r="E15" s="32"/>
      <c r="F15" s="38" t="n">
        <f aca="false">(F13+F14)*'Informasi Project'!$B$17</f>
        <v>25467.75</v>
      </c>
      <c r="G15" s="32"/>
    </row>
    <row r="16" customFormat="false" ht="15" hidden="false" customHeight="false" outlineLevel="0" collapsed="false">
      <c r="A16" s="19"/>
      <c r="B16" s="3" t="s">
        <v>187</v>
      </c>
      <c r="C16" s="19"/>
      <c r="D16" s="19"/>
      <c r="E16" s="19"/>
      <c r="F16" s="20" t="n">
        <f aca="false">F13+F14+F15</f>
        <v>195252.75</v>
      </c>
      <c r="G16" s="19"/>
    </row>
    <row r="18" customFormat="false" ht="15" hidden="false" customHeight="false" outlineLevel="0" collapsed="false">
      <c r="A18" s="3" t="s">
        <v>88</v>
      </c>
      <c r="B18" s="3" t="s">
        <v>188</v>
      </c>
      <c r="C18" s="3" t="s">
        <v>189</v>
      </c>
      <c r="D18" s="3"/>
      <c r="E18" s="36" t="s">
        <v>175</v>
      </c>
      <c r="F18" s="20" t="n">
        <f aca="false">F24</f>
        <v>9271.875</v>
      </c>
      <c r="G18" s="3"/>
    </row>
    <row r="19" customFormat="false" ht="15" hidden="false" customHeight="false" outlineLevel="0" collapsed="false">
      <c r="A19" s="16" t="s">
        <v>180</v>
      </c>
      <c r="B19" s="29" t="str">
        <f aca="false">IF(LEFT($A19,1)="B",INDEX('Harga Bahan'!$B$5:$B$200,MATCH($A19,'Harga Bahan'!$A$5:$A$200,0)),INDEX('Harga Upah'!$B$5:$B$200,MATCH($A19,'Harga Upah'!$A$5:$A$200,0)))</f>
        <v>Pekerja</v>
      </c>
      <c r="C19" s="31" t="str">
        <f aca="false">IF(LEFT($A19,1)="B",INDEX('Harga Bahan'!$C$5:$C$200,MATCH($A19,'Harga Bahan'!$A$5:$A$200,0)),INDEX('Harga Upah'!$C$5:$C$200,MATCH($A19,'Harga Upah'!$A$5:$A$200,0)))</f>
        <v>OH</v>
      </c>
      <c r="D19" s="37" t="n">
        <v>0.05</v>
      </c>
      <c r="E19" s="17" t="n">
        <f aca="false">IF(LEFT($A19,1)="B",INDEX('Harga Bahan'!$D$5:$D$200,MATCH($A19,'Harga Bahan'!$A$5:$A$200,0)),INDEX('Harga Upah'!$D$5:$D$200,MATCH($A19,'Harga Upah'!$A$5:$A$200,0)))</f>
        <v>150000</v>
      </c>
      <c r="F19" s="27" t="n">
        <f aca="false">D19*E19</f>
        <v>7500</v>
      </c>
      <c r="G19" s="23" t="s">
        <v>181</v>
      </c>
    </row>
    <row r="20" customFormat="false" ht="15" hidden="false" customHeight="false" outlineLevel="0" collapsed="false">
      <c r="A20" s="16" t="s">
        <v>184</v>
      </c>
      <c r="B20" s="29" t="str">
        <f aca="false">IF(LEFT($A20,1)="B",INDEX('Harga Bahan'!$B$5:$B$200,MATCH($A20,'Harga Bahan'!$A$5:$A$200,0)),INDEX('Harga Upah'!$B$5:$B$200,MATCH($A20,'Harga Upah'!$A$5:$A$200,0)))</f>
        <v>Mandor</v>
      </c>
      <c r="C20" s="31" t="str">
        <f aca="false">IF(LEFT($A20,1)="B",INDEX('Harga Bahan'!$C$5:$C$200,MATCH($A20,'Harga Bahan'!$A$5:$A$200,0)),INDEX('Harga Upah'!$C$5:$C$200,MATCH($A20,'Harga Upah'!$A$5:$A$200,0)))</f>
        <v>OH</v>
      </c>
      <c r="D20" s="37" t="n">
        <v>0.0025</v>
      </c>
      <c r="E20" s="17" t="n">
        <f aca="false">IF(LEFT($A20,1)="B",INDEX('Harga Bahan'!$D$5:$D$200,MATCH($A20,'Harga Bahan'!$A$5:$A$200,0)),INDEX('Harga Upah'!$D$5:$D$200,MATCH($A20,'Harga Upah'!$A$5:$A$200,0)))</f>
        <v>225000</v>
      </c>
      <c r="F20" s="27" t="n">
        <f aca="false">D20*E20</f>
        <v>562.5</v>
      </c>
      <c r="G20" s="23" t="s">
        <v>181</v>
      </c>
    </row>
    <row r="21" customFormat="false" ht="15" hidden="false" customHeight="false" outlineLevel="0" collapsed="false">
      <c r="A21" s="32"/>
      <c r="B21" s="32" t="s">
        <v>185</v>
      </c>
      <c r="C21" s="32"/>
      <c r="D21" s="32"/>
      <c r="E21" s="32"/>
      <c r="F21" s="38" t="n">
        <f aca="false">SUMIF(G19:G20,"Bahan",F19:F20)</f>
        <v>0</v>
      </c>
      <c r="G21" s="32"/>
    </row>
    <row r="22" customFormat="false" ht="15" hidden="false" customHeight="false" outlineLevel="0" collapsed="false">
      <c r="A22" s="32"/>
      <c r="B22" s="32" t="s">
        <v>186</v>
      </c>
      <c r="C22" s="32"/>
      <c r="D22" s="32"/>
      <c r="E22" s="32"/>
      <c r="F22" s="38" t="n">
        <f aca="false">SUMIF(G19:G20,"Upah",F19:F20)</f>
        <v>8062.5</v>
      </c>
      <c r="G22" s="32"/>
    </row>
    <row r="23" customFormat="false" ht="15" hidden="false" customHeight="false" outlineLevel="0" collapsed="false">
      <c r="A23" s="32"/>
      <c r="B23" s="32" t="str">
        <f aca="false">"Overhead &amp; profit ("&amp;TEXT('Informasi Project'!$B$17,"0.0%")&amp;")"</f>
        <v>Overhead &amp; profit (15.0%)</v>
      </c>
      <c r="C23" s="32"/>
      <c r="D23" s="32"/>
      <c r="E23" s="32"/>
      <c r="F23" s="38" t="n">
        <f aca="false">(F21+F22)*'Informasi Project'!$B$17</f>
        <v>1209.375</v>
      </c>
      <c r="G23" s="32"/>
    </row>
    <row r="24" customFormat="false" ht="15" hidden="false" customHeight="false" outlineLevel="0" collapsed="false">
      <c r="A24" s="19"/>
      <c r="B24" s="3" t="s">
        <v>187</v>
      </c>
      <c r="C24" s="19"/>
      <c r="D24" s="19"/>
      <c r="E24" s="19"/>
      <c r="F24" s="20" t="n">
        <f aca="false">F21+F22+F23</f>
        <v>9271.875</v>
      </c>
      <c r="G24" s="19"/>
    </row>
    <row r="26" customFormat="false" ht="15" hidden="false" customHeight="false" outlineLevel="0" collapsed="false">
      <c r="A26" s="3" t="s">
        <v>93</v>
      </c>
      <c r="B26" s="3" t="s">
        <v>190</v>
      </c>
      <c r="C26" s="3" t="s">
        <v>191</v>
      </c>
      <c r="D26" s="3"/>
      <c r="E26" s="36" t="s">
        <v>175</v>
      </c>
      <c r="F26" s="20" t="n">
        <f aca="false">F32</f>
        <v>135843.75</v>
      </c>
      <c r="G26" s="3"/>
    </row>
    <row r="27" customFormat="false" ht="15" hidden="false" customHeight="false" outlineLevel="0" collapsed="false">
      <c r="A27" s="16" t="s">
        <v>180</v>
      </c>
      <c r="B27" s="29" t="str">
        <f aca="false">IF(LEFT($A27,1)="B",INDEX('Harga Bahan'!$B$5:$B$200,MATCH($A27,'Harga Bahan'!$A$5:$A$200,0)),INDEX('Harga Upah'!$B$5:$B$200,MATCH($A27,'Harga Upah'!$A$5:$A$200,0)))</f>
        <v>Pekerja</v>
      </c>
      <c r="C27" s="31" t="str">
        <f aca="false">IF(LEFT($A27,1)="B",INDEX('Harga Bahan'!$C$5:$C$200,MATCH($A27,'Harga Bahan'!$A$5:$A$200,0)),INDEX('Harga Upah'!$C$5:$C$200,MATCH($A27,'Harga Upah'!$A$5:$A$200,0)))</f>
        <v>OH</v>
      </c>
      <c r="D27" s="37" t="n">
        <v>0.75</v>
      </c>
      <c r="E27" s="17" t="n">
        <f aca="false">IF(LEFT($A27,1)="B",INDEX('Harga Bahan'!$D$5:$D$200,MATCH($A27,'Harga Bahan'!$A$5:$A$200,0)),INDEX('Harga Upah'!$D$5:$D$200,MATCH($A27,'Harga Upah'!$A$5:$A$200,0)))</f>
        <v>150000</v>
      </c>
      <c r="F27" s="27" t="n">
        <f aca="false">D27*E27</f>
        <v>112500</v>
      </c>
      <c r="G27" s="23" t="s">
        <v>181</v>
      </c>
    </row>
    <row r="28" customFormat="false" ht="15" hidden="false" customHeight="false" outlineLevel="0" collapsed="false">
      <c r="A28" s="16" t="s">
        <v>184</v>
      </c>
      <c r="B28" s="29" t="str">
        <f aca="false">IF(LEFT($A28,1)="B",INDEX('Harga Bahan'!$B$5:$B$200,MATCH($A28,'Harga Bahan'!$A$5:$A$200,0)),INDEX('Harga Upah'!$B$5:$B$200,MATCH($A28,'Harga Upah'!$A$5:$A$200,0)))</f>
        <v>Mandor</v>
      </c>
      <c r="C28" s="31" t="str">
        <f aca="false">IF(LEFT($A28,1)="B",INDEX('Harga Bahan'!$C$5:$C$200,MATCH($A28,'Harga Bahan'!$A$5:$A$200,0)),INDEX('Harga Upah'!$C$5:$C$200,MATCH($A28,'Harga Upah'!$A$5:$A$200,0)))</f>
        <v>OH</v>
      </c>
      <c r="D28" s="37" t="n">
        <v>0.025</v>
      </c>
      <c r="E28" s="17" t="n">
        <f aca="false">IF(LEFT($A28,1)="B",INDEX('Harga Bahan'!$D$5:$D$200,MATCH($A28,'Harga Bahan'!$A$5:$A$200,0)),INDEX('Harga Upah'!$D$5:$D$200,MATCH($A28,'Harga Upah'!$A$5:$A$200,0)))</f>
        <v>225000</v>
      </c>
      <c r="F28" s="27" t="n">
        <f aca="false">D28*E28</f>
        <v>5625</v>
      </c>
      <c r="G28" s="23" t="s">
        <v>181</v>
      </c>
    </row>
    <row r="29" customFormat="false" ht="15" hidden="false" customHeight="false" outlineLevel="0" collapsed="false">
      <c r="A29" s="32"/>
      <c r="B29" s="32" t="s">
        <v>185</v>
      </c>
      <c r="C29" s="32"/>
      <c r="D29" s="32"/>
      <c r="E29" s="32"/>
      <c r="F29" s="38" t="n">
        <f aca="false">SUMIF(G27:G28,"Bahan",F27:F28)</f>
        <v>0</v>
      </c>
      <c r="G29" s="32"/>
    </row>
    <row r="30" customFormat="false" ht="15" hidden="false" customHeight="false" outlineLevel="0" collapsed="false">
      <c r="A30" s="32"/>
      <c r="B30" s="32" t="s">
        <v>186</v>
      </c>
      <c r="C30" s="32"/>
      <c r="D30" s="32"/>
      <c r="E30" s="32"/>
      <c r="F30" s="38" t="n">
        <f aca="false">SUMIF(G27:G28,"Upah",F27:F28)</f>
        <v>118125</v>
      </c>
      <c r="G30" s="32"/>
    </row>
    <row r="31" customFormat="false" ht="15" hidden="false" customHeight="false" outlineLevel="0" collapsed="false">
      <c r="A31" s="32"/>
      <c r="B31" s="32" t="str">
        <f aca="false">"Overhead &amp; profit ("&amp;TEXT('Informasi Project'!$B$17,"0.0%")&amp;")"</f>
        <v>Overhead &amp; profit (15.0%)</v>
      </c>
      <c r="C31" s="32"/>
      <c r="D31" s="32"/>
      <c r="E31" s="32"/>
      <c r="F31" s="38" t="n">
        <f aca="false">(F29+F30)*'Informasi Project'!$B$17</f>
        <v>17718.75</v>
      </c>
      <c r="G31" s="32"/>
    </row>
    <row r="32" customFormat="false" ht="15" hidden="false" customHeight="false" outlineLevel="0" collapsed="false">
      <c r="A32" s="19"/>
      <c r="B32" s="3" t="s">
        <v>187</v>
      </c>
      <c r="C32" s="19"/>
      <c r="D32" s="19"/>
      <c r="E32" s="19"/>
      <c r="F32" s="20" t="n">
        <f aca="false">F29+F30+F31</f>
        <v>135843.75</v>
      </c>
      <c r="G32" s="19"/>
    </row>
    <row r="34" customFormat="false" ht="15" hidden="false" customHeight="false" outlineLevel="0" collapsed="false">
      <c r="A34" s="3" t="s">
        <v>95</v>
      </c>
      <c r="B34" s="3" t="s">
        <v>192</v>
      </c>
      <c r="C34" s="3" t="s">
        <v>191</v>
      </c>
      <c r="D34" s="3"/>
      <c r="E34" s="36" t="s">
        <v>175</v>
      </c>
      <c r="F34" s="20" t="n">
        <f aca="false">F41</f>
        <v>468337.5</v>
      </c>
      <c r="G34" s="3"/>
    </row>
    <row r="35" customFormat="false" ht="15" hidden="false" customHeight="false" outlineLevel="0" collapsed="false">
      <c r="A35" s="16" t="s">
        <v>193</v>
      </c>
      <c r="B35" s="29" t="str">
        <f aca="false">IF(LEFT($A35,1)="B",INDEX('Harga Bahan'!$B$5:$B$200,MATCH($A35,'Harga Bahan'!$A$5:$A$200,0)),INDEX('Harga Upah'!$B$5:$B$200,MATCH($A35,'Harga Upah'!$A$5:$A$200,0)))</f>
        <v>Pasir pasang</v>
      </c>
      <c r="C35" s="31" t="str">
        <f aca="false">IF(LEFT($A35,1)="B",INDEX('Harga Bahan'!$C$5:$C$200,MATCH($A35,'Harga Bahan'!$A$5:$A$200,0)),INDEX('Harga Upah'!$C$5:$C$200,MATCH($A35,'Harga Upah'!$A$5:$A$200,0)))</f>
        <v>m³</v>
      </c>
      <c r="D35" s="37" t="n">
        <v>1.2</v>
      </c>
      <c r="E35" s="17" t="n">
        <f aca="false">IF(LEFT($A35,1)="B",INDEX('Harga Bahan'!$D$5:$D$200,MATCH($A35,'Harga Bahan'!$A$5:$A$200,0)),INDEX('Harga Upah'!$D$5:$D$200,MATCH($A35,'Harga Upah'!$A$5:$A$200,0)))</f>
        <v>300000</v>
      </c>
      <c r="F35" s="27" t="n">
        <f aca="false">D35*E35</f>
        <v>360000</v>
      </c>
      <c r="G35" s="23" t="s">
        <v>177</v>
      </c>
    </row>
    <row r="36" customFormat="false" ht="15" hidden="false" customHeight="false" outlineLevel="0" collapsed="false">
      <c r="A36" s="16" t="s">
        <v>180</v>
      </c>
      <c r="B36" s="29" t="str">
        <f aca="false">IF(LEFT($A36,1)="B",INDEX('Harga Bahan'!$B$5:$B$200,MATCH($A36,'Harga Bahan'!$A$5:$A$200,0)),INDEX('Harga Upah'!$B$5:$B$200,MATCH($A36,'Harga Upah'!$A$5:$A$200,0)))</f>
        <v>Pekerja</v>
      </c>
      <c r="C36" s="31" t="str">
        <f aca="false">IF(LEFT($A36,1)="B",INDEX('Harga Bahan'!$C$5:$C$200,MATCH($A36,'Harga Bahan'!$A$5:$A$200,0)),INDEX('Harga Upah'!$C$5:$C$200,MATCH($A36,'Harga Upah'!$A$5:$A$200,0)))</f>
        <v>OH</v>
      </c>
      <c r="D36" s="37" t="n">
        <v>0.3</v>
      </c>
      <c r="E36" s="17" t="n">
        <f aca="false">IF(LEFT($A36,1)="B",INDEX('Harga Bahan'!$D$5:$D$200,MATCH($A36,'Harga Bahan'!$A$5:$A$200,0)),INDEX('Harga Upah'!$D$5:$D$200,MATCH($A36,'Harga Upah'!$A$5:$A$200,0)))</f>
        <v>150000</v>
      </c>
      <c r="F36" s="27" t="n">
        <f aca="false">D36*E36</f>
        <v>45000</v>
      </c>
      <c r="G36" s="23" t="s">
        <v>181</v>
      </c>
    </row>
    <row r="37" customFormat="false" ht="15" hidden="false" customHeight="false" outlineLevel="0" collapsed="false">
      <c r="A37" s="16" t="s">
        <v>184</v>
      </c>
      <c r="B37" s="29" t="str">
        <f aca="false">IF(LEFT($A37,1)="B",INDEX('Harga Bahan'!$B$5:$B$200,MATCH($A37,'Harga Bahan'!$A$5:$A$200,0)),INDEX('Harga Upah'!$B$5:$B$200,MATCH($A37,'Harga Upah'!$A$5:$A$200,0)))</f>
        <v>Mandor</v>
      </c>
      <c r="C37" s="31" t="str">
        <f aca="false">IF(LEFT($A37,1)="B",INDEX('Harga Bahan'!$C$5:$C$200,MATCH($A37,'Harga Bahan'!$A$5:$A$200,0)),INDEX('Harga Upah'!$C$5:$C$200,MATCH($A37,'Harga Upah'!$A$5:$A$200,0)))</f>
        <v>OH</v>
      </c>
      <c r="D37" s="37" t="n">
        <v>0.01</v>
      </c>
      <c r="E37" s="17" t="n">
        <f aca="false">IF(LEFT($A37,1)="B",INDEX('Harga Bahan'!$D$5:$D$200,MATCH($A37,'Harga Bahan'!$A$5:$A$200,0)),INDEX('Harga Upah'!$D$5:$D$200,MATCH($A37,'Harga Upah'!$A$5:$A$200,0)))</f>
        <v>225000</v>
      </c>
      <c r="F37" s="27" t="n">
        <f aca="false">D37*E37</f>
        <v>2250</v>
      </c>
      <c r="G37" s="23" t="s">
        <v>181</v>
      </c>
    </row>
    <row r="38" customFormat="false" ht="15" hidden="false" customHeight="false" outlineLevel="0" collapsed="false">
      <c r="A38" s="32"/>
      <c r="B38" s="32" t="s">
        <v>185</v>
      </c>
      <c r="C38" s="32"/>
      <c r="D38" s="32"/>
      <c r="E38" s="32"/>
      <c r="F38" s="38" t="n">
        <f aca="false">SUMIF(G35:G37,"Bahan",F35:F37)</f>
        <v>360000</v>
      </c>
      <c r="G38" s="32"/>
    </row>
    <row r="39" customFormat="false" ht="15" hidden="false" customHeight="false" outlineLevel="0" collapsed="false">
      <c r="A39" s="32"/>
      <c r="B39" s="32" t="s">
        <v>186</v>
      </c>
      <c r="C39" s="32"/>
      <c r="D39" s="32"/>
      <c r="E39" s="32"/>
      <c r="F39" s="38" t="n">
        <f aca="false">SUMIF(G35:G37,"Upah",F35:F37)</f>
        <v>47250</v>
      </c>
      <c r="G39" s="32"/>
    </row>
    <row r="40" customFormat="false" ht="15" hidden="false" customHeight="false" outlineLevel="0" collapsed="false">
      <c r="A40" s="32"/>
      <c r="B40" s="32" t="str">
        <f aca="false">"Overhead &amp; profit ("&amp;TEXT('Informasi Project'!$B$17,"0.0%")&amp;")"</f>
        <v>Overhead &amp; profit (15.0%)</v>
      </c>
      <c r="C40" s="32"/>
      <c r="D40" s="32"/>
      <c r="E40" s="32"/>
      <c r="F40" s="38" t="n">
        <f aca="false">(F38+F39)*'Informasi Project'!$B$17</f>
        <v>61087.5</v>
      </c>
      <c r="G40" s="32"/>
    </row>
    <row r="41" customFormat="false" ht="15" hidden="false" customHeight="false" outlineLevel="0" collapsed="false">
      <c r="A41" s="19"/>
      <c r="B41" s="3" t="s">
        <v>187</v>
      </c>
      <c r="C41" s="19"/>
      <c r="D41" s="19"/>
      <c r="E41" s="19"/>
      <c r="F41" s="20" t="n">
        <f aca="false">F38+F39+F40</f>
        <v>468337.5</v>
      </c>
      <c r="G41" s="19"/>
    </row>
    <row r="43" customFormat="false" ht="15" hidden="false" customHeight="false" outlineLevel="0" collapsed="false">
      <c r="A43" s="3" t="s">
        <v>97</v>
      </c>
      <c r="B43" s="3" t="s">
        <v>194</v>
      </c>
      <c r="C43" s="3" t="s">
        <v>191</v>
      </c>
      <c r="D43" s="3"/>
      <c r="E43" s="36" t="s">
        <v>175</v>
      </c>
      <c r="F43" s="20" t="n">
        <f aca="false">F53</f>
        <v>843714.75</v>
      </c>
      <c r="G43" s="3"/>
    </row>
    <row r="44" customFormat="false" ht="15" hidden="false" customHeight="false" outlineLevel="0" collapsed="false">
      <c r="A44" s="16" t="s">
        <v>195</v>
      </c>
      <c r="B44" s="29" t="str">
        <f aca="false">IF(LEFT($A44,1)="B",INDEX('Harga Bahan'!$B$5:$B$200,MATCH($A44,'Harga Bahan'!$A$5:$A$200,0)),INDEX('Harga Upah'!$B$5:$B$200,MATCH($A44,'Harga Upah'!$A$5:$A$200,0)))</f>
        <v>Batu kosong (aanstamping)</v>
      </c>
      <c r="C44" s="31" t="str">
        <f aca="false">IF(LEFT($A44,1)="B",INDEX('Harga Bahan'!$C$5:$C$200,MATCH($A44,'Harga Bahan'!$A$5:$A$200,0)),INDEX('Harga Upah'!$C$5:$C$200,MATCH($A44,'Harga Upah'!$A$5:$A$200,0)))</f>
        <v>m³</v>
      </c>
      <c r="D44" s="37" t="n">
        <v>1.2</v>
      </c>
      <c r="E44" s="17" t="n">
        <f aca="false">IF(LEFT($A44,1)="B",INDEX('Harga Bahan'!$D$5:$D$200,MATCH($A44,'Harga Bahan'!$A$5:$A$200,0)),INDEX('Harga Upah'!$D$5:$D$200,MATCH($A44,'Harga Upah'!$A$5:$A$200,0)))</f>
        <v>330000</v>
      </c>
      <c r="F44" s="27" t="n">
        <f aca="false">D44*E44</f>
        <v>396000</v>
      </c>
      <c r="G44" s="23" t="s">
        <v>177</v>
      </c>
    </row>
    <row r="45" customFormat="false" ht="15" hidden="false" customHeight="false" outlineLevel="0" collapsed="false">
      <c r="A45" s="16" t="s">
        <v>193</v>
      </c>
      <c r="B45" s="29" t="str">
        <f aca="false">IF(LEFT($A45,1)="B",INDEX('Harga Bahan'!$B$5:$B$200,MATCH($A45,'Harga Bahan'!$A$5:$A$200,0)),INDEX('Harga Upah'!$B$5:$B$200,MATCH($A45,'Harga Upah'!$A$5:$A$200,0)))</f>
        <v>Pasir pasang</v>
      </c>
      <c r="C45" s="31" t="str">
        <f aca="false">IF(LEFT($A45,1)="B",INDEX('Harga Bahan'!$C$5:$C$200,MATCH($A45,'Harga Bahan'!$A$5:$A$200,0)),INDEX('Harga Upah'!$C$5:$C$200,MATCH($A45,'Harga Upah'!$A$5:$A$200,0)))</f>
        <v>m³</v>
      </c>
      <c r="D45" s="37" t="n">
        <v>0.432</v>
      </c>
      <c r="E45" s="17" t="n">
        <f aca="false">IF(LEFT($A45,1)="B",INDEX('Harga Bahan'!$D$5:$D$200,MATCH($A45,'Harga Bahan'!$A$5:$A$200,0)),INDEX('Harga Upah'!$D$5:$D$200,MATCH($A45,'Harga Upah'!$A$5:$A$200,0)))</f>
        <v>300000</v>
      </c>
      <c r="F45" s="27" t="n">
        <f aca="false">D45*E45</f>
        <v>129600</v>
      </c>
      <c r="G45" s="23" t="s">
        <v>177</v>
      </c>
    </row>
    <row r="46" customFormat="false" ht="15" hidden="false" customHeight="false" outlineLevel="0" collapsed="false">
      <c r="A46" s="16" t="s">
        <v>180</v>
      </c>
      <c r="B46" s="29" t="str">
        <f aca="false">IF(LEFT($A46,1)="B",INDEX('Harga Bahan'!$B$5:$B$200,MATCH($A46,'Harga Bahan'!$A$5:$A$200,0)),INDEX('Harga Upah'!$B$5:$B$200,MATCH($A46,'Harga Upah'!$A$5:$A$200,0)))</f>
        <v>Pekerja</v>
      </c>
      <c r="C46" s="31" t="str">
        <f aca="false">IF(LEFT($A46,1)="B",INDEX('Harga Bahan'!$C$5:$C$200,MATCH($A46,'Harga Bahan'!$A$5:$A$200,0)),INDEX('Harga Upah'!$C$5:$C$200,MATCH($A46,'Harga Upah'!$A$5:$A$200,0)))</f>
        <v>OH</v>
      </c>
      <c r="D46" s="37" t="n">
        <v>0.78</v>
      </c>
      <c r="E46" s="17" t="n">
        <f aca="false">IF(LEFT($A46,1)="B",INDEX('Harga Bahan'!$D$5:$D$200,MATCH($A46,'Harga Bahan'!$A$5:$A$200,0)),INDEX('Harga Upah'!$D$5:$D$200,MATCH($A46,'Harga Upah'!$A$5:$A$200,0)))</f>
        <v>150000</v>
      </c>
      <c r="F46" s="27" t="n">
        <f aca="false">D46*E46</f>
        <v>117000</v>
      </c>
      <c r="G46" s="23" t="s">
        <v>181</v>
      </c>
    </row>
    <row r="47" customFormat="false" ht="15" hidden="false" customHeight="false" outlineLevel="0" collapsed="false">
      <c r="A47" s="16" t="s">
        <v>196</v>
      </c>
      <c r="B47" s="29" t="str">
        <f aca="false">IF(LEFT($A47,1)="B",INDEX('Harga Bahan'!$B$5:$B$200,MATCH($A47,'Harga Bahan'!$A$5:$A$200,0)),INDEX('Harga Upah'!$B$5:$B$200,MATCH($A47,'Harga Upah'!$A$5:$A$200,0)))</f>
        <v>Tukang batu</v>
      </c>
      <c r="C47" s="31" t="str">
        <f aca="false">IF(LEFT($A47,1)="B",INDEX('Harga Bahan'!$C$5:$C$200,MATCH($A47,'Harga Bahan'!$A$5:$A$200,0)),INDEX('Harga Upah'!$C$5:$C$200,MATCH($A47,'Harga Upah'!$A$5:$A$200,0)))</f>
        <v>OH</v>
      </c>
      <c r="D47" s="37" t="n">
        <v>0.39</v>
      </c>
      <c r="E47" s="17" t="n">
        <f aca="false">IF(LEFT($A47,1)="B",INDEX('Harga Bahan'!$D$5:$D$200,MATCH($A47,'Harga Bahan'!$A$5:$A$200,0)),INDEX('Harga Upah'!$D$5:$D$200,MATCH($A47,'Harga Upah'!$A$5:$A$200,0)))</f>
        <v>190000</v>
      </c>
      <c r="F47" s="27" t="n">
        <f aca="false">D47*E47</f>
        <v>74100</v>
      </c>
      <c r="G47" s="23" t="s">
        <v>181</v>
      </c>
    </row>
    <row r="48" customFormat="false" ht="15" hidden="false" customHeight="false" outlineLevel="0" collapsed="false">
      <c r="A48" s="16" t="s">
        <v>183</v>
      </c>
      <c r="B48" s="29" t="str">
        <f aca="false">IF(LEFT($A48,1)="B",INDEX('Harga Bahan'!$B$5:$B$200,MATCH($A48,'Harga Bahan'!$A$5:$A$200,0)),INDEX('Harga Upah'!$B$5:$B$200,MATCH($A48,'Harga Upah'!$A$5:$A$200,0)))</f>
        <v>Kepala tukang</v>
      </c>
      <c r="C48" s="31" t="str">
        <f aca="false">IF(LEFT($A48,1)="B",INDEX('Harga Bahan'!$C$5:$C$200,MATCH($A48,'Harga Bahan'!$A$5:$A$200,0)),INDEX('Harga Upah'!$C$5:$C$200,MATCH($A48,'Harga Upah'!$A$5:$A$200,0)))</f>
        <v>OH</v>
      </c>
      <c r="D48" s="37" t="n">
        <v>0.039</v>
      </c>
      <c r="E48" s="17" t="n">
        <f aca="false">IF(LEFT($A48,1)="B",INDEX('Harga Bahan'!$D$5:$D$200,MATCH($A48,'Harga Bahan'!$A$5:$A$200,0)),INDEX('Harga Upah'!$D$5:$D$200,MATCH($A48,'Harga Upah'!$A$5:$A$200,0)))</f>
        <v>210000</v>
      </c>
      <c r="F48" s="27" t="n">
        <f aca="false">D48*E48</f>
        <v>8190</v>
      </c>
      <c r="G48" s="23" t="s">
        <v>181</v>
      </c>
    </row>
    <row r="49" customFormat="false" ht="15" hidden="false" customHeight="false" outlineLevel="0" collapsed="false">
      <c r="A49" s="16" t="s">
        <v>184</v>
      </c>
      <c r="B49" s="29" t="str">
        <f aca="false">IF(LEFT($A49,1)="B",INDEX('Harga Bahan'!$B$5:$B$200,MATCH($A49,'Harga Bahan'!$A$5:$A$200,0)),INDEX('Harga Upah'!$B$5:$B$200,MATCH($A49,'Harga Upah'!$A$5:$A$200,0)))</f>
        <v>Mandor</v>
      </c>
      <c r="C49" s="31" t="str">
        <f aca="false">IF(LEFT($A49,1)="B",INDEX('Harga Bahan'!$C$5:$C$200,MATCH($A49,'Harga Bahan'!$A$5:$A$200,0)),INDEX('Harga Upah'!$C$5:$C$200,MATCH($A49,'Harga Upah'!$A$5:$A$200,0)))</f>
        <v>OH</v>
      </c>
      <c r="D49" s="37" t="n">
        <v>0.039</v>
      </c>
      <c r="E49" s="17" t="n">
        <f aca="false">IF(LEFT($A49,1)="B",INDEX('Harga Bahan'!$D$5:$D$200,MATCH($A49,'Harga Bahan'!$A$5:$A$200,0)),INDEX('Harga Upah'!$D$5:$D$200,MATCH($A49,'Harga Upah'!$A$5:$A$200,0)))</f>
        <v>225000</v>
      </c>
      <c r="F49" s="27" t="n">
        <f aca="false">D49*E49</f>
        <v>8775</v>
      </c>
      <c r="G49" s="23" t="s">
        <v>181</v>
      </c>
    </row>
    <row r="50" customFormat="false" ht="15" hidden="false" customHeight="false" outlineLevel="0" collapsed="false">
      <c r="A50" s="32"/>
      <c r="B50" s="32" t="s">
        <v>185</v>
      </c>
      <c r="C50" s="32"/>
      <c r="D50" s="32"/>
      <c r="E50" s="32"/>
      <c r="F50" s="38" t="n">
        <f aca="false">SUMIF(G44:G49,"Bahan",F44:F49)</f>
        <v>525600</v>
      </c>
      <c r="G50" s="32"/>
    </row>
    <row r="51" customFormat="false" ht="15" hidden="false" customHeight="false" outlineLevel="0" collapsed="false">
      <c r="A51" s="32"/>
      <c r="B51" s="32" t="s">
        <v>186</v>
      </c>
      <c r="C51" s="32"/>
      <c r="D51" s="32"/>
      <c r="E51" s="32"/>
      <c r="F51" s="38" t="n">
        <f aca="false">SUMIF(G44:G49,"Upah",F44:F49)</f>
        <v>208065</v>
      </c>
      <c r="G51" s="32"/>
    </row>
    <row r="52" customFormat="false" ht="15" hidden="false" customHeight="false" outlineLevel="0" collapsed="false">
      <c r="A52" s="32"/>
      <c r="B52" s="32" t="str">
        <f aca="false">"Overhead &amp; profit ("&amp;TEXT('Informasi Project'!$B$17,"0.0%")&amp;")"</f>
        <v>Overhead &amp; profit (15.0%)</v>
      </c>
      <c r="C52" s="32"/>
      <c r="D52" s="32"/>
      <c r="E52" s="32"/>
      <c r="F52" s="38" t="n">
        <f aca="false">(F50+F51)*'Informasi Project'!$B$17</f>
        <v>110049.75</v>
      </c>
      <c r="G52" s="32"/>
    </row>
    <row r="53" customFormat="false" ht="15" hidden="false" customHeight="false" outlineLevel="0" collapsed="false">
      <c r="A53" s="19"/>
      <c r="B53" s="3" t="s">
        <v>187</v>
      </c>
      <c r="C53" s="19"/>
      <c r="D53" s="19"/>
      <c r="E53" s="19"/>
      <c r="F53" s="20" t="n">
        <f aca="false">F50+F51+F52</f>
        <v>843714.75</v>
      </c>
      <c r="G53" s="19"/>
    </row>
    <row r="55" customFormat="false" ht="15" hidden="false" customHeight="false" outlineLevel="0" collapsed="false">
      <c r="A55" s="3" t="s">
        <v>99</v>
      </c>
      <c r="B55" s="3" t="s">
        <v>197</v>
      </c>
      <c r="C55" s="3" t="s">
        <v>191</v>
      </c>
      <c r="D55" s="3"/>
      <c r="E55" s="36" t="s">
        <v>175</v>
      </c>
      <c r="F55" s="20" t="n">
        <f aca="false">F66</f>
        <v>1478698.75</v>
      </c>
      <c r="G55" s="3"/>
    </row>
    <row r="56" customFormat="false" ht="15" hidden="false" customHeight="false" outlineLevel="0" collapsed="false">
      <c r="A56" s="16" t="s">
        <v>198</v>
      </c>
      <c r="B56" s="29" t="str">
        <f aca="false">IF(LEFT($A56,1)="B",INDEX('Harga Bahan'!$B$5:$B$200,MATCH($A56,'Harga Bahan'!$A$5:$A$200,0)),INDEX('Harga Upah'!$B$5:$B$200,MATCH($A56,'Harga Upah'!$A$5:$A$200,0)))</f>
        <v>Batu kali belah</v>
      </c>
      <c r="C56" s="31" t="str">
        <f aca="false">IF(LEFT($A56,1)="B",INDEX('Harga Bahan'!$C$5:$C$200,MATCH($A56,'Harga Bahan'!$A$5:$A$200,0)),INDEX('Harga Upah'!$C$5:$C$200,MATCH($A56,'Harga Upah'!$A$5:$A$200,0)))</f>
        <v>m³</v>
      </c>
      <c r="D56" s="37" t="n">
        <v>1.2</v>
      </c>
      <c r="E56" s="17" t="n">
        <f aca="false">IF(LEFT($A56,1)="B",INDEX('Harga Bahan'!$D$5:$D$200,MATCH($A56,'Harga Bahan'!$A$5:$A$200,0)),INDEX('Harga Upah'!$D$5:$D$200,MATCH($A56,'Harga Upah'!$A$5:$A$200,0)))</f>
        <v>350000</v>
      </c>
      <c r="F56" s="27" t="n">
        <f aca="false">D56*E56</f>
        <v>420000</v>
      </c>
      <c r="G56" s="23" t="s">
        <v>177</v>
      </c>
    </row>
    <row r="57" customFormat="false" ht="15" hidden="false" customHeight="false" outlineLevel="0" collapsed="false">
      <c r="A57" s="16" t="s">
        <v>199</v>
      </c>
      <c r="B57" s="29" t="str">
        <f aca="false">IF(LEFT($A57,1)="B",INDEX('Harga Bahan'!$B$5:$B$200,MATCH($A57,'Harga Bahan'!$A$5:$A$200,0)),INDEX('Harga Upah'!$B$5:$B$200,MATCH($A57,'Harga Upah'!$A$5:$A$200,0)))</f>
        <v>Semen Portland (PC)</v>
      </c>
      <c r="C57" s="31" t="str">
        <f aca="false">IF(LEFT($A57,1)="B",INDEX('Harga Bahan'!$C$5:$C$200,MATCH($A57,'Harga Bahan'!$A$5:$A$200,0)),INDEX('Harga Upah'!$C$5:$C$200,MATCH($A57,'Harga Upah'!$A$5:$A$200,0)))</f>
        <v>kg</v>
      </c>
      <c r="D57" s="37" t="n">
        <v>163</v>
      </c>
      <c r="E57" s="17" t="n">
        <f aca="false">IF(LEFT($A57,1)="B",INDEX('Harga Bahan'!$D$5:$D$200,MATCH($A57,'Harga Bahan'!$A$5:$A$200,0)),INDEX('Harga Upah'!$D$5:$D$200,MATCH($A57,'Harga Upah'!$A$5:$A$200,0)))</f>
        <v>1900</v>
      </c>
      <c r="F57" s="27" t="n">
        <f aca="false">D57*E57</f>
        <v>309700</v>
      </c>
      <c r="G57" s="23" t="s">
        <v>177</v>
      </c>
    </row>
    <row r="58" customFormat="false" ht="15" hidden="false" customHeight="false" outlineLevel="0" collapsed="false">
      <c r="A58" s="16" t="s">
        <v>193</v>
      </c>
      <c r="B58" s="29" t="str">
        <f aca="false">IF(LEFT($A58,1)="B",INDEX('Harga Bahan'!$B$5:$B$200,MATCH($A58,'Harga Bahan'!$A$5:$A$200,0)),INDEX('Harga Upah'!$B$5:$B$200,MATCH($A58,'Harga Upah'!$A$5:$A$200,0)))</f>
        <v>Pasir pasang</v>
      </c>
      <c r="C58" s="31" t="str">
        <f aca="false">IF(LEFT($A58,1)="B",INDEX('Harga Bahan'!$C$5:$C$200,MATCH($A58,'Harga Bahan'!$A$5:$A$200,0)),INDEX('Harga Upah'!$C$5:$C$200,MATCH($A58,'Harga Upah'!$A$5:$A$200,0)))</f>
        <v>m³</v>
      </c>
      <c r="D58" s="37" t="n">
        <v>0.52</v>
      </c>
      <c r="E58" s="17" t="n">
        <f aca="false">IF(LEFT($A58,1)="B",INDEX('Harga Bahan'!$D$5:$D$200,MATCH($A58,'Harga Bahan'!$A$5:$A$200,0)),INDEX('Harga Upah'!$D$5:$D$200,MATCH($A58,'Harga Upah'!$A$5:$A$200,0)))</f>
        <v>300000</v>
      </c>
      <c r="F58" s="27" t="n">
        <f aca="false">D58*E58</f>
        <v>156000</v>
      </c>
      <c r="G58" s="23" t="s">
        <v>177</v>
      </c>
    </row>
    <row r="59" customFormat="false" ht="15" hidden="false" customHeight="false" outlineLevel="0" collapsed="false">
      <c r="A59" s="16" t="s">
        <v>180</v>
      </c>
      <c r="B59" s="29" t="str">
        <f aca="false">IF(LEFT($A59,1)="B",INDEX('Harga Bahan'!$B$5:$B$200,MATCH($A59,'Harga Bahan'!$A$5:$A$200,0)),INDEX('Harga Upah'!$B$5:$B$200,MATCH($A59,'Harga Upah'!$A$5:$A$200,0)))</f>
        <v>Pekerja</v>
      </c>
      <c r="C59" s="31" t="str">
        <f aca="false">IF(LEFT($A59,1)="B",INDEX('Harga Bahan'!$C$5:$C$200,MATCH($A59,'Harga Bahan'!$A$5:$A$200,0)),INDEX('Harga Upah'!$C$5:$C$200,MATCH($A59,'Harga Upah'!$A$5:$A$200,0)))</f>
        <v>OH</v>
      </c>
      <c r="D59" s="37" t="n">
        <v>1.5</v>
      </c>
      <c r="E59" s="17" t="n">
        <f aca="false">IF(LEFT($A59,1)="B",INDEX('Harga Bahan'!$D$5:$D$200,MATCH($A59,'Harga Bahan'!$A$5:$A$200,0)),INDEX('Harga Upah'!$D$5:$D$200,MATCH($A59,'Harga Upah'!$A$5:$A$200,0)))</f>
        <v>150000</v>
      </c>
      <c r="F59" s="27" t="n">
        <f aca="false">D59*E59</f>
        <v>225000</v>
      </c>
      <c r="G59" s="23" t="s">
        <v>181</v>
      </c>
    </row>
    <row r="60" customFormat="false" ht="15" hidden="false" customHeight="false" outlineLevel="0" collapsed="false">
      <c r="A60" s="16" t="s">
        <v>196</v>
      </c>
      <c r="B60" s="29" t="str">
        <f aca="false">IF(LEFT($A60,1)="B",INDEX('Harga Bahan'!$B$5:$B$200,MATCH($A60,'Harga Bahan'!$A$5:$A$200,0)),INDEX('Harga Upah'!$B$5:$B$200,MATCH($A60,'Harga Upah'!$A$5:$A$200,0)))</f>
        <v>Tukang batu</v>
      </c>
      <c r="C60" s="31" t="str">
        <f aca="false">IF(LEFT($A60,1)="B",INDEX('Harga Bahan'!$C$5:$C$200,MATCH($A60,'Harga Bahan'!$A$5:$A$200,0)),INDEX('Harga Upah'!$C$5:$C$200,MATCH($A60,'Harga Upah'!$A$5:$A$200,0)))</f>
        <v>OH</v>
      </c>
      <c r="D60" s="37" t="n">
        <v>0.75</v>
      </c>
      <c r="E60" s="17" t="n">
        <f aca="false">IF(LEFT($A60,1)="B",INDEX('Harga Bahan'!$D$5:$D$200,MATCH($A60,'Harga Bahan'!$A$5:$A$200,0)),INDEX('Harga Upah'!$D$5:$D$200,MATCH($A60,'Harga Upah'!$A$5:$A$200,0)))</f>
        <v>190000</v>
      </c>
      <c r="F60" s="27" t="n">
        <f aca="false">D60*E60</f>
        <v>142500</v>
      </c>
      <c r="G60" s="23" t="s">
        <v>181</v>
      </c>
    </row>
    <row r="61" customFormat="false" ht="15" hidden="false" customHeight="false" outlineLevel="0" collapsed="false">
      <c r="A61" s="16" t="s">
        <v>183</v>
      </c>
      <c r="B61" s="29" t="str">
        <f aca="false">IF(LEFT($A61,1)="B",INDEX('Harga Bahan'!$B$5:$B$200,MATCH($A61,'Harga Bahan'!$A$5:$A$200,0)),INDEX('Harga Upah'!$B$5:$B$200,MATCH($A61,'Harga Upah'!$A$5:$A$200,0)))</f>
        <v>Kepala tukang</v>
      </c>
      <c r="C61" s="31" t="str">
        <f aca="false">IF(LEFT($A61,1)="B",INDEX('Harga Bahan'!$C$5:$C$200,MATCH($A61,'Harga Bahan'!$A$5:$A$200,0)),INDEX('Harga Upah'!$C$5:$C$200,MATCH($A61,'Harga Upah'!$A$5:$A$200,0)))</f>
        <v>OH</v>
      </c>
      <c r="D61" s="37" t="n">
        <v>0.075</v>
      </c>
      <c r="E61" s="17" t="n">
        <f aca="false">IF(LEFT($A61,1)="B",INDEX('Harga Bahan'!$D$5:$D$200,MATCH($A61,'Harga Bahan'!$A$5:$A$200,0)),INDEX('Harga Upah'!$D$5:$D$200,MATCH($A61,'Harga Upah'!$A$5:$A$200,0)))</f>
        <v>210000</v>
      </c>
      <c r="F61" s="27" t="n">
        <f aca="false">D61*E61</f>
        <v>15750</v>
      </c>
      <c r="G61" s="23" t="s">
        <v>181</v>
      </c>
    </row>
    <row r="62" customFormat="false" ht="15" hidden="false" customHeight="false" outlineLevel="0" collapsed="false">
      <c r="A62" s="16" t="s">
        <v>184</v>
      </c>
      <c r="B62" s="29" t="str">
        <f aca="false">IF(LEFT($A62,1)="B",INDEX('Harga Bahan'!$B$5:$B$200,MATCH($A62,'Harga Bahan'!$A$5:$A$200,0)),INDEX('Harga Upah'!$B$5:$B$200,MATCH($A62,'Harga Upah'!$A$5:$A$200,0)))</f>
        <v>Mandor</v>
      </c>
      <c r="C62" s="31" t="str">
        <f aca="false">IF(LEFT($A62,1)="B",INDEX('Harga Bahan'!$C$5:$C$200,MATCH($A62,'Harga Bahan'!$A$5:$A$200,0)),INDEX('Harga Upah'!$C$5:$C$200,MATCH($A62,'Harga Upah'!$A$5:$A$200,0)))</f>
        <v>OH</v>
      </c>
      <c r="D62" s="37" t="n">
        <v>0.075</v>
      </c>
      <c r="E62" s="17" t="n">
        <f aca="false">IF(LEFT($A62,1)="B",INDEX('Harga Bahan'!$D$5:$D$200,MATCH($A62,'Harga Bahan'!$A$5:$A$200,0)),INDEX('Harga Upah'!$D$5:$D$200,MATCH($A62,'Harga Upah'!$A$5:$A$200,0)))</f>
        <v>225000</v>
      </c>
      <c r="F62" s="27" t="n">
        <f aca="false">D62*E62</f>
        <v>16875</v>
      </c>
      <c r="G62" s="23" t="s">
        <v>181</v>
      </c>
    </row>
    <row r="63" customFormat="false" ht="15" hidden="false" customHeight="false" outlineLevel="0" collapsed="false">
      <c r="A63" s="32"/>
      <c r="B63" s="32" t="s">
        <v>185</v>
      </c>
      <c r="C63" s="32"/>
      <c r="D63" s="32"/>
      <c r="E63" s="32"/>
      <c r="F63" s="38" t="n">
        <f aca="false">SUMIF(G56:G62,"Bahan",F56:F62)</f>
        <v>885700</v>
      </c>
      <c r="G63" s="32"/>
    </row>
    <row r="64" customFormat="false" ht="15" hidden="false" customHeight="false" outlineLevel="0" collapsed="false">
      <c r="A64" s="32"/>
      <c r="B64" s="32" t="s">
        <v>186</v>
      </c>
      <c r="C64" s="32"/>
      <c r="D64" s="32"/>
      <c r="E64" s="32"/>
      <c r="F64" s="38" t="n">
        <f aca="false">SUMIF(G56:G62,"Upah",F56:F62)</f>
        <v>400125</v>
      </c>
      <c r="G64" s="32"/>
    </row>
    <row r="65" customFormat="false" ht="15" hidden="false" customHeight="false" outlineLevel="0" collapsed="false">
      <c r="A65" s="32"/>
      <c r="B65" s="32" t="str">
        <f aca="false">"Overhead &amp; profit ("&amp;TEXT('Informasi Project'!$B$17,"0.0%")&amp;")"</f>
        <v>Overhead &amp; profit (15.0%)</v>
      </c>
      <c r="C65" s="32"/>
      <c r="D65" s="32"/>
      <c r="E65" s="32"/>
      <c r="F65" s="38" t="n">
        <f aca="false">(F63+F64)*'Informasi Project'!$B$17</f>
        <v>192873.75</v>
      </c>
      <c r="G65" s="32"/>
    </row>
    <row r="66" customFormat="false" ht="15" hidden="false" customHeight="false" outlineLevel="0" collapsed="false">
      <c r="A66" s="19"/>
      <c r="B66" s="3" t="s">
        <v>187</v>
      </c>
      <c r="C66" s="19"/>
      <c r="D66" s="19"/>
      <c r="E66" s="19"/>
      <c r="F66" s="20" t="n">
        <f aca="false">F63+F64+F65</f>
        <v>1478698.75</v>
      </c>
      <c r="G66" s="19"/>
    </row>
    <row r="68" customFormat="false" ht="15" hidden="false" customHeight="false" outlineLevel="0" collapsed="false">
      <c r="A68" s="3" t="s">
        <v>101</v>
      </c>
      <c r="B68" s="3" t="s">
        <v>200</v>
      </c>
      <c r="C68" s="3" t="s">
        <v>191</v>
      </c>
      <c r="D68" s="3"/>
      <c r="E68" s="36" t="s">
        <v>175</v>
      </c>
      <c r="F68" s="20" t="n">
        <f aca="false">F74</f>
        <v>54337.5</v>
      </c>
      <c r="G68" s="3"/>
    </row>
    <row r="69" customFormat="false" ht="15" hidden="false" customHeight="false" outlineLevel="0" collapsed="false">
      <c r="A69" s="16" t="s">
        <v>180</v>
      </c>
      <c r="B69" s="29" t="str">
        <f aca="false">IF(LEFT($A69,1)="B",INDEX('Harga Bahan'!$B$5:$B$200,MATCH($A69,'Harga Bahan'!$A$5:$A$200,0)),INDEX('Harga Upah'!$B$5:$B$200,MATCH($A69,'Harga Upah'!$A$5:$A$200,0)))</f>
        <v>Pekerja</v>
      </c>
      <c r="C69" s="31" t="str">
        <f aca="false">IF(LEFT($A69,1)="B",INDEX('Harga Bahan'!$C$5:$C$200,MATCH($A69,'Harga Bahan'!$A$5:$A$200,0)),INDEX('Harga Upah'!$C$5:$C$200,MATCH($A69,'Harga Upah'!$A$5:$A$200,0)))</f>
        <v>OH</v>
      </c>
      <c r="D69" s="37" t="n">
        <v>0.3</v>
      </c>
      <c r="E69" s="17" t="n">
        <f aca="false">IF(LEFT($A69,1)="B",INDEX('Harga Bahan'!$D$5:$D$200,MATCH($A69,'Harga Bahan'!$A$5:$A$200,0)),INDEX('Harga Upah'!$D$5:$D$200,MATCH($A69,'Harga Upah'!$A$5:$A$200,0)))</f>
        <v>150000</v>
      </c>
      <c r="F69" s="27" t="n">
        <f aca="false">D69*E69</f>
        <v>45000</v>
      </c>
      <c r="G69" s="23" t="s">
        <v>181</v>
      </c>
    </row>
    <row r="70" customFormat="false" ht="15" hidden="false" customHeight="false" outlineLevel="0" collapsed="false">
      <c r="A70" s="16" t="s">
        <v>184</v>
      </c>
      <c r="B70" s="29" t="str">
        <f aca="false">IF(LEFT($A70,1)="B",INDEX('Harga Bahan'!$B$5:$B$200,MATCH($A70,'Harga Bahan'!$A$5:$A$200,0)),INDEX('Harga Upah'!$B$5:$B$200,MATCH($A70,'Harga Upah'!$A$5:$A$200,0)))</f>
        <v>Mandor</v>
      </c>
      <c r="C70" s="31" t="str">
        <f aca="false">IF(LEFT($A70,1)="B",INDEX('Harga Bahan'!$C$5:$C$200,MATCH($A70,'Harga Bahan'!$A$5:$A$200,0)),INDEX('Harga Upah'!$C$5:$C$200,MATCH($A70,'Harga Upah'!$A$5:$A$200,0)))</f>
        <v>OH</v>
      </c>
      <c r="D70" s="37" t="n">
        <v>0.01</v>
      </c>
      <c r="E70" s="17" t="n">
        <f aca="false">IF(LEFT($A70,1)="B",INDEX('Harga Bahan'!$D$5:$D$200,MATCH($A70,'Harga Bahan'!$A$5:$A$200,0)),INDEX('Harga Upah'!$D$5:$D$200,MATCH($A70,'Harga Upah'!$A$5:$A$200,0)))</f>
        <v>225000</v>
      </c>
      <c r="F70" s="27" t="n">
        <f aca="false">D70*E70</f>
        <v>2250</v>
      </c>
      <c r="G70" s="23" t="s">
        <v>181</v>
      </c>
    </row>
    <row r="71" customFormat="false" ht="15" hidden="false" customHeight="false" outlineLevel="0" collapsed="false">
      <c r="A71" s="32"/>
      <c r="B71" s="32" t="s">
        <v>185</v>
      </c>
      <c r="C71" s="32"/>
      <c r="D71" s="32"/>
      <c r="E71" s="32"/>
      <c r="F71" s="38" t="n">
        <f aca="false">SUMIF(G69:G70,"Bahan",F69:F70)</f>
        <v>0</v>
      </c>
      <c r="G71" s="32"/>
    </row>
    <row r="72" customFormat="false" ht="15" hidden="false" customHeight="false" outlineLevel="0" collapsed="false">
      <c r="A72" s="32"/>
      <c r="B72" s="32" t="s">
        <v>186</v>
      </c>
      <c r="C72" s="32"/>
      <c r="D72" s="32"/>
      <c r="E72" s="32"/>
      <c r="F72" s="38" t="n">
        <f aca="false">SUMIF(G69:G70,"Upah",F69:F70)</f>
        <v>47250</v>
      </c>
      <c r="G72" s="32"/>
    </row>
    <row r="73" customFormat="false" ht="15" hidden="false" customHeight="false" outlineLevel="0" collapsed="false">
      <c r="A73" s="32"/>
      <c r="B73" s="32" t="str">
        <f aca="false">"Overhead &amp; profit ("&amp;TEXT('Informasi Project'!$B$17,"0.0%")&amp;")"</f>
        <v>Overhead &amp; profit (15.0%)</v>
      </c>
      <c r="C73" s="32"/>
      <c r="D73" s="32"/>
      <c r="E73" s="32"/>
      <c r="F73" s="38" t="n">
        <f aca="false">(F71+F72)*'Informasi Project'!$B$17</f>
        <v>7087.5</v>
      </c>
      <c r="G73" s="32"/>
    </row>
    <row r="74" customFormat="false" ht="15" hidden="false" customHeight="false" outlineLevel="0" collapsed="false">
      <c r="A74" s="19"/>
      <c r="B74" s="3" t="s">
        <v>187</v>
      </c>
      <c r="C74" s="19"/>
      <c r="D74" s="19"/>
      <c r="E74" s="19"/>
      <c r="F74" s="20" t="n">
        <f aca="false">F71+F72+F73</f>
        <v>54337.5</v>
      </c>
      <c r="G74" s="19"/>
    </row>
    <row r="76" customFormat="false" ht="15" hidden="false" customHeight="false" outlineLevel="0" collapsed="false">
      <c r="A76" s="3" t="s">
        <v>103</v>
      </c>
      <c r="B76" s="3" t="s">
        <v>201</v>
      </c>
      <c r="C76" s="3" t="s">
        <v>191</v>
      </c>
      <c r="D76" s="3"/>
      <c r="E76" s="36" t="s">
        <v>175</v>
      </c>
      <c r="F76" s="20" t="n">
        <f aca="false">F83</f>
        <v>206137.5</v>
      </c>
      <c r="G76" s="3"/>
    </row>
    <row r="77" customFormat="false" ht="15" hidden="false" customHeight="false" outlineLevel="0" collapsed="false">
      <c r="A77" s="16" t="s">
        <v>202</v>
      </c>
      <c r="B77" s="29" t="str">
        <f aca="false">IF(LEFT($A77,1)="B",INDEX('Harga Bahan'!$B$5:$B$200,MATCH($A77,'Harga Bahan'!$A$5:$A$200,0)),INDEX('Harga Upah'!$B$5:$B$200,MATCH($A77,'Harga Upah'!$A$5:$A$200,0)))</f>
        <v>Tanah urug (didatangkan)</v>
      </c>
      <c r="C77" s="31" t="str">
        <f aca="false">IF(LEFT($A77,1)="B",INDEX('Harga Bahan'!$C$5:$C$200,MATCH($A77,'Harga Bahan'!$A$5:$A$200,0)),INDEX('Harga Upah'!$C$5:$C$200,MATCH($A77,'Harga Upah'!$A$5:$A$200,0)))</f>
        <v>m³</v>
      </c>
      <c r="D77" s="37" t="n">
        <v>1.2</v>
      </c>
      <c r="E77" s="17" t="n">
        <f aca="false">IF(LEFT($A77,1)="B",INDEX('Harga Bahan'!$D$5:$D$200,MATCH($A77,'Harga Bahan'!$A$5:$A$200,0)),INDEX('Harga Upah'!$D$5:$D$200,MATCH($A77,'Harga Upah'!$A$5:$A$200,0)))</f>
        <v>110000</v>
      </c>
      <c r="F77" s="27" t="n">
        <f aca="false">D77*E77</f>
        <v>132000</v>
      </c>
      <c r="G77" s="23" t="s">
        <v>177</v>
      </c>
    </row>
    <row r="78" customFormat="false" ht="15" hidden="false" customHeight="false" outlineLevel="0" collapsed="false">
      <c r="A78" s="16" t="s">
        <v>180</v>
      </c>
      <c r="B78" s="29" t="str">
        <f aca="false">IF(LEFT($A78,1)="B",INDEX('Harga Bahan'!$B$5:$B$200,MATCH($A78,'Harga Bahan'!$A$5:$A$200,0)),INDEX('Harga Upah'!$B$5:$B$200,MATCH($A78,'Harga Upah'!$A$5:$A$200,0)))</f>
        <v>Pekerja</v>
      </c>
      <c r="C78" s="31" t="str">
        <f aca="false">IF(LEFT($A78,1)="B",INDEX('Harga Bahan'!$C$5:$C$200,MATCH($A78,'Harga Bahan'!$A$5:$A$200,0)),INDEX('Harga Upah'!$C$5:$C$200,MATCH($A78,'Harga Upah'!$A$5:$A$200,0)))</f>
        <v>OH</v>
      </c>
      <c r="D78" s="37" t="n">
        <v>0.3</v>
      </c>
      <c r="E78" s="17" t="n">
        <f aca="false">IF(LEFT($A78,1)="B",INDEX('Harga Bahan'!$D$5:$D$200,MATCH($A78,'Harga Bahan'!$A$5:$A$200,0)),INDEX('Harga Upah'!$D$5:$D$200,MATCH($A78,'Harga Upah'!$A$5:$A$200,0)))</f>
        <v>150000</v>
      </c>
      <c r="F78" s="27" t="n">
        <f aca="false">D78*E78</f>
        <v>45000</v>
      </c>
      <c r="G78" s="23" t="s">
        <v>181</v>
      </c>
    </row>
    <row r="79" customFormat="false" ht="15" hidden="false" customHeight="false" outlineLevel="0" collapsed="false">
      <c r="A79" s="16" t="s">
        <v>184</v>
      </c>
      <c r="B79" s="29" t="str">
        <f aca="false">IF(LEFT($A79,1)="B",INDEX('Harga Bahan'!$B$5:$B$200,MATCH($A79,'Harga Bahan'!$A$5:$A$200,0)),INDEX('Harga Upah'!$B$5:$B$200,MATCH($A79,'Harga Upah'!$A$5:$A$200,0)))</f>
        <v>Mandor</v>
      </c>
      <c r="C79" s="31" t="str">
        <f aca="false">IF(LEFT($A79,1)="B",INDEX('Harga Bahan'!$C$5:$C$200,MATCH($A79,'Harga Bahan'!$A$5:$A$200,0)),INDEX('Harga Upah'!$C$5:$C$200,MATCH($A79,'Harga Upah'!$A$5:$A$200,0)))</f>
        <v>OH</v>
      </c>
      <c r="D79" s="37" t="n">
        <v>0.01</v>
      </c>
      <c r="E79" s="17" t="n">
        <f aca="false">IF(LEFT($A79,1)="B",INDEX('Harga Bahan'!$D$5:$D$200,MATCH($A79,'Harga Bahan'!$A$5:$A$200,0)),INDEX('Harga Upah'!$D$5:$D$200,MATCH($A79,'Harga Upah'!$A$5:$A$200,0)))</f>
        <v>225000</v>
      </c>
      <c r="F79" s="27" t="n">
        <f aca="false">D79*E79</f>
        <v>2250</v>
      </c>
      <c r="G79" s="23" t="s">
        <v>181</v>
      </c>
    </row>
    <row r="80" customFormat="false" ht="15" hidden="false" customHeight="false" outlineLevel="0" collapsed="false">
      <c r="A80" s="32"/>
      <c r="B80" s="32" t="s">
        <v>185</v>
      </c>
      <c r="C80" s="32"/>
      <c r="D80" s="32"/>
      <c r="E80" s="32"/>
      <c r="F80" s="38" t="n">
        <f aca="false">SUMIF(G77:G79,"Bahan",F77:F79)</f>
        <v>132000</v>
      </c>
      <c r="G80" s="32"/>
    </row>
    <row r="81" customFormat="false" ht="15" hidden="false" customHeight="false" outlineLevel="0" collapsed="false">
      <c r="A81" s="32"/>
      <c r="B81" s="32" t="s">
        <v>186</v>
      </c>
      <c r="C81" s="32"/>
      <c r="D81" s="32"/>
      <c r="E81" s="32"/>
      <c r="F81" s="38" t="n">
        <f aca="false">SUMIF(G77:G79,"Upah",F77:F79)</f>
        <v>47250</v>
      </c>
      <c r="G81" s="32"/>
    </row>
    <row r="82" customFormat="false" ht="15" hidden="false" customHeight="false" outlineLevel="0" collapsed="false">
      <c r="A82" s="32"/>
      <c r="B82" s="32" t="str">
        <f aca="false">"Overhead &amp; profit ("&amp;TEXT('Informasi Project'!$B$17,"0.0%")&amp;")"</f>
        <v>Overhead &amp; profit (15.0%)</v>
      </c>
      <c r="C82" s="32"/>
      <c r="D82" s="32"/>
      <c r="E82" s="32"/>
      <c r="F82" s="38" t="n">
        <f aca="false">(F80+F81)*'Informasi Project'!$B$17</f>
        <v>26887.5</v>
      </c>
      <c r="G82" s="32"/>
    </row>
    <row r="83" customFormat="false" ht="15" hidden="false" customHeight="false" outlineLevel="0" collapsed="false">
      <c r="A83" s="19"/>
      <c r="B83" s="3" t="s">
        <v>187</v>
      </c>
      <c r="C83" s="19"/>
      <c r="D83" s="19"/>
      <c r="E83" s="19"/>
      <c r="F83" s="20" t="n">
        <f aca="false">F80+F81+F82</f>
        <v>206137.5</v>
      </c>
      <c r="G83" s="19"/>
    </row>
    <row r="85" customFormat="false" ht="15" hidden="false" customHeight="false" outlineLevel="0" collapsed="false">
      <c r="A85" s="3" t="s">
        <v>107</v>
      </c>
      <c r="B85" s="3" t="s">
        <v>203</v>
      </c>
      <c r="C85" s="3" t="s">
        <v>191</v>
      </c>
      <c r="D85" s="3"/>
      <c r="E85" s="36" t="s">
        <v>175</v>
      </c>
      <c r="F85" s="20" t="n">
        <f aca="false">F97</f>
        <v>1828781.75</v>
      </c>
      <c r="G85" s="3"/>
    </row>
    <row r="86" customFormat="false" ht="15" hidden="false" customHeight="false" outlineLevel="0" collapsed="false">
      <c r="A86" s="16" t="s">
        <v>199</v>
      </c>
      <c r="B86" s="29" t="str">
        <f aca="false">IF(LEFT($A86,1)="B",INDEX('Harga Bahan'!$B$5:$B$200,MATCH($A86,'Harga Bahan'!$A$5:$A$200,0)),INDEX('Harga Upah'!$B$5:$B$200,MATCH($A86,'Harga Upah'!$A$5:$A$200,0)))</f>
        <v>Semen Portland (PC)</v>
      </c>
      <c r="C86" s="31" t="str">
        <f aca="false">IF(LEFT($A86,1)="B",INDEX('Harga Bahan'!$C$5:$C$200,MATCH($A86,'Harga Bahan'!$A$5:$A$200,0)),INDEX('Harga Upah'!$C$5:$C$200,MATCH($A86,'Harga Upah'!$A$5:$A$200,0)))</f>
        <v>kg</v>
      </c>
      <c r="D86" s="37" t="n">
        <v>276</v>
      </c>
      <c r="E86" s="17" t="n">
        <f aca="false">IF(LEFT($A86,1)="B",INDEX('Harga Bahan'!$D$5:$D$200,MATCH($A86,'Harga Bahan'!$A$5:$A$200,0)),INDEX('Harga Upah'!$D$5:$D$200,MATCH($A86,'Harga Upah'!$A$5:$A$200,0)))</f>
        <v>1900</v>
      </c>
      <c r="F86" s="27" t="n">
        <f aca="false">D86*E86</f>
        <v>524400</v>
      </c>
      <c r="G86" s="23" t="s">
        <v>177</v>
      </c>
    </row>
    <row r="87" customFormat="false" ht="15" hidden="false" customHeight="false" outlineLevel="0" collapsed="false">
      <c r="A87" s="16" t="s">
        <v>204</v>
      </c>
      <c r="B87" s="29" t="str">
        <f aca="false">IF(LEFT($A87,1)="B",INDEX('Harga Bahan'!$B$5:$B$200,MATCH($A87,'Harga Bahan'!$A$5:$A$200,0)),INDEX('Harga Upah'!$B$5:$B$200,MATCH($A87,'Harga Upah'!$A$5:$A$200,0)))</f>
        <v>Pasir beton</v>
      </c>
      <c r="C87" s="31" t="str">
        <f aca="false">IF(LEFT($A87,1)="B",INDEX('Harga Bahan'!$C$5:$C$200,MATCH($A87,'Harga Bahan'!$A$5:$A$200,0)),INDEX('Harga Upah'!$C$5:$C$200,MATCH($A87,'Harga Upah'!$A$5:$A$200,0)))</f>
        <v>m³</v>
      </c>
      <c r="D87" s="37" t="n">
        <v>0.828</v>
      </c>
      <c r="E87" s="17" t="n">
        <f aca="false">IF(LEFT($A87,1)="B",INDEX('Harga Bahan'!$D$5:$D$200,MATCH($A87,'Harga Bahan'!$A$5:$A$200,0)),INDEX('Harga Upah'!$D$5:$D$200,MATCH($A87,'Harga Upah'!$A$5:$A$200,0)))</f>
        <v>330000</v>
      </c>
      <c r="F87" s="27" t="n">
        <f aca="false">D87*E87</f>
        <v>273240</v>
      </c>
      <c r="G87" s="23" t="s">
        <v>177</v>
      </c>
    </row>
    <row r="88" customFormat="false" ht="15" hidden="false" customHeight="false" outlineLevel="0" collapsed="false">
      <c r="A88" s="16" t="s">
        <v>205</v>
      </c>
      <c r="B88" s="29" t="str">
        <f aca="false">IF(LEFT($A88,1)="B",INDEX('Harga Bahan'!$B$5:$B$200,MATCH($A88,'Harga Bahan'!$A$5:$A$200,0)),INDEX('Harga Upah'!$B$5:$B$200,MATCH($A88,'Harga Upah'!$A$5:$A$200,0)))</f>
        <v>Batu split / kerikil 2/3</v>
      </c>
      <c r="C88" s="31" t="str">
        <f aca="false">IF(LEFT($A88,1)="B",INDEX('Harga Bahan'!$C$5:$C$200,MATCH($A88,'Harga Bahan'!$A$5:$A$200,0)),INDEX('Harga Upah'!$C$5:$C$200,MATCH($A88,'Harga Upah'!$A$5:$A$200,0)))</f>
        <v>m³</v>
      </c>
      <c r="D88" s="37" t="n">
        <v>1.012</v>
      </c>
      <c r="E88" s="17" t="n">
        <f aca="false">IF(LEFT($A88,1)="B",INDEX('Harga Bahan'!$D$5:$D$200,MATCH($A88,'Harga Bahan'!$A$5:$A$200,0)),INDEX('Harga Upah'!$D$5:$D$200,MATCH($A88,'Harga Upah'!$A$5:$A$200,0)))</f>
        <v>450000</v>
      </c>
      <c r="F88" s="27" t="n">
        <f aca="false">D88*E88</f>
        <v>455400</v>
      </c>
      <c r="G88" s="23" t="s">
        <v>177</v>
      </c>
    </row>
    <row r="89" customFormat="false" ht="15" hidden="false" customHeight="false" outlineLevel="0" collapsed="false">
      <c r="A89" s="16" t="s">
        <v>206</v>
      </c>
      <c r="B89" s="29" t="str">
        <f aca="false">IF(LEFT($A89,1)="B",INDEX('Harga Bahan'!$B$5:$B$200,MATCH($A89,'Harga Bahan'!$A$5:$A$200,0)),INDEX('Harga Upah'!$B$5:$B$200,MATCH($A89,'Harga Upah'!$A$5:$A$200,0)))</f>
        <v>Air kerja</v>
      </c>
      <c r="C89" s="31" t="str">
        <f aca="false">IF(LEFT($A89,1)="B",INDEX('Harga Bahan'!$C$5:$C$200,MATCH($A89,'Harga Bahan'!$A$5:$A$200,0)),INDEX('Harga Upah'!$C$5:$C$200,MATCH($A89,'Harga Upah'!$A$5:$A$200,0)))</f>
        <v>liter</v>
      </c>
      <c r="D89" s="37" t="n">
        <v>215</v>
      </c>
      <c r="E89" s="17" t="n">
        <f aca="false">IF(LEFT($A89,1)="B",INDEX('Harga Bahan'!$D$5:$D$200,MATCH($A89,'Harga Bahan'!$A$5:$A$200,0)),INDEX('Harga Upah'!$D$5:$D$200,MATCH($A89,'Harga Upah'!$A$5:$A$200,0)))</f>
        <v>60</v>
      </c>
      <c r="F89" s="27" t="n">
        <f aca="false">D89*E89</f>
        <v>12900</v>
      </c>
      <c r="G89" s="23" t="s">
        <v>177</v>
      </c>
    </row>
    <row r="90" customFormat="false" ht="15" hidden="false" customHeight="false" outlineLevel="0" collapsed="false">
      <c r="A90" s="16" t="s">
        <v>180</v>
      </c>
      <c r="B90" s="29" t="str">
        <f aca="false">IF(LEFT($A90,1)="B",INDEX('Harga Bahan'!$B$5:$B$200,MATCH($A90,'Harga Bahan'!$A$5:$A$200,0)),INDEX('Harga Upah'!$B$5:$B$200,MATCH($A90,'Harga Upah'!$A$5:$A$200,0)))</f>
        <v>Pekerja</v>
      </c>
      <c r="C90" s="31" t="str">
        <f aca="false">IF(LEFT($A90,1)="B",INDEX('Harga Bahan'!$C$5:$C$200,MATCH($A90,'Harga Bahan'!$A$5:$A$200,0)),INDEX('Harga Upah'!$C$5:$C$200,MATCH($A90,'Harga Upah'!$A$5:$A$200,0)))</f>
        <v>OH</v>
      </c>
      <c r="D90" s="37" t="n">
        <v>1.65</v>
      </c>
      <c r="E90" s="17" t="n">
        <f aca="false">IF(LEFT($A90,1)="B",INDEX('Harga Bahan'!$D$5:$D$200,MATCH($A90,'Harga Bahan'!$A$5:$A$200,0)),INDEX('Harga Upah'!$D$5:$D$200,MATCH($A90,'Harga Upah'!$A$5:$A$200,0)))</f>
        <v>150000</v>
      </c>
      <c r="F90" s="27" t="n">
        <f aca="false">D90*E90</f>
        <v>247500</v>
      </c>
      <c r="G90" s="23" t="s">
        <v>181</v>
      </c>
    </row>
    <row r="91" customFormat="false" ht="15" hidden="false" customHeight="false" outlineLevel="0" collapsed="false">
      <c r="A91" s="16" t="s">
        <v>196</v>
      </c>
      <c r="B91" s="29" t="str">
        <f aca="false">IF(LEFT($A91,1)="B",INDEX('Harga Bahan'!$B$5:$B$200,MATCH($A91,'Harga Bahan'!$A$5:$A$200,0)),INDEX('Harga Upah'!$B$5:$B$200,MATCH($A91,'Harga Upah'!$A$5:$A$200,0)))</f>
        <v>Tukang batu</v>
      </c>
      <c r="C91" s="31" t="str">
        <f aca="false">IF(LEFT($A91,1)="B",INDEX('Harga Bahan'!$C$5:$C$200,MATCH($A91,'Harga Bahan'!$A$5:$A$200,0)),INDEX('Harga Upah'!$C$5:$C$200,MATCH($A91,'Harga Upah'!$A$5:$A$200,0)))</f>
        <v>OH</v>
      </c>
      <c r="D91" s="37" t="n">
        <v>0.275</v>
      </c>
      <c r="E91" s="17" t="n">
        <f aca="false">IF(LEFT($A91,1)="B",INDEX('Harga Bahan'!$D$5:$D$200,MATCH($A91,'Harga Bahan'!$A$5:$A$200,0)),INDEX('Harga Upah'!$D$5:$D$200,MATCH($A91,'Harga Upah'!$A$5:$A$200,0)))</f>
        <v>190000</v>
      </c>
      <c r="F91" s="27" t="n">
        <f aca="false">D91*E91</f>
        <v>52250</v>
      </c>
      <c r="G91" s="23" t="s">
        <v>181</v>
      </c>
    </row>
    <row r="92" customFormat="false" ht="15" hidden="false" customHeight="false" outlineLevel="0" collapsed="false">
      <c r="A92" s="16" t="s">
        <v>183</v>
      </c>
      <c r="B92" s="29" t="str">
        <f aca="false">IF(LEFT($A92,1)="B",INDEX('Harga Bahan'!$B$5:$B$200,MATCH($A92,'Harga Bahan'!$A$5:$A$200,0)),INDEX('Harga Upah'!$B$5:$B$200,MATCH($A92,'Harga Upah'!$A$5:$A$200,0)))</f>
        <v>Kepala tukang</v>
      </c>
      <c r="C92" s="31" t="str">
        <f aca="false">IF(LEFT($A92,1)="B",INDEX('Harga Bahan'!$C$5:$C$200,MATCH($A92,'Harga Bahan'!$A$5:$A$200,0)),INDEX('Harga Upah'!$C$5:$C$200,MATCH($A92,'Harga Upah'!$A$5:$A$200,0)))</f>
        <v>OH</v>
      </c>
      <c r="D92" s="37" t="n">
        <v>0.028</v>
      </c>
      <c r="E92" s="17" t="n">
        <f aca="false">IF(LEFT($A92,1)="B",INDEX('Harga Bahan'!$D$5:$D$200,MATCH($A92,'Harga Bahan'!$A$5:$A$200,0)),INDEX('Harga Upah'!$D$5:$D$200,MATCH($A92,'Harga Upah'!$A$5:$A$200,0)))</f>
        <v>210000</v>
      </c>
      <c r="F92" s="27" t="n">
        <f aca="false">D92*E92</f>
        <v>5880</v>
      </c>
      <c r="G92" s="23" t="s">
        <v>181</v>
      </c>
    </row>
    <row r="93" customFormat="false" ht="15" hidden="false" customHeight="false" outlineLevel="0" collapsed="false">
      <c r="A93" s="16" t="s">
        <v>184</v>
      </c>
      <c r="B93" s="29" t="str">
        <f aca="false">IF(LEFT($A93,1)="B",INDEX('Harga Bahan'!$B$5:$B$200,MATCH($A93,'Harga Bahan'!$A$5:$A$200,0)),INDEX('Harga Upah'!$B$5:$B$200,MATCH($A93,'Harga Upah'!$A$5:$A$200,0)))</f>
        <v>Mandor</v>
      </c>
      <c r="C93" s="31" t="str">
        <f aca="false">IF(LEFT($A93,1)="B",INDEX('Harga Bahan'!$C$5:$C$200,MATCH($A93,'Harga Bahan'!$A$5:$A$200,0)),INDEX('Harga Upah'!$C$5:$C$200,MATCH($A93,'Harga Upah'!$A$5:$A$200,0)))</f>
        <v>OH</v>
      </c>
      <c r="D93" s="37" t="n">
        <v>0.083</v>
      </c>
      <c r="E93" s="17" t="n">
        <f aca="false">IF(LEFT($A93,1)="B",INDEX('Harga Bahan'!$D$5:$D$200,MATCH($A93,'Harga Bahan'!$A$5:$A$200,0)),INDEX('Harga Upah'!$D$5:$D$200,MATCH($A93,'Harga Upah'!$A$5:$A$200,0)))</f>
        <v>225000</v>
      </c>
      <c r="F93" s="27" t="n">
        <f aca="false">D93*E93</f>
        <v>18675</v>
      </c>
      <c r="G93" s="23" t="s">
        <v>181</v>
      </c>
    </row>
    <row r="94" customFormat="false" ht="15" hidden="false" customHeight="false" outlineLevel="0" collapsed="false">
      <c r="A94" s="32"/>
      <c r="B94" s="32" t="s">
        <v>185</v>
      </c>
      <c r="C94" s="32"/>
      <c r="D94" s="32"/>
      <c r="E94" s="32"/>
      <c r="F94" s="38" t="n">
        <f aca="false">SUMIF(G86:G93,"Bahan",F86:F93)</f>
        <v>1265940</v>
      </c>
      <c r="G94" s="32"/>
    </row>
    <row r="95" customFormat="false" ht="15" hidden="false" customHeight="false" outlineLevel="0" collapsed="false">
      <c r="A95" s="32"/>
      <c r="B95" s="32" t="s">
        <v>186</v>
      </c>
      <c r="C95" s="32"/>
      <c r="D95" s="32"/>
      <c r="E95" s="32"/>
      <c r="F95" s="38" t="n">
        <f aca="false">SUMIF(G86:G93,"Upah",F86:F93)</f>
        <v>324305</v>
      </c>
      <c r="G95" s="32"/>
    </row>
    <row r="96" customFormat="false" ht="15" hidden="false" customHeight="false" outlineLevel="0" collapsed="false">
      <c r="A96" s="32"/>
      <c r="B96" s="32" t="str">
        <f aca="false">"Overhead &amp; profit ("&amp;TEXT('Informasi Project'!$B$17,"0.0%")&amp;")"</f>
        <v>Overhead &amp; profit (15.0%)</v>
      </c>
      <c r="C96" s="32"/>
      <c r="D96" s="32"/>
      <c r="E96" s="32"/>
      <c r="F96" s="38" t="n">
        <f aca="false">(F94+F95)*'Informasi Project'!$B$17</f>
        <v>238536.75</v>
      </c>
      <c r="G96" s="32"/>
    </row>
    <row r="97" customFormat="false" ht="15" hidden="false" customHeight="false" outlineLevel="0" collapsed="false">
      <c r="A97" s="19"/>
      <c r="B97" s="3" t="s">
        <v>187</v>
      </c>
      <c r="C97" s="19"/>
      <c r="D97" s="19"/>
      <c r="E97" s="19"/>
      <c r="F97" s="20" t="n">
        <f aca="false">F94+F95+F96</f>
        <v>1828781.75</v>
      </c>
      <c r="G97" s="19"/>
    </row>
    <row r="99" customFormat="false" ht="15" hidden="false" customHeight="false" outlineLevel="0" collapsed="false">
      <c r="A99" s="3" t="s">
        <v>109</v>
      </c>
      <c r="B99" s="3" t="s">
        <v>207</v>
      </c>
      <c r="C99" s="3" t="s">
        <v>191</v>
      </c>
      <c r="D99" s="3"/>
      <c r="E99" s="36" t="s">
        <v>175</v>
      </c>
      <c r="F99" s="20" t="n">
        <f aca="false">F111</f>
        <v>2005134.25</v>
      </c>
      <c r="G99" s="3"/>
    </row>
    <row r="100" customFormat="false" ht="15" hidden="false" customHeight="false" outlineLevel="0" collapsed="false">
      <c r="A100" s="16" t="s">
        <v>199</v>
      </c>
      <c r="B100" s="29" t="str">
        <f aca="false">IF(LEFT($A100,1)="B",INDEX('Harga Bahan'!$B$5:$B$200,MATCH($A100,'Harga Bahan'!$A$5:$A$200,0)),INDEX('Harga Upah'!$B$5:$B$200,MATCH($A100,'Harga Upah'!$A$5:$A$200,0)))</f>
        <v>Semen Portland (PC)</v>
      </c>
      <c r="C100" s="31" t="str">
        <f aca="false">IF(LEFT($A100,1)="B",INDEX('Harga Bahan'!$C$5:$C$200,MATCH($A100,'Harga Bahan'!$A$5:$A$200,0)),INDEX('Harga Upah'!$C$5:$C$200,MATCH($A100,'Harga Upah'!$A$5:$A$200,0)))</f>
        <v>kg</v>
      </c>
      <c r="D100" s="37" t="n">
        <v>371</v>
      </c>
      <c r="E100" s="17" t="n">
        <f aca="false">IF(LEFT($A100,1)="B",INDEX('Harga Bahan'!$D$5:$D$200,MATCH($A100,'Harga Bahan'!$A$5:$A$200,0)),INDEX('Harga Upah'!$D$5:$D$200,MATCH($A100,'Harga Upah'!$A$5:$A$200,0)))</f>
        <v>1900</v>
      </c>
      <c r="F100" s="27" t="n">
        <f aca="false">D100*E100</f>
        <v>704900</v>
      </c>
      <c r="G100" s="23" t="s">
        <v>177</v>
      </c>
    </row>
    <row r="101" customFormat="false" ht="15" hidden="false" customHeight="false" outlineLevel="0" collapsed="false">
      <c r="A101" s="16" t="s">
        <v>204</v>
      </c>
      <c r="B101" s="29" t="str">
        <f aca="false">IF(LEFT($A101,1)="B",INDEX('Harga Bahan'!$B$5:$B$200,MATCH($A101,'Harga Bahan'!$A$5:$A$200,0)),INDEX('Harga Upah'!$B$5:$B$200,MATCH($A101,'Harga Upah'!$A$5:$A$200,0)))</f>
        <v>Pasir beton</v>
      </c>
      <c r="C101" s="31" t="str">
        <f aca="false">IF(LEFT($A101,1)="B",INDEX('Harga Bahan'!$C$5:$C$200,MATCH($A101,'Harga Bahan'!$A$5:$A$200,0)),INDEX('Harga Upah'!$C$5:$C$200,MATCH($A101,'Harga Upah'!$A$5:$A$200,0)))</f>
        <v>m³</v>
      </c>
      <c r="D101" s="37" t="n">
        <v>0.698</v>
      </c>
      <c r="E101" s="17" t="n">
        <f aca="false">IF(LEFT($A101,1)="B",INDEX('Harga Bahan'!$D$5:$D$200,MATCH($A101,'Harga Bahan'!$A$5:$A$200,0)),INDEX('Harga Upah'!$D$5:$D$200,MATCH($A101,'Harga Upah'!$A$5:$A$200,0)))</f>
        <v>330000</v>
      </c>
      <c r="F101" s="27" t="n">
        <f aca="false">D101*E101</f>
        <v>230340</v>
      </c>
      <c r="G101" s="23" t="s">
        <v>177</v>
      </c>
    </row>
    <row r="102" customFormat="false" ht="15" hidden="false" customHeight="false" outlineLevel="0" collapsed="false">
      <c r="A102" s="16" t="s">
        <v>205</v>
      </c>
      <c r="B102" s="29" t="str">
        <f aca="false">IF(LEFT($A102,1)="B",INDEX('Harga Bahan'!$B$5:$B$200,MATCH($A102,'Harga Bahan'!$A$5:$A$200,0)),INDEX('Harga Upah'!$B$5:$B$200,MATCH($A102,'Harga Upah'!$A$5:$A$200,0)))</f>
        <v>Batu split / kerikil 2/3</v>
      </c>
      <c r="C102" s="31" t="str">
        <f aca="false">IF(LEFT($A102,1)="B",INDEX('Harga Bahan'!$C$5:$C$200,MATCH($A102,'Harga Bahan'!$A$5:$A$200,0)),INDEX('Harga Upah'!$C$5:$C$200,MATCH($A102,'Harga Upah'!$A$5:$A$200,0)))</f>
        <v>m³</v>
      </c>
      <c r="D102" s="37" t="n">
        <v>1.047</v>
      </c>
      <c r="E102" s="17" t="n">
        <f aca="false">IF(LEFT($A102,1)="B",INDEX('Harga Bahan'!$D$5:$D$200,MATCH($A102,'Harga Bahan'!$A$5:$A$200,0)),INDEX('Harga Upah'!$D$5:$D$200,MATCH($A102,'Harga Upah'!$A$5:$A$200,0)))</f>
        <v>450000</v>
      </c>
      <c r="F102" s="27" t="n">
        <f aca="false">D102*E102</f>
        <v>471150</v>
      </c>
      <c r="G102" s="23" t="s">
        <v>177</v>
      </c>
    </row>
    <row r="103" customFormat="false" ht="15" hidden="false" customHeight="false" outlineLevel="0" collapsed="false">
      <c r="A103" s="16" t="s">
        <v>206</v>
      </c>
      <c r="B103" s="29" t="str">
        <f aca="false">IF(LEFT($A103,1)="B",INDEX('Harga Bahan'!$B$5:$B$200,MATCH($A103,'Harga Bahan'!$A$5:$A$200,0)),INDEX('Harga Upah'!$B$5:$B$200,MATCH($A103,'Harga Upah'!$A$5:$A$200,0)))</f>
        <v>Air kerja</v>
      </c>
      <c r="C103" s="31" t="str">
        <f aca="false">IF(LEFT($A103,1)="B",INDEX('Harga Bahan'!$C$5:$C$200,MATCH($A103,'Harga Bahan'!$A$5:$A$200,0)),INDEX('Harga Upah'!$C$5:$C$200,MATCH($A103,'Harga Upah'!$A$5:$A$200,0)))</f>
        <v>liter</v>
      </c>
      <c r="D103" s="37" t="n">
        <v>215</v>
      </c>
      <c r="E103" s="17" t="n">
        <f aca="false">IF(LEFT($A103,1)="B",INDEX('Harga Bahan'!$D$5:$D$200,MATCH($A103,'Harga Bahan'!$A$5:$A$200,0)),INDEX('Harga Upah'!$D$5:$D$200,MATCH($A103,'Harga Upah'!$A$5:$A$200,0)))</f>
        <v>60</v>
      </c>
      <c r="F103" s="27" t="n">
        <f aca="false">D103*E103</f>
        <v>12900</v>
      </c>
      <c r="G103" s="23" t="s">
        <v>177</v>
      </c>
    </row>
    <row r="104" customFormat="false" ht="15" hidden="false" customHeight="false" outlineLevel="0" collapsed="false">
      <c r="A104" s="16" t="s">
        <v>180</v>
      </c>
      <c r="B104" s="29" t="str">
        <f aca="false">IF(LEFT($A104,1)="B",INDEX('Harga Bahan'!$B$5:$B$200,MATCH($A104,'Harga Bahan'!$A$5:$A$200,0)),INDEX('Harga Upah'!$B$5:$B$200,MATCH($A104,'Harga Upah'!$A$5:$A$200,0)))</f>
        <v>Pekerja</v>
      </c>
      <c r="C104" s="31" t="str">
        <f aca="false">IF(LEFT($A104,1)="B",INDEX('Harga Bahan'!$C$5:$C$200,MATCH($A104,'Harga Bahan'!$A$5:$A$200,0)),INDEX('Harga Upah'!$C$5:$C$200,MATCH($A104,'Harga Upah'!$A$5:$A$200,0)))</f>
        <v>OH</v>
      </c>
      <c r="D104" s="37" t="n">
        <v>1.65</v>
      </c>
      <c r="E104" s="17" t="n">
        <f aca="false">IF(LEFT($A104,1)="B",INDEX('Harga Bahan'!$D$5:$D$200,MATCH($A104,'Harga Bahan'!$A$5:$A$200,0)),INDEX('Harga Upah'!$D$5:$D$200,MATCH($A104,'Harga Upah'!$A$5:$A$200,0)))</f>
        <v>150000</v>
      </c>
      <c r="F104" s="27" t="n">
        <f aca="false">D104*E104</f>
        <v>247500</v>
      </c>
      <c r="G104" s="23" t="s">
        <v>181</v>
      </c>
    </row>
    <row r="105" customFormat="false" ht="15" hidden="false" customHeight="false" outlineLevel="0" collapsed="false">
      <c r="A105" s="16" t="s">
        <v>196</v>
      </c>
      <c r="B105" s="29" t="str">
        <f aca="false">IF(LEFT($A105,1)="B",INDEX('Harga Bahan'!$B$5:$B$200,MATCH($A105,'Harga Bahan'!$A$5:$A$200,0)),INDEX('Harga Upah'!$B$5:$B$200,MATCH($A105,'Harga Upah'!$A$5:$A$200,0)))</f>
        <v>Tukang batu</v>
      </c>
      <c r="C105" s="31" t="str">
        <f aca="false">IF(LEFT($A105,1)="B",INDEX('Harga Bahan'!$C$5:$C$200,MATCH($A105,'Harga Bahan'!$A$5:$A$200,0)),INDEX('Harga Upah'!$C$5:$C$200,MATCH($A105,'Harga Upah'!$A$5:$A$200,0)))</f>
        <v>OH</v>
      </c>
      <c r="D105" s="37" t="n">
        <v>0.275</v>
      </c>
      <c r="E105" s="17" t="n">
        <f aca="false">IF(LEFT($A105,1)="B",INDEX('Harga Bahan'!$D$5:$D$200,MATCH($A105,'Harga Bahan'!$A$5:$A$200,0)),INDEX('Harga Upah'!$D$5:$D$200,MATCH($A105,'Harga Upah'!$A$5:$A$200,0)))</f>
        <v>190000</v>
      </c>
      <c r="F105" s="27" t="n">
        <f aca="false">D105*E105</f>
        <v>52250</v>
      </c>
      <c r="G105" s="23" t="s">
        <v>181</v>
      </c>
    </row>
    <row r="106" customFormat="false" ht="15" hidden="false" customHeight="false" outlineLevel="0" collapsed="false">
      <c r="A106" s="16" t="s">
        <v>183</v>
      </c>
      <c r="B106" s="29" t="str">
        <f aca="false">IF(LEFT($A106,1)="B",INDEX('Harga Bahan'!$B$5:$B$200,MATCH($A106,'Harga Bahan'!$A$5:$A$200,0)),INDEX('Harga Upah'!$B$5:$B$200,MATCH($A106,'Harga Upah'!$A$5:$A$200,0)))</f>
        <v>Kepala tukang</v>
      </c>
      <c r="C106" s="31" t="str">
        <f aca="false">IF(LEFT($A106,1)="B",INDEX('Harga Bahan'!$C$5:$C$200,MATCH($A106,'Harga Bahan'!$A$5:$A$200,0)),INDEX('Harga Upah'!$C$5:$C$200,MATCH($A106,'Harga Upah'!$A$5:$A$200,0)))</f>
        <v>OH</v>
      </c>
      <c r="D106" s="37" t="n">
        <v>0.028</v>
      </c>
      <c r="E106" s="17" t="n">
        <f aca="false">IF(LEFT($A106,1)="B",INDEX('Harga Bahan'!$D$5:$D$200,MATCH($A106,'Harga Bahan'!$A$5:$A$200,0)),INDEX('Harga Upah'!$D$5:$D$200,MATCH($A106,'Harga Upah'!$A$5:$A$200,0)))</f>
        <v>210000</v>
      </c>
      <c r="F106" s="27" t="n">
        <f aca="false">D106*E106</f>
        <v>5880</v>
      </c>
      <c r="G106" s="23" t="s">
        <v>181</v>
      </c>
    </row>
    <row r="107" customFormat="false" ht="15" hidden="false" customHeight="false" outlineLevel="0" collapsed="false">
      <c r="A107" s="16" t="s">
        <v>184</v>
      </c>
      <c r="B107" s="29" t="str">
        <f aca="false">IF(LEFT($A107,1)="B",INDEX('Harga Bahan'!$B$5:$B$200,MATCH($A107,'Harga Bahan'!$A$5:$A$200,0)),INDEX('Harga Upah'!$B$5:$B$200,MATCH($A107,'Harga Upah'!$A$5:$A$200,0)))</f>
        <v>Mandor</v>
      </c>
      <c r="C107" s="31" t="str">
        <f aca="false">IF(LEFT($A107,1)="B",INDEX('Harga Bahan'!$C$5:$C$200,MATCH($A107,'Harga Bahan'!$A$5:$A$200,0)),INDEX('Harga Upah'!$C$5:$C$200,MATCH($A107,'Harga Upah'!$A$5:$A$200,0)))</f>
        <v>OH</v>
      </c>
      <c r="D107" s="37" t="n">
        <v>0.083</v>
      </c>
      <c r="E107" s="17" t="n">
        <f aca="false">IF(LEFT($A107,1)="B",INDEX('Harga Bahan'!$D$5:$D$200,MATCH($A107,'Harga Bahan'!$A$5:$A$200,0)),INDEX('Harga Upah'!$D$5:$D$200,MATCH($A107,'Harga Upah'!$A$5:$A$200,0)))</f>
        <v>225000</v>
      </c>
      <c r="F107" s="27" t="n">
        <f aca="false">D107*E107</f>
        <v>18675</v>
      </c>
      <c r="G107" s="23" t="s">
        <v>181</v>
      </c>
    </row>
    <row r="108" customFormat="false" ht="15" hidden="false" customHeight="false" outlineLevel="0" collapsed="false">
      <c r="A108" s="32"/>
      <c r="B108" s="32" t="s">
        <v>185</v>
      </c>
      <c r="C108" s="32"/>
      <c r="D108" s="32"/>
      <c r="E108" s="32"/>
      <c r="F108" s="38" t="n">
        <f aca="false">SUMIF(G100:G107,"Bahan",F100:F107)</f>
        <v>1419290</v>
      </c>
      <c r="G108" s="32"/>
    </row>
    <row r="109" customFormat="false" ht="15" hidden="false" customHeight="false" outlineLevel="0" collapsed="false">
      <c r="A109" s="32"/>
      <c r="B109" s="32" t="s">
        <v>186</v>
      </c>
      <c r="C109" s="32"/>
      <c r="D109" s="32"/>
      <c r="E109" s="32"/>
      <c r="F109" s="38" t="n">
        <f aca="false">SUMIF(G100:G107,"Upah",F100:F107)</f>
        <v>324305</v>
      </c>
      <c r="G109" s="32"/>
    </row>
    <row r="110" customFormat="false" ht="15" hidden="false" customHeight="false" outlineLevel="0" collapsed="false">
      <c r="A110" s="32"/>
      <c r="B110" s="32" t="str">
        <f aca="false">"Overhead &amp; profit ("&amp;TEXT('Informasi Project'!$B$17,"0.0%")&amp;")"</f>
        <v>Overhead &amp; profit (15.0%)</v>
      </c>
      <c r="C110" s="32"/>
      <c r="D110" s="32"/>
      <c r="E110" s="32"/>
      <c r="F110" s="38" t="n">
        <f aca="false">(F108+F109)*'Informasi Project'!$B$17</f>
        <v>261539.25</v>
      </c>
      <c r="G110" s="32"/>
    </row>
    <row r="111" customFormat="false" ht="15" hidden="false" customHeight="false" outlineLevel="0" collapsed="false">
      <c r="A111" s="19"/>
      <c r="B111" s="3" t="s">
        <v>187</v>
      </c>
      <c r="C111" s="19"/>
      <c r="D111" s="19"/>
      <c r="E111" s="19"/>
      <c r="F111" s="20" t="n">
        <f aca="false">F108+F109+F110</f>
        <v>2005134.25</v>
      </c>
      <c r="G111" s="19"/>
    </row>
    <row r="113" customFormat="false" ht="15" hidden="false" customHeight="false" outlineLevel="0" collapsed="false">
      <c r="A113" s="3" t="s">
        <v>111</v>
      </c>
      <c r="B113" s="3" t="s">
        <v>208</v>
      </c>
      <c r="C113" s="3" t="s">
        <v>209</v>
      </c>
      <c r="D113" s="3"/>
      <c r="E113" s="36" t="s">
        <v>175</v>
      </c>
      <c r="F113" s="20" t="n">
        <f aca="false">F123</f>
        <v>24623.8</v>
      </c>
      <c r="G113" s="3"/>
    </row>
    <row r="114" customFormat="false" ht="15" hidden="false" customHeight="false" outlineLevel="0" collapsed="false">
      <c r="A114" s="16" t="s">
        <v>210</v>
      </c>
      <c r="B114" s="29" t="str">
        <f aca="false">IF(LEFT($A114,1)="B",INDEX('Harga Bahan'!$B$5:$B$200,MATCH($A114,'Harga Bahan'!$A$5:$A$200,0)),INDEX('Harga Upah'!$B$5:$B$200,MATCH($A114,'Harga Upah'!$A$5:$A$200,0)))</f>
        <v>Besi beton polos/ulir</v>
      </c>
      <c r="C114" s="31" t="str">
        <f aca="false">IF(LEFT($A114,1)="B",INDEX('Harga Bahan'!$C$5:$C$200,MATCH($A114,'Harga Bahan'!$A$5:$A$200,0)),INDEX('Harga Upah'!$C$5:$C$200,MATCH($A114,'Harga Upah'!$A$5:$A$200,0)))</f>
        <v>kg</v>
      </c>
      <c r="D114" s="37" t="n">
        <v>1.05</v>
      </c>
      <c r="E114" s="17" t="n">
        <f aca="false">IF(LEFT($A114,1)="B",INDEX('Harga Bahan'!$D$5:$D$200,MATCH($A114,'Harga Bahan'!$A$5:$A$200,0)),INDEX('Harga Upah'!$D$5:$D$200,MATCH($A114,'Harga Upah'!$A$5:$A$200,0)))</f>
        <v>17500</v>
      </c>
      <c r="F114" s="27" t="n">
        <f aca="false">D114*E114</f>
        <v>18375</v>
      </c>
      <c r="G114" s="23" t="s">
        <v>177</v>
      </c>
    </row>
    <row r="115" customFormat="false" ht="15" hidden="false" customHeight="false" outlineLevel="0" collapsed="false">
      <c r="A115" s="16" t="s">
        <v>211</v>
      </c>
      <c r="B115" s="29" t="str">
        <f aca="false">IF(LEFT($A115,1)="B",INDEX('Harga Bahan'!$B$5:$B$200,MATCH($A115,'Harga Bahan'!$A$5:$A$200,0)),INDEX('Harga Upah'!$B$5:$B$200,MATCH($A115,'Harga Upah'!$A$5:$A$200,0)))</f>
        <v>Kawat beton (bendrat)</v>
      </c>
      <c r="C115" s="31" t="str">
        <f aca="false">IF(LEFT($A115,1)="B",INDEX('Harga Bahan'!$C$5:$C$200,MATCH($A115,'Harga Bahan'!$A$5:$A$200,0)),INDEX('Harga Upah'!$C$5:$C$200,MATCH($A115,'Harga Upah'!$A$5:$A$200,0)))</f>
        <v>kg</v>
      </c>
      <c r="D115" s="37" t="n">
        <v>0.015</v>
      </c>
      <c r="E115" s="17" t="n">
        <f aca="false">IF(LEFT($A115,1)="B",INDEX('Harga Bahan'!$D$5:$D$200,MATCH($A115,'Harga Bahan'!$A$5:$A$200,0)),INDEX('Harga Upah'!$D$5:$D$200,MATCH($A115,'Harga Upah'!$A$5:$A$200,0)))</f>
        <v>28000</v>
      </c>
      <c r="F115" s="27" t="n">
        <f aca="false">D115*E115</f>
        <v>420</v>
      </c>
      <c r="G115" s="23" t="s">
        <v>177</v>
      </c>
    </row>
    <row r="116" customFormat="false" ht="15" hidden="false" customHeight="false" outlineLevel="0" collapsed="false">
      <c r="A116" s="16" t="s">
        <v>180</v>
      </c>
      <c r="B116" s="29" t="str">
        <f aca="false">IF(LEFT($A116,1)="B",INDEX('Harga Bahan'!$B$5:$B$200,MATCH($A116,'Harga Bahan'!$A$5:$A$200,0)),INDEX('Harga Upah'!$B$5:$B$200,MATCH($A116,'Harga Upah'!$A$5:$A$200,0)))</f>
        <v>Pekerja</v>
      </c>
      <c r="C116" s="31" t="str">
        <f aca="false">IF(LEFT($A116,1)="B",INDEX('Harga Bahan'!$C$5:$C$200,MATCH($A116,'Harga Bahan'!$A$5:$A$200,0)),INDEX('Harga Upah'!$C$5:$C$200,MATCH($A116,'Harga Upah'!$A$5:$A$200,0)))</f>
        <v>OH</v>
      </c>
      <c r="D116" s="37" t="n">
        <v>0.007</v>
      </c>
      <c r="E116" s="17" t="n">
        <f aca="false">IF(LEFT($A116,1)="B",INDEX('Harga Bahan'!$D$5:$D$200,MATCH($A116,'Harga Bahan'!$A$5:$A$200,0)),INDEX('Harga Upah'!$D$5:$D$200,MATCH($A116,'Harga Upah'!$A$5:$A$200,0)))</f>
        <v>150000</v>
      </c>
      <c r="F116" s="27" t="n">
        <f aca="false">D116*E116</f>
        <v>1050</v>
      </c>
      <c r="G116" s="23" t="s">
        <v>181</v>
      </c>
    </row>
    <row r="117" customFormat="false" ht="15" hidden="false" customHeight="false" outlineLevel="0" collapsed="false">
      <c r="A117" s="16" t="s">
        <v>212</v>
      </c>
      <c r="B117" s="29" t="str">
        <f aca="false">IF(LEFT($A117,1)="B",INDEX('Harga Bahan'!$B$5:$B$200,MATCH($A117,'Harga Bahan'!$A$5:$A$200,0)),INDEX('Harga Upah'!$B$5:$B$200,MATCH($A117,'Harga Upah'!$A$5:$A$200,0)))</f>
        <v>Tukang besi</v>
      </c>
      <c r="C117" s="31" t="str">
        <f aca="false">IF(LEFT($A117,1)="B",INDEX('Harga Bahan'!$C$5:$C$200,MATCH($A117,'Harga Bahan'!$A$5:$A$200,0)),INDEX('Harga Upah'!$C$5:$C$200,MATCH($A117,'Harga Upah'!$A$5:$A$200,0)))</f>
        <v>OH</v>
      </c>
      <c r="D117" s="37" t="n">
        <v>0.007</v>
      </c>
      <c r="E117" s="17" t="n">
        <f aca="false">IF(LEFT($A117,1)="B",INDEX('Harga Bahan'!$D$5:$D$200,MATCH($A117,'Harga Bahan'!$A$5:$A$200,0)),INDEX('Harga Upah'!$D$5:$D$200,MATCH($A117,'Harga Upah'!$A$5:$A$200,0)))</f>
        <v>190000</v>
      </c>
      <c r="F117" s="27" t="n">
        <f aca="false">D117*E117</f>
        <v>1330</v>
      </c>
      <c r="G117" s="23" t="s">
        <v>181</v>
      </c>
    </row>
    <row r="118" customFormat="false" ht="15" hidden="false" customHeight="false" outlineLevel="0" collapsed="false">
      <c r="A118" s="16" t="s">
        <v>183</v>
      </c>
      <c r="B118" s="29" t="str">
        <f aca="false">IF(LEFT($A118,1)="B",INDEX('Harga Bahan'!$B$5:$B$200,MATCH($A118,'Harga Bahan'!$A$5:$A$200,0)),INDEX('Harga Upah'!$B$5:$B$200,MATCH($A118,'Harga Upah'!$A$5:$A$200,0)))</f>
        <v>Kepala tukang</v>
      </c>
      <c r="C118" s="31" t="str">
        <f aca="false">IF(LEFT($A118,1)="B",INDEX('Harga Bahan'!$C$5:$C$200,MATCH($A118,'Harga Bahan'!$A$5:$A$200,0)),INDEX('Harga Upah'!$C$5:$C$200,MATCH($A118,'Harga Upah'!$A$5:$A$200,0)))</f>
        <v>OH</v>
      </c>
      <c r="D118" s="37" t="n">
        <v>0.0007</v>
      </c>
      <c r="E118" s="17" t="n">
        <f aca="false">IF(LEFT($A118,1)="B",INDEX('Harga Bahan'!$D$5:$D$200,MATCH($A118,'Harga Bahan'!$A$5:$A$200,0)),INDEX('Harga Upah'!$D$5:$D$200,MATCH($A118,'Harga Upah'!$A$5:$A$200,0)))</f>
        <v>210000</v>
      </c>
      <c r="F118" s="27" t="n">
        <f aca="false">D118*E118</f>
        <v>147</v>
      </c>
      <c r="G118" s="23" t="s">
        <v>181</v>
      </c>
    </row>
    <row r="119" customFormat="false" ht="15" hidden="false" customHeight="false" outlineLevel="0" collapsed="false">
      <c r="A119" s="16" t="s">
        <v>184</v>
      </c>
      <c r="B119" s="29" t="str">
        <f aca="false">IF(LEFT($A119,1)="B",INDEX('Harga Bahan'!$B$5:$B$200,MATCH($A119,'Harga Bahan'!$A$5:$A$200,0)),INDEX('Harga Upah'!$B$5:$B$200,MATCH($A119,'Harga Upah'!$A$5:$A$200,0)))</f>
        <v>Mandor</v>
      </c>
      <c r="C119" s="31" t="str">
        <f aca="false">IF(LEFT($A119,1)="B",INDEX('Harga Bahan'!$C$5:$C$200,MATCH($A119,'Harga Bahan'!$A$5:$A$200,0)),INDEX('Harga Upah'!$C$5:$C$200,MATCH($A119,'Harga Upah'!$A$5:$A$200,0)))</f>
        <v>OH</v>
      </c>
      <c r="D119" s="37" t="n">
        <v>0.0004</v>
      </c>
      <c r="E119" s="17" t="n">
        <f aca="false">IF(LEFT($A119,1)="B",INDEX('Harga Bahan'!$D$5:$D$200,MATCH($A119,'Harga Bahan'!$A$5:$A$200,0)),INDEX('Harga Upah'!$D$5:$D$200,MATCH($A119,'Harga Upah'!$A$5:$A$200,0)))</f>
        <v>225000</v>
      </c>
      <c r="F119" s="27" t="n">
        <f aca="false">D119*E119</f>
        <v>90</v>
      </c>
      <c r="G119" s="23" t="s">
        <v>181</v>
      </c>
    </row>
    <row r="120" customFormat="false" ht="15" hidden="false" customHeight="false" outlineLevel="0" collapsed="false">
      <c r="A120" s="32"/>
      <c r="B120" s="32" t="s">
        <v>185</v>
      </c>
      <c r="C120" s="32"/>
      <c r="D120" s="32"/>
      <c r="E120" s="32"/>
      <c r="F120" s="38" t="n">
        <f aca="false">SUMIF(G114:G119,"Bahan",F114:F119)</f>
        <v>18795</v>
      </c>
      <c r="G120" s="32"/>
    </row>
    <row r="121" customFormat="false" ht="15" hidden="false" customHeight="false" outlineLevel="0" collapsed="false">
      <c r="A121" s="32"/>
      <c r="B121" s="32" t="s">
        <v>186</v>
      </c>
      <c r="C121" s="32"/>
      <c r="D121" s="32"/>
      <c r="E121" s="32"/>
      <c r="F121" s="38" t="n">
        <f aca="false">SUMIF(G114:G119,"Upah",F114:F119)</f>
        <v>2617</v>
      </c>
      <c r="G121" s="32"/>
    </row>
    <row r="122" customFormat="false" ht="15" hidden="false" customHeight="false" outlineLevel="0" collapsed="false">
      <c r="A122" s="32"/>
      <c r="B122" s="32" t="str">
        <f aca="false">"Overhead &amp; profit ("&amp;TEXT('Informasi Project'!$B$17,"0.0%")&amp;")"</f>
        <v>Overhead &amp; profit (15.0%)</v>
      </c>
      <c r="C122" s="32"/>
      <c r="D122" s="32"/>
      <c r="E122" s="32"/>
      <c r="F122" s="38" t="n">
        <f aca="false">(F120+F121)*'Informasi Project'!$B$17</f>
        <v>3211.8</v>
      </c>
      <c r="G122" s="32"/>
    </row>
    <row r="123" customFormat="false" ht="15" hidden="false" customHeight="false" outlineLevel="0" collapsed="false">
      <c r="A123" s="19"/>
      <c r="B123" s="3" t="s">
        <v>187</v>
      </c>
      <c r="C123" s="19"/>
      <c r="D123" s="19"/>
      <c r="E123" s="19"/>
      <c r="F123" s="20" t="n">
        <f aca="false">F120+F121+F122</f>
        <v>24623.8</v>
      </c>
      <c r="G123" s="19"/>
    </row>
    <row r="125" customFormat="false" ht="15" hidden="false" customHeight="false" outlineLevel="0" collapsed="false">
      <c r="A125" s="3" t="s">
        <v>113</v>
      </c>
      <c r="B125" s="3" t="s">
        <v>213</v>
      </c>
      <c r="C125" s="3" t="s">
        <v>189</v>
      </c>
      <c r="D125" s="3"/>
      <c r="E125" s="36" t="s">
        <v>175</v>
      </c>
      <c r="F125" s="20" t="n">
        <f aca="false">F136</f>
        <v>391184</v>
      </c>
      <c r="G125" s="3"/>
    </row>
    <row r="126" customFormat="false" ht="15" hidden="false" customHeight="false" outlineLevel="0" collapsed="false">
      <c r="A126" s="16" t="s">
        <v>214</v>
      </c>
      <c r="B126" s="29" t="str">
        <f aca="false">IF(LEFT($A126,1)="B",INDEX('Harga Bahan'!$B$5:$B$200,MATCH($A126,'Harga Bahan'!$A$5:$A$200,0)),INDEX('Harga Upah'!$B$5:$B$200,MATCH($A126,'Harga Upah'!$A$5:$A$200,0)))</f>
        <v>Plywood 12 mm</v>
      </c>
      <c r="C126" s="31" t="str">
        <f aca="false">IF(LEFT($A126,1)="B",INDEX('Harga Bahan'!$C$5:$C$200,MATCH($A126,'Harga Bahan'!$A$5:$A$200,0)),INDEX('Harga Upah'!$C$5:$C$200,MATCH($A126,'Harga Upah'!$A$5:$A$200,0)))</f>
        <v>lembar</v>
      </c>
      <c r="D126" s="37" t="n">
        <v>0.35</v>
      </c>
      <c r="E126" s="17" t="n">
        <f aca="false">IF(LEFT($A126,1)="B",INDEX('Harga Bahan'!$D$5:$D$200,MATCH($A126,'Harga Bahan'!$A$5:$A$200,0)),INDEX('Harga Upah'!$D$5:$D$200,MATCH($A126,'Harga Upah'!$A$5:$A$200,0)))</f>
        <v>285000</v>
      </c>
      <c r="F126" s="27" t="n">
        <f aca="false">D126*E126</f>
        <v>99750</v>
      </c>
      <c r="G126" s="23" t="s">
        <v>177</v>
      </c>
    </row>
    <row r="127" customFormat="false" ht="15" hidden="false" customHeight="false" outlineLevel="0" collapsed="false">
      <c r="A127" s="16" t="s">
        <v>178</v>
      </c>
      <c r="B127" s="29" t="str">
        <f aca="false">IF(LEFT($A127,1)="B",INDEX('Harga Bahan'!$B$5:$B$200,MATCH($A127,'Harga Bahan'!$A$5:$A$200,0)),INDEX('Harga Upah'!$B$5:$B$200,MATCH($A127,'Harga Upah'!$A$5:$A$200,0)))</f>
        <v>Kayu kelas II (balok/usuk/kusen)</v>
      </c>
      <c r="C127" s="31" t="str">
        <f aca="false">IF(LEFT($A127,1)="B",INDEX('Harga Bahan'!$C$5:$C$200,MATCH($A127,'Harga Bahan'!$A$5:$A$200,0)),INDEX('Harga Upah'!$C$5:$C$200,MATCH($A127,'Harga Upah'!$A$5:$A$200,0)))</f>
        <v>m³</v>
      </c>
      <c r="D127" s="37" t="n">
        <v>0.015</v>
      </c>
      <c r="E127" s="17" t="n">
        <f aca="false">IF(LEFT($A127,1)="B",INDEX('Harga Bahan'!$D$5:$D$200,MATCH($A127,'Harga Bahan'!$A$5:$A$200,0)),INDEX('Harga Upah'!$D$5:$D$200,MATCH($A127,'Harga Upah'!$A$5:$A$200,0)))</f>
        <v>6500000</v>
      </c>
      <c r="F127" s="27" t="n">
        <f aca="false">D127*E127</f>
        <v>97500</v>
      </c>
      <c r="G127" s="23" t="s">
        <v>177</v>
      </c>
    </row>
    <row r="128" customFormat="false" ht="15" hidden="false" customHeight="false" outlineLevel="0" collapsed="false">
      <c r="A128" s="16" t="s">
        <v>179</v>
      </c>
      <c r="B128" s="29" t="str">
        <f aca="false">IF(LEFT($A128,1)="B",INDEX('Harga Bahan'!$B$5:$B$200,MATCH($A128,'Harga Bahan'!$A$5:$A$200,0)),INDEX('Harga Upah'!$B$5:$B$200,MATCH($A128,'Harga Upah'!$A$5:$A$200,0)))</f>
        <v>Paku campuran</v>
      </c>
      <c r="C128" s="31" t="str">
        <f aca="false">IF(LEFT($A128,1)="B",INDEX('Harga Bahan'!$C$5:$C$200,MATCH($A128,'Harga Bahan'!$A$5:$A$200,0)),INDEX('Harga Upah'!$C$5:$C$200,MATCH($A128,'Harga Upah'!$A$5:$A$200,0)))</f>
        <v>kg</v>
      </c>
      <c r="D128" s="37" t="n">
        <v>0.15</v>
      </c>
      <c r="E128" s="17" t="n">
        <f aca="false">IF(LEFT($A128,1)="B",INDEX('Harga Bahan'!$D$5:$D$200,MATCH($A128,'Harga Bahan'!$A$5:$A$200,0)),INDEX('Harga Upah'!$D$5:$D$200,MATCH($A128,'Harga Upah'!$A$5:$A$200,0)))</f>
        <v>28000</v>
      </c>
      <c r="F128" s="27" t="n">
        <f aca="false">D128*E128</f>
        <v>4200</v>
      </c>
      <c r="G128" s="23" t="s">
        <v>177</v>
      </c>
    </row>
    <row r="129" customFormat="false" ht="15" hidden="false" customHeight="false" outlineLevel="0" collapsed="false">
      <c r="A129" s="16" t="s">
        <v>180</v>
      </c>
      <c r="B129" s="29" t="str">
        <f aca="false">IF(LEFT($A129,1)="B",INDEX('Harga Bahan'!$B$5:$B$200,MATCH($A129,'Harga Bahan'!$A$5:$A$200,0)),INDEX('Harga Upah'!$B$5:$B$200,MATCH($A129,'Harga Upah'!$A$5:$A$200,0)))</f>
        <v>Pekerja</v>
      </c>
      <c r="C129" s="31" t="str">
        <f aca="false">IF(LEFT($A129,1)="B",INDEX('Harga Bahan'!$C$5:$C$200,MATCH($A129,'Harga Bahan'!$A$5:$A$200,0)),INDEX('Harga Upah'!$C$5:$C$200,MATCH($A129,'Harga Upah'!$A$5:$A$200,0)))</f>
        <v>OH</v>
      </c>
      <c r="D129" s="37" t="n">
        <v>0.52</v>
      </c>
      <c r="E129" s="17" t="n">
        <f aca="false">IF(LEFT($A129,1)="B",INDEX('Harga Bahan'!$D$5:$D$200,MATCH($A129,'Harga Bahan'!$A$5:$A$200,0)),INDEX('Harga Upah'!$D$5:$D$200,MATCH($A129,'Harga Upah'!$A$5:$A$200,0)))</f>
        <v>150000</v>
      </c>
      <c r="F129" s="27" t="n">
        <f aca="false">D129*E129</f>
        <v>78000</v>
      </c>
      <c r="G129" s="23" t="s">
        <v>181</v>
      </c>
    </row>
    <row r="130" customFormat="false" ht="15" hidden="false" customHeight="false" outlineLevel="0" collapsed="false">
      <c r="A130" s="16" t="s">
        <v>182</v>
      </c>
      <c r="B130" s="29" t="str">
        <f aca="false">IF(LEFT($A130,1)="B",INDEX('Harga Bahan'!$B$5:$B$200,MATCH($A130,'Harga Bahan'!$A$5:$A$200,0)),INDEX('Harga Upah'!$B$5:$B$200,MATCH($A130,'Harga Upah'!$A$5:$A$200,0)))</f>
        <v>Tukang kayu</v>
      </c>
      <c r="C130" s="31" t="str">
        <f aca="false">IF(LEFT($A130,1)="B",INDEX('Harga Bahan'!$C$5:$C$200,MATCH($A130,'Harga Bahan'!$A$5:$A$200,0)),INDEX('Harga Upah'!$C$5:$C$200,MATCH($A130,'Harga Upah'!$A$5:$A$200,0)))</f>
        <v>OH</v>
      </c>
      <c r="D130" s="37" t="n">
        <v>0.26</v>
      </c>
      <c r="E130" s="17" t="n">
        <f aca="false">IF(LEFT($A130,1)="B",INDEX('Harga Bahan'!$D$5:$D$200,MATCH($A130,'Harga Bahan'!$A$5:$A$200,0)),INDEX('Harga Upah'!$D$5:$D$200,MATCH($A130,'Harga Upah'!$A$5:$A$200,0)))</f>
        <v>190000</v>
      </c>
      <c r="F130" s="27" t="n">
        <f aca="false">D130*E130</f>
        <v>49400</v>
      </c>
      <c r="G130" s="23" t="s">
        <v>181</v>
      </c>
    </row>
    <row r="131" customFormat="false" ht="15" hidden="false" customHeight="false" outlineLevel="0" collapsed="false">
      <c r="A131" s="16" t="s">
        <v>183</v>
      </c>
      <c r="B131" s="29" t="str">
        <f aca="false">IF(LEFT($A131,1)="B",INDEX('Harga Bahan'!$B$5:$B$200,MATCH($A131,'Harga Bahan'!$A$5:$A$200,0)),INDEX('Harga Upah'!$B$5:$B$200,MATCH($A131,'Harga Upah'!$A$5:$A$200,0)))</f>
        <v>Kepala tukang</v>
      </c>
      <c r="C131" s="31" t="str">
        <f aca="false">IF(LEFT($A131,1)="B",INDEX('Harga Bahan'!$C$5:$C$200,MATCH($A131,'Harga Bahan'!$A$5:$A$200,0)),INDEX('Harga Upah'!$C$5:$C$200,MATCH($A131,'Harga Upah'!$A$5:$A$200,0)))</f>
        <v>OH</v>
      </c>
      <c r="D131" s="37" t="n">
        <v>0.026</v>
      </c>
      <c r="E131" s="17" t="n">
        <f aca="false">IF(LEFT($A131,1)="B",INDEX('Harga Bahan'!$D$5:$D$200,MATCH($A131,'Harga Bahan'!$A$5:$A$200,0)),INDEX('Harga Upah'!$D$5:$D$200,MATCH($A131,'Harga Upah'!$A$5:$A$200,0)))</f>
        <v>210000</v>
      </c>
      <c r="F131" s="27" t="n">
        <f aca="false">D131*E131</f>
        <v>5460</v>
      </c>
      <c r="G131" s="23" t="s">
        <v>181</v>
      </c>
    </row>
    <row r="132" customFormat="false" ht="15" hidden="false" customHeight="false" outlineLevel="0" collapsed="false">
      <c r="A132" s="16" t="s">
        <v>184</v>
      </c>
      <c r="B132" s="29" t="str">
        <f aca="false">IF(LEFT($A132,1)="B",INDEX('Harga Bahan'!$B$5:$B$200,MATCH($A132,'Harga Bahan'!$A$5:$A$200,0)),INDEX('Harga Upah'!$B$5:$B$200,MATCH($A132,'Harga Upah'!$A$5:$A$200,0)))</f>
        <v>Mandor</v>
      </c>
      <c r="C132" s="31" t="str">
        <f aca="false">IF(LEFT($A132,1)="B",INDEX('Harga Bahan'!$C$5:$C$200,MATCH($A132,'Harga Bahan'!$A$5:$A$200,0)),INDEX('Harga Upah'!$C$5:$C$200,MATCH($A132,'Harga Upah'!$A$5:$A$200,0)))</f>
        <v>OH</v>
      </c>
      <c r="D132" s="37" t="n">
        <v>0.026</v>
      </c>
      <c r="E132" s="17" t="n">
        <f aca="false">IF(LEFT($A132,1)="B",INDEX('Harga Bahan'!$D$5:$D$200,MATCH($A132,'Harga Bahan'!$A$5:$A$200,0)),INDEX('Harga Upah'!$D$5:$D$200,MATCH($A132,'Harga Upah'!$A$5:$A$200,0)))</f>
        <v>225000</v>
      </c>
      <c r="F132" s="27" t="n">
        <f aca="false">D132*E132</f>
        <v>5850</v>
      </c>
      <c r="G132" s="23" t="s">
        <v>181</v>
      </c>
    </row>
    <row r="133" customFormat="false" ht="15" hidden="false" customHeight="false" outlineLevel="0" collapsed="false">
      <c r="A133" s="32"/>
      <c r="B133" s="32" t="s">
        <v>185</v>
      </c>
      <c r="C133" s="32"/>
      <c r="D133" s="32"/>
      <c r="E133" s="32"/>
      <c r="F133" s="38" t="n">
        <f aca="false">SUMIF(G126:G132,"Bahan",F126:F132)</f>
        <v>201450</v>
      </c>
      <c r="G133" s="32"/>
    </row>
    <row r="134" customFormat="false" ht="15" hidden="false" customHeight="false" outlineLevel="0" collapsed="false">
      <c r="A134" s="32"/>
      <c r="B134" s="32" t="s">
        <v>186</v>
      </c>
      <c r="C134" s="32"/>
      <c r="D134" s="32"/>
      <c r="E134" s="32"/>
      <c r="F134" s="38" t="n">
        <f aca="false">SUMIF(G126:G132,"Upah",F126:F132)</f>
        <v>138710</v>
      </c>
      <c r="G134" s="32"/>
    </row>
    <row r="135" customFormat="false" ht="15" hidden="false" customHeight="false" outlineLevel="0" collapsed="false">
      <c r="A135" s="32"/>
      <c r="B135" s="32" t="str">
        <f aca="false">"Overhead &amp; profit ("&amp;TEXT('Informasi Project'!$B$17,"0.0%")&amp;")"</f>
        <v>Overhead &amp; profit (15.0%)</v>
      </c>
      <c r="C135" s="32"/>
      <c r="D135" s="32"/>
      <c r="E135" s="32"/>
      <c r="F135" s="38" t="n">
        <f aca="false">(F133+F134)*'Informasi Project'!$B$17</f>
        <v>51024</v>
      </c>
      <c r="G135" s="32"/>
    </row>
    <row r="136" customFormat="false" ht="15" hidden="false" customHeight="false" outlineLevel="0" collapsed="false">
      <c r="A136" s="19"/>
      <c r="B136" s="3" t="s">
        <v>187</v>
      </c>
      <c r="C136" s="19"/>
      <c r="D136" s="19"/>
      <c r="E136" s="19"/>
      <c r="F136" s="20" t="n">
        <f aca="false">F133+F134+F135</f>
        <v>391184</v>
      </c>
      <c r="G136" s="19"/>
    </row>
    <row r="138" customFormat="false" ht="15" hidden="false" customHeight="false" outlineLevel="0" collapsed="false">
      <c r="A138" s="3" t="s">
        <v>115</v>
      </c>
      <c r="B138" s="3" t="s">
        <v>215</v>
      </c>
      <c r="C138" s="3" t="s">
        <v>189</v>
      </c>
      <c r="D138" s="3"/>
      <c r="E138" s="36" t="s">
        <v>175</v>
      </c>
      <c r="F138" s="20" t="n">
        <f aca="false">F148</f>
        <v>379396.5</v>
      </c>
      <c r="G138" s="3"/>
    </row>
    <row r="139" customFormat="false" ht="15" hidden="false" customHeight="false" outlineLevel="0" collapsed="false">
      <c r="A139" s="16" t="s">
        <v>176</v>
      </c>
      <c r="B139" s="29" t="str">
        <f aca="false">IF(LEFT($A139,1)="B",INDEX('Harga Bahan'!$B$5:$B$200,MATCH($A139,'Harga Bahan'!$A$5:$A$200,0)),INDEX('Harga Upah'!$B$5:$B$200,MATCH($A139,'Harga Upah'!$A$5:$A$200,0)))</f>
        <v>Kayu kelas III (papan bekisting/bouwplank)</v>
      </c>
      <c r="C139" s="31" t="str">
        <f aca="false">IF(LEFT($A139,1)="B",INDEX('Harga Bahan'!$C$5:$C$200,MATCH($A139,'Harga Bahan'!$A$5:$A$200,0)),INDEX('Harga Upah'!$C$5:$C$200,MATCH($A139,'Harga Upah'!$A$5:$A$200,0)))</f>
        <v>m³</v>
      </c>
      <c r="D139" s="37" t="n">
        <v>0.04</v>
      </c>
      <c r="E139" s="17" t="n">
        <f aca="false">IF(LEFT($A139,1)="B",INDEX('Harga Bahan'!$D$5:$D$200,MATCH($A139,'Harga Bahan'!$A$5:$A$200,0)),INDEX('Harga Upah'!$D$5:$D$200,MATCH($A139,'Harga Upah'!$A$5:$A$200,0)))</f>
        <v>4500000</v>
      </c>
      <c r="F139" s="27" t="n">
        <f aca="false">D139*E139</f>
        <v>180000</v>
      </c>
      <c r="G139" s="23" t="s">
        <v>177</v>
      </c>
    </row>
    <row r="140" customFormat="false" ht="15" hidden="false" customHeight="false" outlineLevel="0" collapsed="false">
      <c r="A140" s="16" t="s">
        <v>179</v>
      </c>
      <c r="B140" s="29" t="str">
        <f aca="false">IF(LEFT($A140,1)="B",INDEX('Harga Bahan'!$B$5:$B$200,MATCH($A140,'Harga Bahan'!$A$5:$A$200,0)),INDEX('Harga Upah'!$B$5:$B$200,MATCH($A140,'Harga Upah'!$A$5:$A$200,0)))</f>
        <v>Paku campuran</v>
      </c>
      <c r="C140" s="31" t="str">
        <f aca="false">IF(LEFT($A140,1)="B",INDEX('Harga Bahan'!$C$5:$C$200,MATCH($A140,'Harga Bahan'!$A$5:$A$200,0)),INDEX('Harga Upah'!$C$5:$C$200,MATCH($A140,'Harga Upah'!$A$5:$A$200,0)))</f>
        <v>kg</v>
      </c>
      <c r="D140" s="37" t="n">
        <v>0.4</v>
      </c>
      <c r="E140" s="17" t="n">
        <f aca="false">IF(LEFT($A140,1)="B",INDEX('Harga Bahan'!$D$5:$D$200,MATCH($A140,'Harga Bahan'!$A$5:$A$200,0)),INDEX('Harga Upah'!$D$5:$D$200,MATCH($A140,'Harga Upah'!$A$5:$A$200,0)))</f>
        <v>28000</v>
      </c>
      <c r="F140" s="27" t="n">
        <f aca="false">D140*E140</f>
        <v>11200</v>
      </c>
      <c r="G140" s="23" t="s">
        <v>177</v>
      </c>
    </row>
    <row r="141" customFormat="false" ht="15" hidden="false" customHeight="false" outlineLevel="0" collapsed="false">
      <c r="A141" s="16" t="s">
        <v>180</v>
      </c>
      <c r="B141" s="29" t="str">
        <f aca="false">IF(LEFT($A141,1)="B",INDEX('Harga Bahan'!$B$5:$B$200,MATCH($A141,'Harga Bahan'!$A$5:$A$200,0)),INDEX('Harga Upah'!$B$5:$B$200,MATCH($A141,'Harga Upah'!$A$5:$A$200,0)))</f>
        <v>Pekerja</v>
      </c>
      <c r="C141" s="31" t="str">
        <f aca="false">IF(LEFT($A141,1)="B",INDEX('Harga Bahan'!$C$5:$C$200,MATCH($A141,'Harga Bahan'!$A$5:$A$200,0)),INDEX('Harga Upah'!$C$5:$C$200,MATCH($A141,'Harga Upah'!$A$5:$A$200,0)))</f>
        <v>OH</v>
      </c>
      <c r="D141" s="37" t="n">
        <v>0.52</v>
      </c>
      <c r="E141" s="17" t="n">
        <f aca="false">IF(LEFT($A141,1)="B",INDEX('Harga Bahan'!$D$5:$D$200,MATCH($A141,'Harga Bahan'!$A$5:$A$200,0)),INDEX('Harga Upah'!$D$5:$D$200,MATCH($A141,'Harga Upah'!$A$5:$A$200,0)))</f>
        <v>150000</v>
      </c>
      <c r="F141" s="27" t="n">
        <f aca="false">D141*E141</f>
        <v>78000</v>
      </c>
      <c r="G141" s="23" t="s">
        <v>181</v>
      </c>
    </row>
    <row r="142" customFormat="false" ht="15" hidden="false" customHeight="false" outlineLevel="0" collapsed="false">
      <c r="A142" s="16" t="s">
        <v>182</v>
      </c>
      <c r="B142" s="29" t="str">
        <f aca="false">IF(LEFT($A142,1)="B",INDEX('Harga Bahan'!$B$5:$B$200,MATCH($A142,'Harga Bahan'!$A$5:$A$200,0)),INDEX('Harga Upah'!$B$5:$B$200,MATCH($A142,'Harga Upah'!$A$5:$A$200,0)))</f>
        <v>Tukang kayu</v>
      </c>
      <c r="C142" s="31" t="str">
        <f aca="false">IF(LEFT($A142,1)="B",INDEX('Harga Bahan'!$C$5:$C$200,MATCH($A142,'Harga Bahan'!$A$5:$A$200,0)),INDEX('Harga Upah'!$C$5:$C$200,MATCH($A142,'Harga Upah'!$A$5:$A$200,0)))</f>
        <v>OH</v>
      </c>
      <c r="D142" s="37" t="n">
        <v>0.26</v>
      </c>
      <c r="E142" s="17" t="n">
        <f aca="false">IF(LEFT($A142,1)="B",INDEX('Harga Bahan'!$D$5:$D$200,MATCH($A142,'Harga Bahan'!$A$5:$A$200,0)),INDEX('Harga Upah'!$D$5:$D$200,MATCH($A142,'Harga Upah'!$A$5:$A$200,0)))</f>
        <v>190000</v>
      </c>
      <c r="F142" s="27" t="n">
        <f aca="false">D142*E142</f>
        <v>49400</v>
      </c>
      <c r="G142" s="23" t="s">
        <v>181</v>
      </c>
    </row>
    <row r="143" customFormat="false" ht="15" hidden="false" customHeight="false" outlineLevel="0" collapsed="false">
      <c r="A143" s="16" t="s">
        <v>183</v>
      </c>
      <c r="B143" s="29" t="str">
        <f aca="false">IF(LEFT($A143,1)="B",INDEX('Harga Bahan'!$B$5:$B$200,MATCH($A143,'Harga Bahan'!$A$5:$A$200,0)),INDEX('Harga Upah'!$B$5:$B$200,MATCH($A143,'Harga Upah'!$A$5:$A$200,0)))</f>
        <v>Kepala tukang</v>
      </c>
      <c r="C143" s="31" t="str">
        <f aca="false">IF(LEFT($A143,1)="B",INDEX('Harga Bahan'!$C$5:$C$200,MATCH($A143,'Harga Bahan'!$A$5:$A$200,0)),INDEX('Harga Upah'!$C$5:$C$200,MATCH($A143,'Harga Upah'!$A$5:$A$200,0)))</f>
        <v>OH</v>
      </c>
      <c r="D143" s="37" t="n">
        <v>0.026</v>
      </c>
      <c r="E143" s="17" t="n">
        <f aca="false">IF(LEFT($A143,1)="B",INDEX('Harga Bahan'!$D$5:$D$200,MATCH($A143,'Harga Bahan'!$A$5:$A$200,0)),INDEX('Harga Upah'!$D$5:$D$200,MATCH($A143,'Harga Upah'!$A$5:$A$200,0)))</f>
        <v>210000</v>
      </c>
      <c r="F143" s="27" t="n">
        <f aca="false">D143*E143</f>
        <v>5460</v>
      </c>
      <c r="G143" s="23" t="s">
        <v>181</v>
      </c>
    </row>
    <row r="144" customFormat="false" ht="15" hidden="false" customHeight="false" outlineLevel="0" collapsed="false">
      <c r="A144" s="16" t="s">
        <v>184</v>
      </c>
      <c r="B144" s="29" t="str">
        <f aca="false">IF(LEFT($A144,1)="B",INDEX('Harga Bahan'!$B$5:$B$200,MATCH($A144,'Harga Bahan'!$A$5:$A$200,0)),INDEX('Harga Upah'!$B$5:$B$200,MATCH($A144,'Harga Upah'!$A$5:$A$200,0)))</f>
        <v>Mandor</v>
      </c>
      <c r="C144" s="31" t="str">
        <f aca="false">IF(LEFT($A144,1)="B",INDEX('Harga Bahan'!$C$5:$C$200,MATCH($A144,'Harga Bahan'!$A$5:$A$200,0)),INDEX('Harga Upah'!$C$5:$C$200,MATCH($A144,'Harga Upah'!$A$5:$A$200,0)))</f>
        <v>OH</v>
      </c>
      <c r="D144" s="37" t="n">
        <v>0.026</v>
      </c>
      <c r="E144" s="17" t="n">
        <f aca="false">IF(LEFT($A144,1)="B",INDEX('Harga Bahan'!$D$5:$D$200,MATCH($A144,'Harga Bahan'!$A$5:$A$200,0)),INDEX('Harga Upah'!$D$5:$D$200,MATCH($A144,'Harga Upah'!$A$5:$A$200,0)))</f>
        <v>225000</v>
      </c>
      <c r="F144" s="27" t="n">
        <f aca="false">D144*E144</f>
        <v>5850</v>
      </c>
      <c r="G144" s="23" t="s">
        <v>181</v>
      </c>
    </row>
    <row r="145" customFormat="false" ht="15" hidden="false" customHeight="false" outlineLevel="0" collapsed="false">
      <c r="A145" s="32"/>
      <c r="B145" s="32" t="s">
        <v>185</v>
      </c>
      <c r="C145" s="32"/>
      <c r="D145" s="32"/>
      <c r="E145" s="32"/>
      <c r="F145" s="38" t="n">
        <f aca="false">SUMIF(G139:G144,"Bahan",F139:F144)</f>
        <v>191200</v>
      </c>
      <c r="G145" s="32"/>
    </row>
    <row r="146" customFormat="false" ht="15" hidden="false" customHeight="false" outlineLevel="0" collapsed="false">
      <c r="A146" s="32"/>
      <c r="B146" s="32" t="s">
        <v>186</v>
      </c>
      <c r="C146" s="32"/>
      <c r="D146" s="32"/>
      <c r="E146" s="32"/>
      <c r="F146" s="38" t="n">
        <f aca="false">SUMIF(G139:G144,"Upah",F139:F144)</f>
        <v>138710</v>
      </c>
      <c r="G146" s="32"/>
    </row>
    <row r="147" customFormat="false" ht="15" hidden="false" customHeight="false" outlineLevel="0" collapsed="false">
      <c r="A147" s="32"/>
      <c r="B147" s="32" t="str">
        <f aca="false">"Overhead &amp; profit ("&amp;TEXT('Informasi Project'!$B$17,"0.0%")&amp;")"</f>
        <v>Overhead &amp; profit (15.0%)</v>
      </c>
      <c r="C147" s="32"/>
      <c r="D147" s="32"/>
      <c r="E147" s="32"/>
      <c r="F147" s="38" t="n">
        <f aca="false">(F145+F146)*'Informasi Project'!$B$17</f>
        <v>49486.5</v>
      </c>
      <c r="G147" s="32"/>
    </row>
    <row r="148" customFormat="false" ht="15" hidden="false" customHeight="false" outlineLevel="0" collapsed="false">
      <c r="A148" s="19"/>
      <c r="B148" s="3" t="s">
        <v>187</v>
      </c>
      <c r="C148" s="19"/>
      <c r="D148" s="19"/>
      <c r="E148" s="19"/>
      <c r="F148" s="20" t="n">
        <f aca="false">F145+F146+F147</f>
        <v>379396.5</v>
      </c>
      <c r="G148" s="19"/>
    </row>
    <row r="150" customFormat="false" ht="15" hidden="false" customHeight="false" outlineLevel="0" collapsed="false">
      <c r="A150" s="3" t="s">
        <v>118</v>
      </c>
      <c r="B150" s="3" t="s">
        <v>216</v>
      </c>
      <c r="C150" s="3" t="s">
        <v>189</v>
      </c>
      <c r="D150" s="3"/>
      <c r="E150" s="36" t="s">
        <v>175</v>
      </c>
      <c r="F150" s="20" t="n">
        <f aca="false">F161</f>
        <v>216458.75</v>
      </c>
      <c r="G150" s="3"/>
    </row>
    <row r="151" customFormat="false" ht="15" hidden="false" customHeight="false" outlineLevel="0" collapsed="false">
      <c r="A151" s="16" t="s">
        <v>217</v>
      </c>
      <c r="B151" s="29" t="str">
        <f aca="false">IF(LEFT($A151,1)="B",INDEX('Harga Bahan'!$B$5:$B$200,MATCH($A151,'Harga Bahan'!$A$5:$A$200,0)),INDEX('Harga Upah'!$B$5:$B$200,MATCH($A151,'Harga Upah'!$A$5:$A$200,0)))</f>
        <v>Batu bata merah</v>
      </c>
      <c r="C151" s="31" t="str">
        <f aca="false">IF(LEFT($A151,1)="B",INDEX('Harga Bahan'!$C$5:$C$200,MATCH($A151,'Harga Bahan'!$A$5:$A$200,0)),INDEX('Harga Upah'!$C$5:$C$200,MATCH($A151,'Harga Upah'!$A$5:$A$200,0)))</f>
        <v>bh</v>
      </c>
      <c r="D151" s="37" t="n">
        <v>70</v>
      </c>
      <c r="E151" s="17" t="n">
        <f aca="false">IF(LEFT($A151,1)="B",INDEX('Harga Bahan'!$D$5:$D$200,MATCH($A151,'Harga Bahan'!$A$5:$A$200,0)),INDEX('Harga Upah'!$D$5:$D$200,MATCH($A151,'Harga Upah'!$A$5:$A$200,0)))</f>
        <v>1200</v>
      </c>
      <c r="F151" s="27" t="n">
        <f aca="false">D151*E151</f>
        <v>84000</v>
      </c>
      <c r="G151" s="23" t="s">
        <v>177</v>
      </c>
    </row>
    <row r="152" customFormat="false" ht="15" hidden="false" customHeight="false" outlineLevel="0" collapsed="false">
      <c r="A152" s="16" t="s">
        <v>199</v>
      </c>
      <c r="B152" s="29" t="str">
        <f aca="false">IF(LEFT($A152,1)="B",INDEX('Harga Bahan'!$B$5:$B$200,MATCH($A152,'Harga Bahan'!$A$5:$A$200,0)),INDEX('Harga Upah'!$B$5:$B$200,MATCH($A152,'Harga Upah'!$A$5:$A$200,0)))</f>
        <v>Semen Portland (PC)</v>
      </c>
      <c r="C152" s="31" t="str">
        <f aca="false">IF(LEFT($A152,1)="B",INDEX('Harga Bahan'!$C$5:$C$200,MATCH($A152,'Harga Bahan'!$A$5:$A$200,0)),INDEX('Harga Upah'!$C$5:$C$200,MATCH($A152,'Harga Upah'!$A$5:$A$200,0)))</f>
        <v>kg</v>
      </c>
      <c r="D152" s="37" t="n">
        <v>11.5</v>
      </c>
      <c r="E152" s="17" t="n">
        <f aca="false">IF(LEFT($A152,1)="B",INDEX('Harga Bahan'!$D$5:$D$200,MATCH($A152,'Harga Bahan'!$A$5:$A$200,0)),INDEX('Harga Upah'!$D$5:$D$200,MATCH($A152,'Harga Upah'!$A$5:$A$200,0)))</f>
        <v>1900</v>
      </c>
      <c r="F152" s="27" t="n">
        <f aca="false">D152*E152</f>
        <v>21850</v>
      </c>
      <c r="G152" s="23" t="s">
        <v>177</v>
      </c>
    </row>
    <row r="153" customFormat="false" ht="15" hidden="false" customHeight="false" outlineLevel="0" collapsed="false">
      <c r="A153" s="16" t="s">
        <v>193</v>
      </c>
      <c r="B153" s="29" t="str">
        <f aca="false">IF(LEFT($A153,1)="B",INDEX('Harga Bahan'!$B$5:$B$200,MATCH($A153,'Harga Bahan'!$A$5:$A$200,0)),INDEX('Harga Upah'!$B$5:$B$200,MATCH($A153,'Harga Upah'!$A$5:$A$200,0)))</f>
        <v>Pasir pasang</v>
      </c>
      <c r="C153" s="31" t="str">
        <f aca="false">IF(LEFT($A153,1)="B",INDEX('Harga Bahan'!$C$5:$C$200,MATCH($A153,'Harga Bahan'!$A$5:$A$200,0)),INDEX('Harga Upah'!$C$5:$C$200,MATCH($A153,'Harga Upah'!$A$5:$A$200,0)))</f>
        <v>m³</v>
      </c>
      <c r="D153" s="37" t="n">
        <v>0.043</v>
      </c>
      <c r="E153" s="17" t="n">
        <f aca="false">IF(LEFT($A153,1)="B",INDEX('Harga Bahan'!$D$5:$D$200,MATCH($A153,'Harga Bahan'!$A$5:$A$200,0)),INDEX('Harga Upah'!$D$5:$D$200,MATCH($A153,'Harga Upah'!$A$5:$A$200,0)))</f>
        <v>300000</v>
      </c>
      <c r="F153" s="27" t="n">
        <f aca="false">D153*E153</f>
        <v>12900</v>
      </c>
      <c r="G153" s="23" t="s">
        <v>177</v>
      </c>
    </row>
    <row r="154" customFormat="false" ht="15" hidden="false" customHeight="false" outlineLevel="0" collapsed="false">
      <c r="A154" s="16" t="s">
        <v>180</v>
      </c>
      <c r="B154" s="29" t="str">
        <f aca="false">IF(LEFT($A154,1)="B",INDEX('Harga Bahan'!$B$5:$B$200,MATCH($A154,'Harga Bahan'!$A$5:$A$200,0)),INDEX('Harga Upah'!$B$5:$B$200,MATCH($A154,'Harga Upah'!$A$5:$A$200,0)))</f>
        <v>Pekerja</v>
      </c>
      <c r="C154" s="31" t="str">
        <f aca="false">IF(LEFT($A154,1)="B",INDEX('Harga Bahan'!$C$5:$C$200,MATCH($A154,'Harga Bahan'!$A$5:$A$200,0)),INDEX('Harga Upah'!$C$5:$C$200,MATCH($A154,'Harga Upah'!$A$5:$A$200,0)))</f>
        <v>OH</v>
      </c>
      <c r="D154" s="37" t="n">
        <v>0.3</v>
      </c>
      <c r="E154" s="17" t="n">
        <f aca="false">IF(LEFT($A154,1)="B",INDEX('Harga Bahan'!$D$5:$D$200,MATCH($A154,'Harga Bahan'!$A$5:$A$200,0)),INDEX('Harga Upah'!$D$5:$D$200,MATCH($A154,'Harga Upah'!$A$5:$A$200,0)))</f>
        <v>150000</v>
      </c>
      <c r="F154" s="27" t="n">
        <f aca="false">D154*E154</f>
        <v>45000</v>
      </c>
      <c r="G154" s="23" t="s">
        <v>181</v>
      </c>
    </row>
    <row r="155" customFormat="false" ht="15" hidden="false" customHeight="false" outlineLevel="0" collapsed="false">
      <c r="A155" s="16" t="s">
        <v>196</v>
      </c>
      <c r="B155" s="29" t="str">
        <f aca="false">IF(LEFT($A155,1)="B",INDEX('Harga Bahan'!$B$5:$B$200,MATCH($A155,'Harga Bahan'!$A$5:$A$200,0)),INDEX('Harga Upah'!$B$5:$B$200,MATCH($A155,'Harga Upah'!$A$5:$A$200,0)))</f>
        <v>Tukang batu</v>
      </c>
      <c r="C155" s="31" t="str">
        <f aca="false">IF(LEFT($A155,1)="B",INDEX('Harga Bahan'!$C$5:$C$200,MATCH($A155,'Harga Bahan'!$A$5:$A$200,0)),INDEX('Harga Upah'!$C$5:$C$200,MATCH($A155,'Harga Upah'!$A$5:$A$200,0)))</f>
        <v>OH</v>
      </c>
      <c r="D155" s="37" t="n">
        <v>0.1</v>
      </c>
      <c r="E155" s="17" t="n">
        <f aca="false">IF(LEFT($A155,1)="B",INDEX('Harga Bahan'!$D$5:$D$200,MATCH($A155,'Harga Bahan'!$A$5:$A$200,0)),INDEX('Harga Upah'!$D$5:$D$200,MATCH($A155,'Harga Upah'!$A$5:$A$200,0)))</f>
        <v>190000</v>
      </c>
      <c r="F155" s="27" t="n">
        <f aca="false">D155*E155</f>
        <v>19000</v>
      </c>
      <c r="G155" s="23" t="s">
        <v>181</v>
      </c>
    </row>
    <row r="156" customFormat="false" ht="15" hidden="false" customHeight="false" outlineLevel="0" collapsed="false">
      <c r="A156" s="16" t="s">
        <v>183</v>
      </c>
      <c r="B156" s="29" t="str">
        <f aca="false">IF(LEFT($A156,1)="B",INDEX('Harga Bahan'!$B$5:$B$200,MATCH($A156,'Harga Bahan'!$A$5:$A$200,0)),INDEX('Harga Upah'!$B$5:$B$200,MATCH($A156,'Harga Upah'!$A$5:$A$200,0)))</f>
        <v>Kepala tukang</v>
      </c>
      <c r="C156" s="31" t="str">
        <f aca="false">IF(LEFT($A156,1)="B",INDEX('Harga Bahan'!$C$5:$C$200,MATCH($A156,'Harga Bahan'!$A$5:$A$200,0)),INDEX('Harga Upah'!$C$5:$C$200,MATCH($A156,'Harga Upah'!$A$5:$A$200,0)))</f>
        <v>OH</v>
      </c>
      <c r="D156" s="37" t="n">
        <v>0.01</v>
      </c>
      <c r="E156" s="17" t="n">
        <f aca="false">IF(LEFT($A156,1)="B",INDEX('Harga Bahan'!$D$5:$D$200,MATCH($A156,'Harga Bahan'!$A$5:$A$200,0)),INDEX('Harga Upah'!$D$5:$D$200,MATCH($A156,'Harga Upah'!$A$5:$A$200,0)))</f>
        <v>210000</v>
      </c>
      <c r="F156" s="27" t="n">
        <f aca="false">D156*E156</f>
        <v>2100</v>
      </c>
      <c r="G156" s="23" t="s">
        <v>181</v>
      </c>
    </row>
    <row r="157" customFormat="false" ht="15" hidden="false" customHeight="false" outlineLevel="0" collapsed="false">
      <c r="A157" s="16" t="s">
        <v>184</v>
      </c>
      <c r="B157" s="29" t="str">
        <f aca="false">IF(LEFT($A157,1)="B",INDEX('Harga Bahan'!$B$5:$B$200,MATCH($A157,'Harga Bahan'!$A$5:$A$200,0)),INDEX('Harga Upah'!$B$5:$B$200,MATCH($A157,'Harga Upah'!$A$5:$A$200,0)))</f>
        <v>Mandor</v>
      </c>
      <c r="C157" s="31" t="str">
        <f aca="false">IF(LEFT($A157,1)="B",INDEX('Harga Bahan'!$C$5:$C$200,MATCH($A157,'Harga Bahan'!$A$5:$A$200,0)),INDEX('Harga Upah'!$C$5:$C$200,MATCH($A157,'Harga Upah'!$A$5:$A$200,0)))</f>
        <v>OH</v>
      </c>
      <c r="D157" s="37" t="n">
        <v>0.015</v>
      </c>
      <c r="E157" s="17" t="n">
        <f aca="false">IF(LEFT($A157,1)="B",INDEX('Harga Bahan'!$D$5:$D$200,MATCH($A157,'Harga Bahan'!$A$5:$A$200,0)),INDEX('Harga Upah'!$D$5:$D$200,MATCH($A157,'Harga Upah'!$A$5:$A$200,0)))</f>
        <v>225000</v>
      </c>
      <c r="F157" s="27" t="n">
        <f aca="false">D157*E157</f>
        <v>3375</v>
      </c>
      <c r="G157" s="23" t="s">
        <v>181</v>
      </c>
    </row>
    <row r="158" customFormat="false" ht="15" hidden="false" customHeight="false" outlineLevel="0" collapsed="false">
      <c r="A158" s="32"/>
      <c r="B158" s="32" t="s">
        <v>185</v>
      </c>
      <c r="C158" s="32"/>
      <c r="D158" s="32"/>
      <c r="E158" s="32"/>
      <c r="F158" s="38" t="n">
        <f aca="false">SUMIF(G151:G157,"Bahan",F151:F157)</f>
        <v>118750</v>
      </c>
      <c r="G158" s="32"/>
    </row>
    <row r="159" customFormat="false" ht="15" hidden="false" customHeight="false" outlineLevel="0" collapsed="false">
      <c r="A159" s="32"/>
      <c r="B159" s="32" t="s">
        <v>186</v>
      </c>
      <c r="C159" s="32"/>
      <c r="D159" s="32"/>
      <c r="E159" s="32"/>
      <c r="F159" s="38" t="n">
        <f aca="false">SUMIF(G151:G157,"Upah",F151:F157)</f>
        <v>69475</v>
      </c>
      <c r="G159" s="32"/>
    </row>
    <row r="160" customFormat="false" ht="15" hidden="false" customHeight="false" outlineLevel="0" collapsed="false">
      <c r="A160" s="32"/>
      <c r="B160" s="32" t="str">
        <f aca="false">"Overhead &amp; profit ("&amp;TEXT('Informasi Project'!$B$17,"0.0%")&amp;")"</f>
        <v>Overhead &amp; profit (15.0%)</v>
      </c>
      <c r="C160" s="32"/>
      <c r="D160" s="32"/>
      <c r="E160" s="32"/>
      <c r="F160" s="38" t="n">
        <f aca="false">(F158+F159)*'Informasi Project'!$B$17</f>
        <v>28233.75</v>
      </c>
      <c r="G160" s="32"/>
    </row>
    <row r="161" customFormat="false" ht="15" hidden="false" customHeight="false" outlineLevel="0" collapsed="false">
      <c r="A161" s="19"/>
      <c r="B161" s="3" t="s">
        <v>187</v>
      </c>
      <c r="C161" s="19"/>
      <c r="D161" s="19"/>
      <c r="E161" s="19"/>
      <c r="F161" s="20" t="n">
        <f aca="false">F158+F159+F160</f>
        <v>216458.75</v>
      </c>
      <c r="G161" s="19"/>
    </row>
    <row r="163" customFormat="false" ht="15" hidden="false" customHeight="false" outlineLevel="0" collapsed="false">
      <c r="A163" s="3" t="s">
        <v>120</v>
      </c>
      <c r="B163" s="3" t="s">
        <v>218</v>
      </c>
      <c r="C163" s="3" t="s">
        <v>189</v>
      </c>
      <c r="D163" s="3"/>
      <c r="E163" s="36" t="s">
        <v>175</v>
      </c>
      <c r="F163" s="20" t="n">
        <f aca="false">F173</f>
        <v>113943.15</v>
      </c>
      <c r="G163" s="3"/>
    </row>
    <row r="164" customFormat="false" ht="15" hidden="false" customHeight="false" outlineLevel="0" collapsed="false">
      <c r="A164" s="16" t="s">
        <v>199</v>
      </c>
      <c r="B164" s="29" t="str">
        <f aca="false">IF(LEFT($A164,1)="B",INDEX('Harga Bahan'!$B$5:$B$200,MATCH($A164,'Harga Bahan'!$A$5:$A$200,0)),INDEX('Harga Upah'!$B$5:$B$200,MATCH($A164,'Harga Upah'!$A$5:$A$200,0)))</f>
        <v>Semen Portland (PC)</v>
      </c>
      <c r="C164" s="31" t="str">
        <f aca="false">IF(LEFT($A164,1)="B",INDEX('Harga Bahan'!$C$5:$C$200,MATCH($A164,'Harga Bahan'!$A$5:$A$200,0)),INDEX('Harga Upah'!$C$5:$C$200,MATCH($A164,'Harga Upah'!$A$5:$A$200,0)))</f>
        <v>kg</v>
      </c>
      <c r="D164" s="37" t="n">
        <v>6.24</v>
      </c>
      <c r="E164" s="17" t="n">
        <f aca="false">IF(LEFT($A164,1)="B",INDEX('Harga Bahan'!$D$5:$D$200,MATCH($A164,'Harga Bahan'!$A$5:$A$200,0)),INDEX('Harga Upah'!$D$5:$D$200,MATCH($A164,'Harga Upah'!$A$5:$A$200,0)))</f>
        <v>1900</v>
      </c>
      <c r="F164" s="27" t="n">
        <f aca="false">D164*E164</f>
        <v>11856</v>
      </c>
      <c r="G164" s="23" t="s">
        <v>177</v>
      </c>
    </row>
    <row r="165" customFormat="false" ht="15" hidden="false" customHeight="false" outlineLevel="0" collapsed="false">
      <c r="A165" s="16" t="s">
        <v>193</v>
      </c>
      <c r="B165" s="29" t="str">
        <f aca="false">IF(LEFT($A165,1)="B",INDEX('Harga Bahan'!$B$5:$B$200,MATCH($A165,'Harga Bahan'!$A$5:$A$200,0)),INDEX('Harga Upah'!$B$5:$B$200,MATCH($A165,'Harga Upah'!$A$5:$A$200,0)))</f>
        <v>Pasir pasang</v>
      </c>
      <c r="C165" s="31" t="str">
        <f aca="false">IF(LEFT($A165,1)="B",INDEX('Harga Bahan'!$C$5:$C$200,MATCH($A165,'Harga Bahan'!$A$5:$A$200,0)),INDEX('Harga Upah'!$C$5:$C$200,MATCH($A165,'Harga Upah'!$A$5:$A$200,0)))</f>
        <v>m³</v>
      </c>
      <c r="D165" s="37" t="n">
        <v>0.024</v>
      </c>
      <c r="E165" s="17" t="n">
        <f aca="false">IF(LEFT($A165,1)="B",INDEX('Harga Bahan'!$D$5:$D$200,MATCH($A165,'Harga Bahan'!$A$5:$A$200,0)),INDEX('Harga Upah'!$D$5:$D$200,MATCH($A165,'Harga Upah'!$A$5:$A$200,0)))</f>
        <v>300000</v>
      </c>
      <c r="F165" s="27" t="n">
        <f aca="false">D165*E165</f>
        <v>7200</v>
      </c>
      <c r="G165" s="23" t="s">
        <v>177</v>
      </c>
    </row>
    <row r="166" customFormat="false" ht="15" hidden="false" customHeight="false" outlineLevel="0" collapsed="false">
      <c r="A166" s="16" t="s">
        <v>180</v>
      </c>
      <c r="B166" s="29" t="str">
        <f aca="false">IF(LEFT($A166,1)="B",INDEX('Harga Bahan'!$B$5:$B$200,MATCH($A166,'Harga Bahan'!$A$5:$A$200,0)),INDEX('Harga Upah'!$B$5:$B$200,MATCH($A166,'Harga Upah'!$A$5:$A$200,0)))</f>
        <v>Pekerja</v>
      </c>
      <c r="C166" s="31" t="str">
        <f aca="false">IF(LEFT($A166,1)="B",INDEX('Harga Bahan'!$C$5:$C$200,MATCH($A166,'Harga Bahan'!$A$5:$A$200,0)),INDEX('Harga Upah'!$C$5:$C$200,MATCH($A166,'Harga Upah'!$A$5:$A$200,0)))</f>
        <v>OH</v>
      </c>
      <c r="D166" s="37" t="n">
        <v>0.3</v>
      </c>
      <c r="E166" s="17" t="n">
        <f aca="false">IF(LEFT($A166,1)="B",INDEX('Harga Bahan'!$D$5:$D$200,MATCH($A166,'Harga Bahan'!$A$5:$A$200,0)),INDEX('Harga Upah'!$D$5:$D$200,MATCH($A166,'Harga Upah'!$A$5:$A$200,0)))</f>
        <v>150000</v>
      </c>
      <c r="F166" s="27" t="n">
        <f aca="false">D166*E166</f>
        <v>45000</v>
      </c>
      <c r="G166" s="23" t="s">
        <v>181</v>
      </c>
    </row>
    <row r="167" customFormat="false" ht="15" hidden="false" customHeight="false" outlineLevel="0" collapsed="false">
      <c r="A167" s="16" t="s">
        <v>196</v>
      </c>
      <c r="B167" s="29" t="str">
        <f aca="false">IF(LEFT($A167,1)="B",INDEX('Harga Bahan'!$B$5:$B$200,MATCH($A167,'Harga Bahan'!$A$5:$A$200,0)),INDEX('Harga Upah'!$B$5:$B$200,MATCH($A167,'Harga Upah'!$A$5:$A$200,0)))</f>
        <v>Tukang batu</v>
      </c>
      <c r="C167" s="31" t="str">
        <f aca="false">IF(LEFT($A167,1)="B",INDEX('Harga Bahan'!$C$5:$C$200,MATCH($A167,'Harga Bahan'!$A$5:$A$200,0)),INDEX('Harga Upah'!$C$5:$C$200,MATCH($A167,'Harga Upah'!$A$5:$A$200,0)))</f>
        <v>OH</v>
      </c>
      <c r="D167" s="37" t="n">
        <v>0.15</v>
      </c>
      <c r="E167" s="17" t="n">
        <f aca="false">IF(LEFT($A167,1)="B",INDEX('Harga Bahan'!$D$5:$D$200,MATCH($A167,'Harga Bahan'!$A$5:$A$200,0)),INDEX('Harga Upah'!$D$5:$D$200,MATCH($A167,'Harga Upah'!$A$5:$A$200,0)))</f>
        <v>190000</v>
      </c>
      <c r="F167" s="27" t="n">
        <f aca="false">D167*E167</f>
        <v>28500</v>
      </c>
      <c r="G167" s="23" t="s">
        <v>181</v>
      </c>
    </row>
    <row r="168" customFormat="false" ht="15" hidden="false" customHeight="false" outlineLevel="0" collapsed="false">
      <c r="A168" s="16" t="s">
        <v>183</v>
      </c>
      <c r="B168" s="29" t="str">
        <f aca="false">IF(LEFT($A168,1)="B",INDEX('Harga Bahan'!$B$5:$B$200,MATCH($A168,'Harga Bahan'!$A$5:$A$200,0)),INDEX('Harga Upah'!$B$5:$B$200,MATCH($A168,'Harga Upah'!$A$5:$A$200,0)))</f>
        <v>Kepala tukang</v>
      </c>
      <c r="C168" s="31" t="str">
        <f aca="false">IF(LEFT($A168,1)="B",INDEX('Harga Bahan'!$C$5:$C$200,MATCH($A168,'Harga Bahan'!$A$5:$A$200,0)),INDEX('Harga Upah'!$C$5:$C$200,MATCH($A168,'Harga Upah'!$A$5:$A$200,0)))</f>
        <v>OH</v>
      </c>
      <c r="D168" s="37" t="n">
        <v>0.015</v>
      </c>
      <c r="E168" s="17" t="n">
        <f aca="false">IF(LEFT($A168,1)="B",INDEX('Harga Bahan'!$D$5:$D$200,MATCH($A168,'Harga Bahan'!$A$5:$A$200,0)),INDEX('Harga Upah'!$D$5:$D$200,MATCH($A168,'Harga Upah'!$A$5:$A$200,0)))</f>
        <v>210000</v>
      </c>
      <c r="F168" s="27" t="n">
        <f aca="false">D168*E168</f>
        <v>3150</v>
      </c>
      <c r="G168" s="23" t="s">
        <v>181</v>
      </c>
    </row>
    <row r="169" customFormat="false" ht="15" hidden="false" customHeight="false" outlineLevel="0" collapsed="false">
      <c r="A169" s="16" t="s">
        <v>184</v>
      </c>
      <c r="B169" s="29" t="str">
        <f aca="false">IF(LEFT($A169,1)="B",INDEX('Harga Bahan'!$B$5:$B$200,MATCH($A169,'Harga Bahan'!$A$5:$A$200,0)),INDEX('Harga Upah'!$B$5:$B$200,MATCH($A169,'Harga Upah'!$A$5:$A$200,0)))</f>
        <v>Mandor</v>
      </c>
      <c r="C169" s="31" t="str">
        <f aca="false">IF(LEFT($A169,1)="B",INDEX('Harga Bahan'!$C$5:$C$200,MATCH($A169,'Harga Bahan'!$A$5:$A$200,0)),INDEX('Harga Upah'!$C$5:$C$200,MATCH($A169,'Harga Upah'!$A$5:$A$200,0)))</f>
        <v>OH</v>
      </c>
      <c r="D169" s="37" t="n">
        <v>0.015</v>
      </c>
      <c r="E169" s="17" t="n">
        <f aca="false">IF(LEFT($A169,1)="B",INDEX('Harga Bahan'!$D$5:$D$200,MATCH($A169,'Harga Bahan'!$A$5:$A$200,0)),INDEX('Harga Upah'!$D$5:$D$200,MATCH($A169,'Harga Upah'!$A$5:$A$200,0)))</f>
        <v>225000</v>
      </c>
      <c r="F169" s="27" t="n">
        <f aca="false">D169*E169</f>
        <v>3375</v>
      </c>
      <c r="G169" s="23" t="s">
        <v>181</v>
      </c>
    </row>
    <row r="170" customFormat="false" ht="15" hidden="false" customHeight="false" outlineLevel="0" collapsed="false">
      <c r="A170" s="32"/>
      <c r="B170" s="32" t="s">
        <v>185</v>
      </c>
      <c r="C170" s="32"/>
      <c r="D170" s="32"/>
      <c r="E170" s="32"/>
      <c r="F170" s="38" t="n">
        <f aca="false">SUMIF(G164:G169,"Bahan",F164:F169)</f>
        <v>19056</v>
      </c>
      <c r="G170" s="32"/>
    </row>
    <row r="171" customFormat="false" ht="15" hidden="false" customHeight="false" outlineLevel="0" collapsed="false">
      <c r="A171" s="32"/>
      <c r="B171" s="32" t="s">
        <v>186</v>
      </c>
      <c r="C171" s="32"/>
      <c r="D171" s="32"/>
      <c r="E171" s="32"/>
      <c r="F171" s="38" t="n">
        <f aca="false">SUMIF(G164:G169,"Upah",F164:F169)</f>
        <v>80025</v>
      </c>
      <c r="G171" s="32"/>
    </row>
    <row r="172" customFormat="false" ht="15" hidden="false" customHeight="false" outlineLevel="0" collapsed="false">
      <c r="A172" s="32"/>
      <c r="B172" s="32" t="str">
        <f aca="false">"Overhead &amp; profit ("&amp;TEXT('Informasi Project'!$B$17,"0.0%")&amp;")"</f>
        <v>Overhead &amp; profit (15.0%)</v>
      </c>
      <c r="C172" s="32"/>
      <c r="D172" s="32"/>
      <c r="E172" s="32"/>
      <c r="F172" s="38" t="n">
        <f aca="false">(F170+F171)*'Informasi Project'!$B$17</f>
        <v>14862.15</v>
      </c>
      <c r="G172" s="32"/>
    </row>
    <row r="173" customFormat="false" ht="15" hidden="false" customHeight="false" outlineLevel="0" collapsed="false">
      <c r="A173" s="19"/>
      <c r="B173" s="3" t="s">
        <v>187</v>
      </c>
      <c r="C173" s="19"/>
      <c r="D173" s="19"/>
      <c r="E173" s="19"/>
      <c r="F173" s="20" t="n">
        <f aca="false">F170+F171+F172</f>
        <v>113943.15</v>
      </c>
      <c r="G173" s="19"/>
    </row>
    <row r="175" customFormat="false" ht="15" hidden="false" customHeight="false" outlineLevel="0" collapsed="false">
      <c r="A175" s="3" t="s">
        <v>122</v>
      </c>
      <c r="B175" s="3" t="s">
        <v>219</v>
      </c>
      <c r="C175" s="3" t="s">
        <v>189</v>
      </c>
      <c r="D175" s="3"/>
      <c r="E175" s="36" t="s">
        <v>175</v>
      </c>
      <c r="F175" s="20" t="n">
        <f aca="false">F184</f>
        <v>68453.75</v>
      </c>
      <c r="G175" s="3"/>
    </row>
    <row r="176" customFormat="false" ht="15" hidden="false" customHeight="false" outlineLevel="0" collapsed="false">
      <c r="A176" s="16" t="s">
        <v>199</v>
      </c>
      <c r="B176" s="29" t="str">
        <f aca="false">IF(LEFT($A176,1)="B",INDEX('Harga Bahan'!$B$5:$B$200,MATCH($A176,'Harga Bahan'!$A$5:$A$200,0)),INDEX('Harga Upah'!$B$5:$B$200,MATCH($A176,'Harga Upah'!$A$5:$A$200,0)))</f>
        <v>Semen Portland (PC)</v>
      </c>
      <c r="C176" s="31" t="str">
        <f aca="false">IF(LEFT($A176,1)="B",INDEX('Harga Bahan'!$C$5:$C$200,MATCH($A176,'Harga Bahan'!$A$5:$A$200,0)),INDEX('Harga Upah'!$C$5:$C$200,MATCH($A176,'Harga Upah'!$A$5:$A$200,0)))</f>
        <v>kg</v>
      </c>
      <c r="D176" s="37" t="n">
        <v>3.25</v>
      </c>
      <c r="E176" s="17" t="n">
        <f aca="false">IF(LEFT($A176,1)="B",INDEX('Harga Bahan'!$D$5:$D$200,MATCH($A176,'Harga Bahan'!$A$5:$A$200,0)),INDEX('Harga Upah'!$D$5:$D$200,MATCH($A176,'Harga Upah'!$A$5:$A$200,0)))</f>
        <v>1900</v>
      </c>
      <c r="F176" s="27" t="n">
        <f aca="false">D176*E176</f>
        <v>6175</v>
      </c>
      <c r="G176" s="23" t="s">
        <v>177</v>
      </c>
    </row>
    <row r="177" customFormat="false" ht="15" hidden="false" customHeight="false" outlineLevel="0" collapsed="false">
      <c r="A177" s="16" t="s">
        <v>180</v>
      </c>
      <c r="B177" s="29" t="str">
        <f aca="false">IF(LEFT($A177,1)="B",INDEX('Harga Bahan'!$B$5:$B$200,MATCH($A177,'Harga Bahan'!$A$5:$A$200,0)),INDEX('Harga Upah'!$B$5:$B$200,MATCH($A177,'Harga Upah'!$A$5:$A$200,0)))</f>
        <v>Pekerja</v>
      </c>
      <c r="C177" s="31" t="str">
        <f aca="false">IF(LEFT($A177,1)="B",INDEX('Harga Bahan'!$C$5:$C$200,MATCH($A177,'Harga Bahan'!$A$5:$A$200,0)),INDEX('Harga Upah'!$C$5:$C$200,MATCH($A177,'Harga Upah'!$A$5:$A$200,0)))</f>
        <v>OH</v>
      </c>
      <c r="D177" s="37" t="n">
        <v>0.2</v>
      </c>
      <c r="E177" s="17" t="n">
        <f aca="false">IF(LEFT($A177,1)="B",INDEX('Harga Bahan'!$D$5:$D$200,MATCH($A177,'Harga Bahan'!$A$5:$A$200,0)),INDEX('Harga Upah'!$D$5:$D$200,MATCH($A177,'Harga Upah'!$A$5:$A$200,0)))</f>
        <v>150000</v>
      </c>
      <c r="F177" s="27" t="n">
        <f aca="false">D177*E177</f>
        <v>30000</v>
      </c>
      <c r="G177" s="23" t="s">
        <v>181</v>
      </c>
    </row>
    <row r="178" customFormat="false" ht="15" hidden="false" customHeight="false" outlineLevel="0" collapsed="false">
      <c r="A178" s="16" t="s">
        <v>196</v>
      </c>
      <c r="B178" s="29" t="str">
        <f aca="false">IF(LEFT($A178,1)="B",INDEX('Harga Bahan'!$B$5:$B$200,MATCH($A178,'Harga Bahan'!$A$5:$A$200,0)),INDEX('Harga Upah'!$B$5:$B$200,MATCH($A178,'Harga Upah'!$A$5:$A$200,0)))</f>
        <v>Tukang batu</v>
      </c>
      <c r="C178" s="31" t="str">
        <f aca="false">IF(LEFT($A178,1)="B",INDEX('Harga Bahan'!$C$5:$C$200,MATCH($A178,'Harga Bahan'!$A$5:$A$200,0)),INDEX('Harga Upah'!$C$5:$C$200,MATCH($A178,'Harga Upah'!$A$5:$A$200,0)))</f>
        <v>OH</v>
      </c>
      <c r="D178" s="37" t="n">
        <v>0.1</v>
      </c>
      <c r="E178" s="17" t="n">
        <f aca="false">IF(LEFT($A178,1)="B",INDEX('Harga Bahan'!$D$5:$D$200,MATCH($A178,'Harga Bahan'!$A$5:$A$200,0)),INDEX('Harga Upah'!$D$5:$D$200,MATCH($A178,'Harga Upah'!$A$5:$A$200,0)))</f>
        <v>190000</v>
      </c>
      <c r="F178" s="27" t="n">
        <f aca="false">D178*E178</f>
        <v>19000</v>
      </c>
      <c r="G178" s="23" t="s">
        <v>181</v>
      </c>
    </row>
    <row r="179" customFormat="false" ht="15" hidden="false" customHeight="false" outlineLevel="0" collapsed="false">
      <c r="A179" s="16" t="s">
        <v>183</v>
      </c>
      <c r="B179" s="29" t="str">
        <f aca="false">IF(LEFT($A179,1)="B",INDEX('Harga Bahan'!$B$5:$B$200,MATCH($A179,'Harga Bahan'!$A$5:$A$200,0)),INDEX('Harga Upah'!$B$5:$B$200,MATCH($A179,'Harga Upah'!$A$5:$A$200,0)))</f>
        <v>Kepala tukang</v>
      </c>
      <c r="C179" s="31" t="str">
        <f aca="false">IF(LEFT($A179,1)="B",INDEX('Harga Bahan'!$C$5:$C$200,MATCH($A179,'Harga Bahan'!$A$5:$A$200,0)),INDEX('Harga Upah'!$C$5:$C$200,MATCH($A179,'Harga Upah'!$A$5:$A$200,0)))</f>
        <v>OH</v>
      </c>
      <c r="D179" s="37" t="n">
        <v>0.01</v>
      </c>
      <c r="E179" s="17" t="n">
        <f aca="false">IF(LEFT($A179,1)="B",INDEX('Harga Bahan'!$D$5:$D$200,MATCH($A179,'Harga Bahan'!$A$5:$A$200,0)),INDEX('Harga Upah'!$D$5:$D$200,MATCH($A179,'Harga Upah'!$A$5:$A$200,0)))</f>
        <v>210000</v>
      </c>
      <c r="F179" s="27" t="n">
        <f aca="false">D179*E179</f>
        <v>2100</v>
      </c>
      <c r="G179" s="23" t="s">
        <v>181</v>
      </c>
    </row>
    <row r="180" customFormat="false" ht="15" hidden="false" customHeight="false" outlineLevel="0" collapsed="false">
      <c r="A180" s="16" t="s">
        <v>184</v>
      </c>
      <c r="B180" s="29" t="str">
        <f aca="false">IF(LEFT($A180,1)="B",INDEX('Harga Bahan'!$B$5:$B$200,MATCH($A180,'Harga Bahan'!$A$5:$A$200,0)),INDEX('Harga Upah'!$B$5:$B$200,MATCH($A180,'Harga Upah'!$A$5:$A$200,0)))</f>
        <v>Mandor</v>
      </c>
      <c r="C180" s="31" t="str">
        <f aca="false">IF(LEFT($A180,1)="B",INDEX('Harga Bahan'!$C$5:$C$200,MATCH($A180,'Harga Bahan'!$A$5:$A$200,0)),INDEX('Harga Upah'!$C$5:$C$200,MATCH($A180,'Harga Upah'!$A$5:$A$200,0)))</f>
        <v>OH</v>
      </c>
      <c r="D180" s="37" t="n">
        <v>0.01</v>
      </c>
      <c r="E180" s="17" t="n">
        <f aca="false">IF(LEFT($A180,1)="B",INDEX('Harga Bahan'!$D$5:$D$200,MATCH($A180,'Harga Bahan'!$A$5:$A$200,0)),INDEX('Harga Upah'!$D$5:$D$200,MATCH($A180,'Harga Upah'!$A$5:$A$200,0)))</f>
        <v>225000</v>
      </c>
      <c r="F180" s="27" t="n">
        <f aca="false">D180*E180</f>
        <v>2250</v>
      </c>
      <c r="G180" s="23" t="s">
        <v>181</v>
      </c>
    </row>
    <row r="181" customFormat="false" ht="15" hidden="false" customHeight="false" outlineLevel="0" collapsed="false">
      <c r="A181" s="32"/>
      <c r="B181" s="32" t="s">
        <v>185</v>
      </c>
      <c r="C181" s="32"/>
      <c r="D181" s="32"/>
      <c r="E181" s="32"/>
      <c r="F181" s="38" t="n">
        <f aca="false">SUMIF(G176:G180,"Bahan",F176:F180)</f>
        <v>6175</v>
      </c>
      <c r="G181" s="32"/>
    </row>
    <row r="182" customFormat="false" ht="15" hidden="false" customHeight="false" outlineLevel="0" collapsed="false">
      <c r="A182" s="32"/>
      <c r="B182" s="32" t="s">
        <v>186</v>
      </c>
      <c r="C182" s="32"/>
      <c r="D182" s="32"/>
      <c r="E182" s="32"/>
      <c r="F182" s="38" t="n">
        <f aca="false">SUMIF(G176:G180,"Upah",F176:F180)</f>
        <v>53350</v>
      </c>
      <c r="G182" s="32"/>
    </row>
    <row r="183" customFormat="false" ht="15" hidden="false" customHeight="false" outlineLevel="0" collapsed="false">
      <c r="A183" s="32"/>
      <c r="B183" s="32" t="str">
        <f aca="false">"Overhead &amp; profit ("&amp;TEXT('Informasi Project'!$B$17,"0.0%")&amp;")"</f>
        <v>Overhead &amp; profit (15.0%)</v>
      </c>
      <c r="C183" s="32"/>
      <c r="D183" s="32"/>
      <c r="E183" s="32"/>
      <c r="F183" s="38" t="n">
        <f aca="false">(F181+F182)*'Informasi Project'!$B$17</f>
        <v>8928.75</v>
      </c>
      <c r="G183" s="32"/>
    </row>
    <row r="184" customFormat="false" ht="15" hidden="false" customHeight="false" outlineLevel="0" collapsed="false">
      <c r="A184" s="19"/>
      <c r="B184" s="3" t="s">
        <v>187</v>
      </c>
      <c r="C184" s="19"/>
      <c r="D184" s="19"/>
      <c r="E184" s="19"/>
      <c r="F184" s="20" t="n">
        <f aca="false">F181+F182+F183</f>
        <v>68453.75</v>
      </c>
      <c r="G184" s="19"/>
    </row>
    <row r="186" customFormat="false" ht="15" hidden="false" customHeight="false" outlineLevel="0" collapsed="false">
      <c r="A186" s="3" t="s">
        <v>124</v>
      </c>
      <c r="B186" s="3" t="s">
        <v>220</v>
      </c>
      <c r="C186" s="3" t="s">
        <v>189</v>
      </c>
      <c r="D186" s="3"/>
      <c r="E186" s="36" t="s">
        <v>175</v>
      </c>
      <c r="F186" s="20" t="n">
        <f aca="false">F196</f>
        <v>523422.5</v>
      </c>
      <c r="G186" s="3"/>
    </row>
    <row r="187" customFormat="false" ht="15" hidden="false" customHeight="false" outlineLevel="0" collapsed="false">
      <c r="A187" s="16" t="s">
        <v>221</v>
      </c>
      <c r="B187" s="29" t="str">
        <f aca="false">IF(LEFT($A187,1)="B",INDEX('Harga Bahan'!$B$5:$B$200,MATCH($A187,'Harga Bahan'!$A$5:$A$200,0)),INDEX('Harga Upah'!$B$5:$B$200,MATCH($A187,'Harga Upah'!$A$5:$A$200,0)))</f>
        <v>Rangka atap baja ringan (terpasang kompl. bahan)</v>
      </c>
      <c r="C187" s="31" t="str">
        <f aca="false">IF(LEFT($A187,1)="B",INDEX('Harga Bahan'!$C$5:$C$200,MATCH($A187,'Harga Bahan'!$A$5:$A$200,0)),INDEX('Harga Upah'!$C$5:$C$200,MATCH($A187,'Harga Upah'!$A$5:$A$200,0)))</f>
        <v>m²</v>
      </c>
      <c r="D187" s="37" t="n">
        <v>1</v>
      </c>
      <c r="E187" s="17" t="n">
        <f aca="false">IF(LEFT($A187,1)="B",INDEX('Harga Bahan'!$D$5:$D$200,MATCH($A187,'Harga Bahan'!$A$5:$A$200,0)),INDEX('Harga Upah'!$D$5:$D$200,MATCH($A187,'Harga Upah'!$A$5:$A$200,0)))</f>
        <v>285000</v>
      </c>
      <c r="F187" s="27" t="n">
        <f aca="false">D187*E187</f>
        <v>285000</v>
      </c>
      <c r="G187" s="23" t="s">
        <v>177</v>
      </c>
    </row>
    <row r="188" customFormat="false" ht="15" hidden="false" customHeight="false" outlineLevel="0" collapsed="false">
      <c r="A188" s="16" t="s">
        <v>222</v>
      </c>
      <c r="B188" s="29" t="str">
        <f aca="false">IF(LEFT($A188,1)="B",INDEX('Harga Bahan'!$B$5:$B$200,MATCH($A188,'Harga Bahan'!$A$5:$A$200,0)),INDEX('Harga Upah'!$B$5:$B$200,MATCH($A188,'Harga Upah'!$A$5:$A$200,0)))</f>
        <v>Atap spandek zincalume 0,35 mm</v>
      </c>
      <c r="C188" s="31" t="str">
        <f aca="false">IF(LEFT($A188,1)="B",INDEX('Harga Bahan'!$C$5:$C$200,MATCH($A188,'Harga Bahan'!$A$5:$A$200,0)),INDEX('Harga Upah'!$C$5:$C$200,MATCH($A188,'Harga Upah'!$A$5:$A$200,0)))</f>
        <v>m²</v>
      </c>
      <c r="D188" s="37" t="n">
        <v>1.15</v>
      </c>
      <c r="E188" s="17" t="n">
        <f aca="false">IF(LEFT($A188,1)="B",INDEX('Harga Bahan'!$D$5:$D$200,MATCH($A188,'Harga Bahan'!$A$5:$A$200,0)),INDEX('Harga Upah'!$D$5:$D$200,MATCH($A188,'Harga Upah'!$A$5:$A$200,0)))</f>
        <v>98000</v>
      </c>
      <c r="F188" s="27" t="n">
        <f aca="false">D188*E188</f>
        <v>112700</v>
      </c>
      <c r="G188" s="23" t="s">
        <v>177</v>
      </c>
    </row>
    <row r="189" customFormat="false" ht="15" hidden="false" customHeight="false" outlineLevel="0" collapsed="false">
      <c r="A189" s="16" t="s">
        <v>180</v>
      </c>
      <c r="B189" s="29" t="str">
        <f aca="false">IF(LEFT($A189,1)="B",INDEX('Harga Bahan'!$B$5:$B$200,MATCH($A189,'Harga Bahan'!$A$5:$A$200,0)),INDEX('Harga Upah'!$B$5:$B$200,MATCH($A189,'Harga Upah'!$A$5:$A$200,0)))</f>
        <v>Pekerja</v>
      </c>
      <c r="C189" s="31" t="str">
        <f aca="false">IF(LEFT($A189,1)="B",INDEX('Harga Bahan'!$C$5:$C$200,MATCH($A189,'Harga Bahan'!$A$5:$A$200,0)),INDEX('Harga Upah'!$C$5:$C$200,MATCH($A189,'Harga Upah'!$A$5:$A$200,0)))</f>
        <v>OH</v>
      </c>
      <c r="D189" s="37" t="n">
        <v>0.15</v>
      </c>
      <c r="E189" s="17" t="n">
        <f aca="false">IF(LEFT($A189,1)="B",INDEX('Harga Bahan'!$D$5:$D$200,MATCH($A189,'Harga Bahan'!$A$5:$A$200,0)),INDEX('Harga Upah'!$D$5:$D$200,MATCH($A189,'Harga Upah'!$A$5:$A$200,0)))</f>
        <v>150000</v>
      </c>
      <c r="F189" s="27" t="n">
        <f aca="false">D189*E189</f>
        <v>22500</v>
      </c>
      <c r="G189" s="23" t="s">
        <v>181</v>
      </c>
    </row>
    <row r="190" customFormat="false" ht="15" hidden="false" customHeight="false" outlineLevel="0" collapsed="false">
      <c r="A190" s="16" t="s">
        <v>223</v>
      </c>
      <c r="B190" s="29" t="str">
        <f aca="false">IF(LEFT($A190,1)="B",INDEX('Harga Bahan'!$B$5:$B$200,MATCH($A190,'Harga Bahan'!$A$5:$A$200,0)),INDEX('Harga Upah'!$B$5:$B$200,MATCH($A190,'Harga Upah'!$A$5:$A$200,0)))</f>
        <v>Tukang pasang atap / rangka baja ringan</v>
      </c>
      <c r="C190" s="31" t="str">
        <f aca="false">IF(LEFT($A190,1)="B",INDEX('Harga Bahan'!$C$5:$C$200,MATCH($A190,'Harga Bahan'!$A$5:$A$200,0)),INDEX('Harga Upah'!$C$5:$C$200,MATCH($A190,'Harga Upah'!$A$5:$A$200,0)))</f>
        <v>OH</v>
      </c>
      <c r="D190" s="37" t="n">
        <v>0.15</v>
      </c>
      <c r="E190" s="17" t="n">
        <f aca="false">IF(LEFT($A190,1)="B",INDEX('Harga Bahan'!$D$5:$D$200,MATCH($A190,'Harga Bahan'!$A$5:$A$200,0)),INDEX('Harga Upah'!$D$5:$D$200,MATCH($A190,'Harga Upah'!$A$5:$A$200,0)))</f>
        <v>200000</v>
      </c>
      <c r="F190" s="27" t="n">
        <f aca="false">D190*E190</f>
        <v>30000</v>
      </c>
      <c r="G190" s="23" t="s">
        <v>181</v>
      </c>
    </row>
    <row r="191" customFormat="false" ht="15" hidden="false" customHeight="false" outlineLevel="0" collapsed="false">
      <c r="A191" s="16" t="s">
        <v>183</v>
      </c>
      <c r="B191" s="29" t="str">
        <f aca="false">IF(LEFT($A191,1)="B",INDEX('Harga Bahan'!$B$5:$B$200,MATCH($A191,'Harga Bahan'!$A$5:$A$200,0)),INDEX('Harga Upah'!$B$5:$B$200,MATCH($A191,'Harga Upah'!$A$5:$A$200,0)))</f>
        <v>Kepala tukang</v>
      </c>
      <c r="C191" s="31" t="str">
        <f aca="false">IF(LEFT($A191,1)="B",INDEX('Harga Bahan'!$C$5:$C$200,MATCH($A191,'Harga Bahan'!$A$5:$A$200,0)),INDEX('Harga Upah'!$C$5:$C$200,MATCH($A191,'Harga Upah'!$A$5:$A$200,0)))</f>
        <v>OH</v>
      </c>
      <c r="D191" s="37" t="n">
        <v>0.015</v>
      </c>
      <c r="E191" s="17" t="n">
        <f aca="false">IF(LEFT($A191,1)="B",INDEX('Harga Bahan'!$D$5:$D$200,MATCH($A191,'Harga Bahan'!$A$5:$A$200,0)),INDEX('Harga Upah'!$D$5:$D$200,MATCH($A191,'Harga Upah'!$A$5:$A$200,0)))</f>
        <v>210000</v>
      </c>
      <c r="F191" s="27" t="n">
        <f aca="false">D191*E191</f>
        <v>3150</v>
      </c>
      <c r="G191" s="23" t="s">
        <v>181</v>
      </c>
    </row>
    <row r="192" customFormat="false" ht="15" hidden="false" customHeight="false" outlineLevel="0" collapsed="false">
      <c r="A192" s="16" t="s">
        <v>184</v>
      </c>
      <c r="B192" s="29" t="str">
        <f aca="false">IF(LEFT($A192,1)="B",INDEX('Harga Bahan'!$B$5:$B$200,MATCH($A192,'Harga Bahan'!$A$5:$A$200,0)),INDEX('Harga Upah'!$B$5:$B$200,MATCH($A192,'Harga Upah'!$A$5:$A$200,0)))</f>
        <v>Mandor</v>
      </c>
      <c r="C192" s="31" t="str">
        <f aca="false">IF(LEFT($A192,1)="B",INDEX('Harga Bahan'!$C$5:$C$200,MATCH($A192,'Harga Bahan'!$A$5:$A$200,0)),INDEX('Harga Upah'!$C$5:$C$200,MATCH($A192,'Harga Upah'!$A$5:$A$200,0)))</f>
        <v>OH</v>
      </c>
      <c r="D192" s="37" t="n">
        <v>0.008</v>
      </c>
      <c r="E192" s="17" t="n">
        <f aca="false">IF(LEFT($A192,1)="B",INDEX('Harga Bahan'!$D$5:$D$200,MATCH($A192,'Harga Bahan'!$A$5:$A$200,0)),INDEX('Harga Upah'!$D$5:$D$200,MATCH($A192,'Harga Upah'!$A$5:$A$200,0)))</f>
        <v>225000</v>
      </c>
      <c r="F192" s="27" t="n">
        <f aca="false">D192*E192</f>
        <v>1800</v>
      </c>
      <c r="G192" s="23" t="s">
        <v>181</v>
      </c>
    </row>
    <row r="193" customFormat="false" ht="15" hidden="false" customHeight="false" outlineLevel="0" collapsed="false">
      <c r="A193" s="32"/>
      <c r="B193" s="32" t="s">
        <v>185</v>
      </c>
      <c r="C193" s="32"/>
      <c r="D193" s="32"/>
      <c r="E193" s="32"/>
      <c r="F193" s="38" t="n">
        <f aca="false">SUMIF(G187:G192,"Bahan",F187:F192)</f>
        <v>397700</v>
      </c>
      <c r="G193" s="32"/>
    </row>
    <row r="194" customFormat="false" ht="15" hidden="false" customHeight="false" outlineLevel="0" collapsed="false">
      <c r="A194" s="32"/>
      <c r="B194" s="32" t="s">
        <v>186</v>
      </c>
      <c r="C194" s="32"/>
      <c r="D194" s="32"/>
      <c r="E194" s="32"/>
      <c r="F194" s="38" t="n">
        <f aca="false">SUMIF(G187:G192,"Upah",F187:F192)</f>
        <v>57450</v>
      </c>
      <c r="G194" s="32"/>
    </row>
    <row r="195" customFormat="false" ht="15" hidden="false" customHeight="false" outlineLevel="0" collapsed="false">
      <c r="A195" s="32"/>
      <c r="B195" s="32" t="str">
        <f aca="false">"Overhead &amp; profit ("&amp;TEXT('Informasi Project'!$B$17,"0.0%")&amp;")"</f>
        <v>Overhead &amp; profit (15.0%)</v>
      </c>
      <c r="C195" s="32"/>
      <c r="D195" s="32"/>
      <c r="E195" s="32"/>
      <c r="F195" s="38" t="n">
        <f aca="false">(F193+F194)*'Informasi Project'!$B$17</f>
        <v>68272.5</v>
      </c>
      <c r="G195" s="32"/>
    </row>
    <row r="196" customFormat="false" ht="15" hidden="false" customHeight="false" outlineLevel="0" collapsed="false">
      <c r="A196" s="19"/>
      <c r="B196" s="3" t="s">
        <v>187</v>
      </c>
      <c r="C196" s="19"/>
      <c r="D196" s="19"/>
      <c r="E196" s="19"/>
      <c r="F196" s="20" t="n">
        <f aca="false">F193+F194+F195</f>
        <v>523422.5</v>
      </c>
      <c r="G196" s="19"/>
    </row>
    <row r="198" customFormat="false" ht="15" hidden="false" customHeight="false" outlineLevel="0" collapsed="false">
      <c r="A198" s="3" t="s">
        <v>126</v>
      </c>
      <c r="B198" s="3" t="s">
        <v>224</v>
      </c>
      <c r="C198" s="3" t="s">
        <v>174</v>
      </c>
      <c r="D198" s="3"/>
      <c r="E198" s="36" t="s">
        <v>175</v>
      </c>
      <c r="F198" s="20" t="n">
        <f aca="false">F206</f>
        <v>120031.25</v>
      </c>
      <c r="G198" s="3"/>
    </row>
    <row r="199" customFormat="false" ht="15" hidden="false" customHeight="false" outlineLevel="0" collapsed="false">
      <c r="A199" s="16" t="s">
        <v>225</v>
      </c>
      <c r="B199" s="29" t="str">
        <f aca="false">IF(LEFT($A199,1)="B",INDEX('Harga Bahan'!$B$5:$B$200,MATCH($A199,'Harga Bahan'!$A$5:$A$200,0)),INDEX('Harga Upah'!$B$5:$B$200,MATCH($A199,'Harga Upah'!$A$5:$A$200,0)))</f>
        <v>Nok / bubungan zincalume</v>
      </c>
      <c r="C199" s="31" t="str">
        <f aca="false">IF(LEFT($A199,1)="B",INDEX('Harga Bahan'!$C$5:$C$200,MATCH($A199,'Harga Bahan'!$A$5:$A$200,0)),INDEX('Harga Upah'!$C$5:$C$200,MATCH($A199,'Harga Upah'!$A$5:$A$200,0)))</f>
        <v>m'</v>
      </c>
      <c r="D199" s="37" t="n">
        <v>1.05</v>
      </c>
      <c r="E199" s="17" t="n">
        <f aca="false">IF(LEFT($A199,1)="B",INDEX('Harga Bahan'!$D$5:$D$200,MATCH($A199,'Harga Bahan'!$A$5:$A$200,0)),INDEX('Harga Upah'!$D$5:$D$200,MATCH($A199,'Harga Upah'!$A$5:$A$200,0)))</f>
        <v>65000</v>
      </c>
      <c r="F199" s="27" t="n">
        <f aca="false">D199*E199</f>
        <v>68250</v>
      </c>
      <c r="G199" s="23" t="s">
        <v>177</v>
      </c>
    </row>
    <row r="200" customFormat="false" ht="15" hidden="false" customHeight="false" outlineLevel="0" collapsed="false">
      <c r="A200" s="16" t="s">
        <v>180</v>
      </c>
      <c r="B200" s="29" t="str">
        <f aca="false">IF(LEFT($A200,1)="B",INDEX('Harga Bahan'!$B$5:$B$200,MATCH($A200,'Harga Bahan'!$A$5:$A$200,0)),INDEX('Harga Upah'!$B$5:$B$200,MATCH($A200,'Harga Upah'!$A$5:$A$200,0)))</f>
        <v>Pekerja</v>
      </c>
      <c r="C200" s="31" t="str">
        <f aca="false">IF(LEFT($A200,1)="B",INDEX('Harga Bahan'!$C$5:$C$200,MATCH($A200,'Harga Bahan'!$A$5:$A$200,0)),INDEX('Harga Upah'!$C$5:$C$200,MATCH($A200,'Harga Upah'!$A$5:$A$200,0)))</f>
        <v>OH</v>
      </c>
      <c r="D200" s="37" t="n">
        <v>0.1</v>
      </c>
      <c r="E200" s="17" t="n">
        <f aca="false">IF(LEFT($A200,1)="B",INDEX('Harga Bahan'!$D$5:$D$200,MATCH($A200,'Harga Bahan'!$A$5:$A$200,0)),INDEX('Harga Upah'!$D$5:$D$200,MATCH($A200,'Harga Upah'!$A$5:$A$200,0)))</f>
        <v>150000</v>
      </c>
      <c r="F200" s="27" t="n">
        <f aca="false">D200*E200</f>
        <v>15000</v>
      </c>
      <c r="G200" s="23" t="s">
        <v>181</v>
      </c>
    </row>
    <row r="201" customFormat="false" ht="15" hidden="false" customHeight="false" outlineLevel="0" collapsed="false">
      <c r="A201" s="16" t="s">
        <v>223</v>
      </c>
      <c r="B201" s="29" t="str">
        <f aca="false">IF(LEFT($A201,1)="B",INDEX('Harga Bahan'!$B$5:$B$200,MATCH($A201,'Harga Bahan'!$A$5:$A$200,0)),INDEX('Harga Upah'!$B$5:$B$200,MATCH($A201,'Harga Upah'!$A$5:$A$200,0)))</f>
        <v>Tukang pasang atap / rangka baja ringan</v>
      </c>
      <c r="C201" s="31" t="str">
        <f aca="false">IF(LEFT($A201,1)="B",INDEX('Harga Bahan'!$C$5:$C$200,MATCH($A201,'Harga Bahan'!$A$5:$A$200,0)),INDEX('Harga Upah'!$C$5:$C$200,MATCH($A201,'Harga Upah'!$A$5:$A$200,0)))</f>
        <v>OH</v>
      </c>
      <c r="D201" s="37" t="n">
        <v>0.1</v>
      </c>
      <c r="E201" s="17" t="n">
        <f aca="false">IF(LEFT($A201,1)="B",INDEX('Harga Bahan'!$D$5:$D$200,MATCH($A201,'Harga Bahan'!$A$5:$A$200,0)),INDEX('Harga Upah'!$D$5:$D$200,MATCH($A201,'Harga Upah'!$A$5:$A$200,0)))</f>
        <v>200000</v>
      </c>
      <c r="F201" s="27" t="n">
        <f aca="false">D201*E201</f>
        <v>20000</v>
      </c>
      <c r="G201" s="23" t="s">
        <v>181</v>
      </c>
    </row>
    <row r="202" customFormat="false" ht="15" hidden="false" customHeight="false" outlineLevel="0" collapsed="false">
      <c r="A202" s="16" t="s">
        <v>184</v>
      </c>
      <c r="B202" s="29" t="str">
        <f aca="false">IF(LEFT($A202,1)="B",INDEX('Harga Bahan'!$B$5:$B$200,MATCH($A202,'Harga Bahan'!$A$5:$A$200,0)),INDEX('Harga Upah'!$B$5:$B$200,MATCH($A202,'Harga Upah'!$A$5:$A$200,0)))</f>
        <v>Mandor</v>
      </c>
      <c r="C202" s="31" t="str">
        <f aca="false">IF(LEFT($A202,1)="B",INDEX('Harga Bahan'!$C$5:$C$200,MATCH($A202,'Harga Bahan'!$A$5:$A$200,0)),INDEX('Harga Upah'!$C$5:$C$200,MATCH($A202,'Harga Upah'!$A$5:$A$200,0)))</f>
        <v>OH</v>
      </c>
      <c r="D202" s="37" t="n">
        <v>0.005</v>
      </c>
      <c r="E202" s="17" t="n">
        <f aca="false">IF(LEFT($A202,1)="B",INDEX('Harga Bahan'!$D$5:$D$200,MATCH($A202,'Harga Bahan'!$A$5:$A$200,0)),INDEX('Harga Upah'!$D$5:$D$200,MATCH($A202,'Harga Upah'!$A$5:$A$200,0)))</f>
        <v>225000</v>
      </c>
      <c r="F202" s="27" t="n">
        <f aca="false">D202*E202</f>
        <v>1125</v>
      </c>
      <c r="G202" s="23" t="s">
        <v>181</v>
      </c>
    </row>
    <row r="203" customFormat="false" ht="15" hidden="false" customHeight="false" outlineLevel="0" collapsed="false">
      <c r="A203" s="32"/>
      <c r="B203" s="32" t="s">
        <v>185</v>
      </c>
      <c r="C203" s="32"/>
      <c r="D203" s="32"/>
      <c r="E203" s="32"/>
      <c r="F203" s="38" t="n">
        <f aca="false">SUMIF(G199:G202,"Bahan",F199:F202)</f>
        <v>68250</v>
      </c>
      <c r="G203" s="32"/>
    </row>
    <row r="204" customFormat="false" ht="15" hidden="false" customHeight="false" outlineLevel="0" collapsed="false">
      <c r="A204" s="32"/>
      <c r="B204" s="32" t="s">
        <v>186</v>
      </c>
      <c r="C204" s="32"/>
      <c r="D204" s="32"/>
      <c r="E204" s="32"/>
      <c r="F204" s="38" t="n">
        <f aca="false">SUMIF(G199:G202,"Upah",F199:F202)</f>
        <v>36125</v>
      </c>
      <c r="G204" s="32"/>
    </row>
    <row r="205" customFormat="false" ht="15" hidden="false" customHeight="false" outlineLevel="0" collapsed="false">
      <c r="A205" s="32"/>
      <c r="B205" s="32" t="str">
        <f aca="false">"Overhead &amp; profit ("&amp;TEXT('Informasi Project'!$B$17,"0.0%")&amp;")"</f>
        <v>Overhead &amp; profit (15.0%)</v>
      </c>
      <c r="C205" s="32"/>
      <c r="D205" s="32"/>
      <c r="E205" s="32"/>
      <c r="F205" s="38" t="n">
        <f aca="false">(F203+F204)*'Informasi Project'!$B$17</f>
        <v>15656.25</v>
      </c>
      <c r="G205" s="32"/>
    </row>
    <row r="206" customFormat="false" ht="15" hidden="false" customHeight="false" outlineLevel="0" collapsed="false">
      <c r="A206" s="19"/>
      <c r="B206" s="3" t="s">
        <v>187</v>
      </c>
      <c r="C206" s="19"/>
      <c r="D206" s="19"/>
      <c r="E206" s="19"/>
      <c r="F206" s="20" t="n">
        <f aca="false">F203+F204+F205</f>
        <v>120031.25</v>
      </c>
      <c r="G206" s="19"/>
    </row>
    <row r="208" customFormat="false" ht="15" hidden="false" customHeight="false" outlineLevel="0" collapsed="false">
      <c r="A208" s="3" t="s">
        <v>128</v>
      </c>
      <c r="B208" s="3" t="s">
        <v>226</v>
      </c>
      <c r="C208" s="3" t="s">
        <v>189</v>
      </c>
      <c r="D208" s="3"/>
      <c r="E208" s="36" t="s">
        <v>175</v>
      </c>
      <c r="F208" s="20" t="n">
        <f aca="false">F219</f>
        <v>154974</v>
      </c>
      <c r="G208" s="3"/>
    </row>
    <row r="209" customFormat="false" ht="15" hidden="false" customHeight="false" outlineLevel="0" collapsed="false">
      <c r="A209" s="16" t="s">
        <v>227</v>
      </c>
      <c r="B209" s="29" t="str">
        <f aca="false">IF(LEFT($A209,1)="B",INDEX('Harga Bahan'!$B$5:$B$200,MATCH($A209,'Harga Bahan'!$A$5:$A$200,0)),INDEX('Harga Upah'!$B$5:$B$200,MATCH($A209,'Harga Upah'!$A$5:$A$200,0)))</f>
        <v>Plafon gypsum 9 mm (120x240)</v>
      </c>
      <c r="C209" s="31" t="str">
        <f aca="false">IF(LEFT($A209,1)="B",INDEX('Harga Bahan'!$C$5:$C$200,MATCH($A209,'Harga Bahan'!$A$5:$A$200,0)),INDEX('Harga Upah'!$C$5:$C$200,MATCH($A209,'Harga Upah'!$A$5:$A$200,0)))</f>
        <v>lembar</v>
      </c>
      <c r="D209" s="37" t="n">
        <v>0.35</v>
      </c>
      <c r="E209" s="17" t="n">
        <f aca="false">IF(LEFT($A209,1)="B",INDEX('Harga Bahan'!$D$5:$D$200,MATCH($A209,'Harga Bahan'!$A$5:$A$200,0)),INDEX('Harga Upah'!$D$5:$D$200,MATCH($A209,'Harga Upah'!$A$5:$A$200,0)))</f>
        <v>95000</v>
      </c>
      <c r="F209" s="27" t="n">
        <f aca="false">D209*E209</f>
        <v>33250</v>
      </c>
      <c r="G209" s="23" t="s">
        <v>177</v>
      </c>
    </row>
    <row r="210" customFormat="false" ht="15" hidden="false" customHeight="false" outlineLevel="0" collapsed="false">
      <c r="A210" s="16" t="s">
        <v>228</v>
      </c>
      <c r="B210" s="29" t="str">
        <f aca="false">IF(LEFT($A210,1)="B",INDEX('Harga Bahan'!$B$5:$B$200,MATCH($A210,'Harga Bahan'!$A$5:$A$200,0)),INDEX('Harga Upah'!$B$5:$B$200,MATCH($A210,'Harga Upah'!$A$5:$A$200,0)))</f>
        <v>Rangka plafon hollow galvalum</v>
      </c>
      <c r="C210" s="31" t="str">
        <f aca="false">IF(LEFT($A210,1)="B",INDEX('Harga Bahan'!$C$5:$C$200,MATCH($A210,'Harga Bahan'!$A$5:$A$200,0)),INDEX('Harga Upah'!$C$5:$C$200,MATCH($A210,'Harga Upah'!$A$5:$A$200,0)))</f>
        <v>m²</v>
      </c>
      <c r="D210" s="37" t="n">
        <v>1</v>
      </c>
      <c r="E210" s="17" t="n">
        <f aca="false">IF(LEFT($A210,1)="B",INDEX('Harga Bahan'!$D$5:$D$200,MATCH($A210,'Harga Bahan'!$A$5:$A$200,0)),INDEX('Harga Upah'!$D$5:$D$200,MATCH($A210,'Harga Upah'!$A$5:$A$200,0)))</f>
        <v>45000</v>
      </c>
      <c r="F210" s="27" t="n">
        <f aca="false">D210*E210</f>
        <v>45000</v>
      </c>
      <c r="G210" s="23" t="s">
        <v>177</v>
      </c>
    </row>
    <row r="211" customFormat="false" ht="15" hidden="false" customHeight="false" outlineLevel="0" collapsed="false">
      <c r="A211" s="16" t="s">
        <v>179</v>
      </c>
      <c r="B211" s="29" t="str">
        <f aca="false">IF(LEFT($A211,1)="B",INDEX('Harga Bahan'!$B$5:$B$200,MATCH($A211,'Harga Bahan'!$A$5:$A$200,0)),INDEX('Harga Upah'!$B$5:$B$200,MATCH($A211,'Harga Upah'!$A$5:$A$200,0)))</f>
        <v>Paku campuran</v>
      </c>
      <c r="C211" s="31" t="str">
        <f aca="false">IF(LEFT($A211,1)="B",INDEX('Harga Bahan'!$C$5:$C$200,MATCH($A211,'Harga Bahan'!$A$5:$A$200,0)),INDEX('Harga Upah'!$C$5:$C$200,MATCH($A211,'Harga Upah'!$A$5:$A$200,0)))</f>
        <v>kg</v>
      </c>
      <c r="D211" s="37" t="n">
        <v>0.02</v>
      </c>
      <c r="E211" s="17" t="n">
        <f aca="false">IF(LEFT($A211,1)="B",INDEX('Harga Bahan'!$D$5:$D$200,MATCH($A211,'Harga Bahan'!$A$5:$A$200,0)),INDEX('Harga Upah'!$D$5:$D$200,MATCH($A211,'Harga Upah'!$A$5:$A$200,0)))</f>
        <v>28000</v>
      </c>
      <c r="F211" s="27" t="n">
        <f aca="false">D211*E211</f>
        <v>560</v>
      </c>
      <c r="G211" s="23" t="s">
        <v>177</v>
      </c>
    </row>
    <row r="212" customFormat="false" ht="15" hidden="false" customHeight="false" outlineLevel="0" collapsed="false">
      <c r="A212" s="16" t="s">
        <v>180</v>
      </c>
      <c r="B212" s="29" t="str">
        <f aca="false">IF(LEFT($A212,1)="B",INDEX('Harga Bahan'!$B$5:$B$200,MATCH($A212,'Harga Bahan'!$A$5:$A$200,0)),INDEX('Harga Upah'!$B$5:$B$200,MATCH($A212,'Harga Upah'!$A$5:$A$200,0)))</f>
        <v>Pekerja</v>
      </c>
      <c r="C212" s="31" t="str">
        <f aca="false">IF(LEFT($A212,1)="B",INDEX('Harga Bahan'!$C$5:$C$200,MATCH($A212,'Harga Bahan'!$A$5:$A$200,0)),INDEX('Harga Upah'!$C$5:$C$200,MATCH($A212,'Harga Upah'!$A$5:$A$200,0)))</f>
        <v>OH</v>
      </c>
      <c r="D212" s="37" t="n">
        <v>0.15</v>
      </c>
      <c r="E212" s="17" t="n">
        <f aca="false">IF(LEFT($A212,1)="B",INDEX('Harga Bahan'!$D$5:$D$200,MATCH($A212,'Harga Bahan'!$A$5:$A$200,0)),INDEX('Harga Upah'!$D$5:$D$200,MATCH($A212,'Harga Upah'!$A$5:$A$200,0)))</f>
        <v>150000</v>
      </c>
      <c r="F212" s="27" t="n">
        <f aca="false">D212*E212</f>
        <v>22500</v>
      </c>
      <c r="G212" s="23" t="s">
        <v>181</v>
      </c>
    </row>
    <row r="213" customFormat="false" ht="15" hidden="false" customHeight="false" outlineLevel="0" collapsed="false">
      <c r="A213" s="16" t="s">
        <v>182</v>
      </c>
      <c r="B213" s="29" t="str">
        <f aca="false">IF(LEFT($A213,1)="B",INDEX('Harga Bahan'!$B$5:$B$200,MATCH($A213,'Harga Bahan'!$A$5:$A$200,0)),INDEX('Harga Upah'!$B$5:$B$200,MATCH($A213,'Harga Upah'!$A$5:$A$200,0)))</f>
        <v>Tukang kayu</v>
      </c>
      <c r="C213" s="31" t="str">
        <f aca="false">IF(LEFT($A213,1)="B",INDEX('Harga Bahan'!$C$5:$C$200,MATCH($A213,'Harga Bahan'!$A$5:$A$200,0)),INDEX('Harga Upah'!$C$5:$C$200,MATCH($A213,'Harga Upah'!$A$5:$A$200,0)))</f>
        <v>OH</v>
      </c>
      <c r="D213" s="37" t="n">
        <v>0.15</v>
      </c>
      <c r="E213" s="17" t="n">
        <f aca="false">IF(LEFT($A213,1)="B",INDEX('Harga Bahan'!$D$5:$D$200,MATCH($A213,'Harga Bahan'!$A$5:$A$200,0)),INDEX('Harga Upah'!$D$5:$D$200,MATCH($A213,'Harga Upah'!$A$5:$A$200,0)))</f>
        <v>190000</v>
      </c>
      <c r="F213" s="27" t="n">
        <f aca="false">D213*E213</f>
        <v>28500</v>
      </c>
      <c r="G213" s="23" t="s">
        <v>181</v>
      </c>
    </row>
    <row r="214" customFormat="false" ht="15" hidden="false" customHeight="false" outlineLevel="0" collapsed="false">
      <c r="A214" s="16" t="s">
        <v>183</v>
      </c>
      <c r="B214" s="29" t="str">
        <f aca="false">IF(LEFT($A214,1)="B",INDEX('Harga Bahan'!$B$5:$B$200,MATCH($A214,'Harga Bahan'!$A$5:$A$200,0)),INDEX('Harga Upah'!$B$5:$B$200,MATCH($A214,'Harga Upah'!$A$5:$A$200,0)))</f>
        <v>Kepala tukang</v>
      </c>
      <c r="C214" s="31" t="str">
        <f aca="false">IF(LEFT($A214,1)="B",INDEX('Harga Bahan'!$C$5:$C$200,MATCH($A214,'Harga Bahan'!$A$5:$A$200,0)),INDEX('Harga Upah'!$C$5:$C$200,MATCH($A214,'Harga Upah'!$A$5:$A$200,0)))</f>
        <v>OH</v>
      </c>
      <c r="D214" s="37" t="n">
        <v>0.015</v>
      </c>
      <c r="E214" s="17" t="n">
        <f aca="false">IF(LEFT($A214,1)="B",INDEX('Harga Bahan'!$D$5:$D$200,MATCH($A214,'Harga Bahan'!$A$5:$A$200,0)),INDEX('Harga Upah'!$D$5:$D$200,MATCH($A214,'Harga Upah'!$A$5:$A$200,0)))</f>
        <v>210000</v>
      </c>
      <c r="F214" s="27" t="n">
        <f aca="false">D214*E214</f>
        <v>3150</v>
      </c>
      <c r="G214" s="23" t="s">
        <v>181</v>
      </c>
    </row>
    <row r="215" customFormat="false" ht="15" hidden="false" customHeight="false" outlineLevel="0" collapsed="false">
      <c r="A215" s="16" t="s">
        <v>184</v>
      </c>
      <c r="B215" s="29" t="str">
        <f aca="false">IF(LEFT($A215,1)="B",INDEX('Harga Bahan'!$B$5:$B$200,MATCH($A215,'Harga Bahan'!$A$5:$A$200,0)),INDEX('Harga Upah'!$B$5:$B$200,MATCH($A215,'Harga Upah'!$A$5:$A$200,0)))</f>
        <v>Mandor</v>
      </c>
      <c r="C215" s="31" t="str">
        <f aca="false">IF(LEFT($A215,1)="B",INDEX('Harga Bahan'!$C$5:$C$200,MATCH($A215,'Harga Bahan'!$A$5:$A$200,0)),INDEX('Harga Upah'!$C$5:$C$200,MATCH($A215,'Harga Upah'!$A$5:$A$200,0)))</f>
        <v>OH</v>
      </c>
      <c r="D215" s="37" t="n">
        <v>0.008</v>
      </c>
      <c r="E215" s="17" t="n">
        <f aca="false">IF(LEFT($A215,1)="B",INDEX('Harga Bahan'!$D$5:$D$200,MATCH($A215,'Harga Bahan'!$A$5:$A$200,0)),INDEX('Harga Upah'!$D$5:$D$200,MATCH($A215,'Harga Upah'!$A$5:$A$200,0)))</f>
        <v>225000</v>
      </c>
      <c r="F215" s="27" t="n">
        <f aca="false">D215*E215</f>
        <v>1800</v>
      </c>
      <c r="G215" s="23" t="s">
        <v>181</v>
      </c>
    </row>
    <row r="216" customFormat="false" ht="15" hidden="false" customHeight="false" outlineLevel="0" collapsed="false">
      <c r="A216" s="32"/>
      <c r="B216" s="32" t="s">
        <v>185</v>
      </c>
      <c r="C216" s="32"/>
      <c r="D216" s="32"/>
      <c r="E216" s="32"/>
      <c r="F216" s="38" t="n">
        <f aca="false">SUMIF(G209:G215,"Bahan",F209:F215)</f>
        <v>78810</v>
      </c>
      <c r="G216" s="32"/>
    </row>
    <row r="217" customFormat="false" ht="15" hidden="false" customHeight="false" outlineLevel="0" collapsed="false">
      <c r="A217" s="32"/>
      <c r="B217" s="32" t="s">
        <v>186</v>
      </c>
      <c r="C217" s="32"/>
      <c r="D217" s="32"/>
      <c r="E217" s="32"/>
      <c r="F217" s="38" t="n">
        <f aca="false">SUMIF(G209:G215,"Upah",F209:F215)</f>
        <v>55950</v>
      </c>
      <c r="G217" s="32"/>
    </row>
    <row r="218" customFormat="false" ht="15" hidden="false" customHeight="false" outlineLevel="0" collapsed="false">
      <c r="A218" s="32"/>
      <c r="B218" s="32" t="str">
        <f aca="false">"Overhead &amp; profit ("&amp;TEXT('Informasi Project'!$B$17,"0.0%")&amp;")"</f>
        <v>Overhead &amp; profit (15.0%)</v>
      </c>
      <c r="C218" s="32"/>
      <c r="D218" s="32"/>
      <c r="E218" s="32"/>
      <c r="F218" s="38" t="n">
        <f aca="false">(F216+F217)*'Informasi Project'!$B$17</f>
        <v>20214</v>
      </c>
      <c r="G218" s="32"/>
    </row>
    <row r="219" customFormat="false" ht="15" hidden="false" customHeight="false" outlineLevel="0" collapsed="false">
      <c r="A219" s="19"/>
      <c r="B219" s="3" t="s">
        <v>187</v>
      </c>
      <c r="C219" s="19"/>
      <c r="D219" s="19"/>
      <c r="E219" s="19"/>
      <c r="F219" s="20" t="n">
        <f aca="false">F216+F217+F218</f>
        <v>154974</v>
      </c>
      <c r="G219" s="19"/>
    </row>
    <row r="221" customFormat="false" ht="15" hidden="false" customHeight="false" outlineLevel="0" collapsed="false">
      <c r="A221" s="3" t="s">
        <v>131</v>
      </c>
      <c r="B221" s="3" t="s">
        <v>229</v>
      </c>
      <c r="C221" s="3" t="s">
        <v>189</v>
      </c>
      <c r="D221" s="3"/>
      <c r="E221" s="36" t="s">
        <v>175</v>
      </c>
      <c r="F221" s="20" t="n">
        <f aca="false">F232</f>
        <v>378896.25</v>
      </c>
      <c r="G221" s="3"/>
    </row>
    <row r="222" customFormat="false" ht="15" hidden="false" customHeight="false" outlineLevel="0" collapsed="false">
      <c r="A222" s="16" t="s">
        <v>230</v>
      </c>
      <c r="B222" s="29" t="str">
        <f aca="false">IF(LEFT($A222,1)="B",INDEX('Harga Bahan'!$B$5:$B$200,MATCH($A222,'Harga Bahan'!$A$5:$A$200,0)),INDEX('Harga Upah'!$B$5:$B$200,MATCH($A222,'Harga Upah'!$A$5:$A$200,0)))</f>
        <v>Keramik lantai 40x40</v>
      </c>
      <c r="C222" s="31" t="str">
        <f aca="false">IF(LEFT($A222,1)="B",INDEX('Harga Bahan'!$C$5:$C$200,MATCH($A222,'Harga Bahan'!$A$5:$A$200,0)),INDEX('Harga Upah'!$C$5:$C$200,MATCH($A222,'Harga Upah'!$A$5:$A$200,0)))</f>
        <v>m²</v>
      </c>
      <c r="D222" s="37" t="n">
        <v>1.05</v>
      </c>
      <c r="E222" s="17" t="n">
        <f aca="false">IF(LEFT($A222,1)="B",INDEX('Harga Bahan'!$D$5:$D$200,MATCH($A222,'Harga Bahan'!$A$5:$A$200,0)),INDEX('Harga Upah'!$D$5:$D$200,MATCH($A222,'Harga Upah'!$A$5:$A$200,0)))</f>
        <v>105000</v>
      </c>
      <c r="F222" s="27" t="n">
        <f aca="false">D222*E222</f>
        <v>110250</v>
      </c>
      <c r="G222" s="23" t="s">
        <v>177</v>
      </c>
    </row>
    <row r="223" customFormat="false" ht="15" hidden="false" customHeight="false" outlineLevel="0" collapsed="false">
      <c r="A223" s="16" t="s">
        <v>199</v>
      </c>
      <c r="B223" s="29" t="str">
        <f aca="false">IF(LEFT($A223,1)="B",INDEX('Harga Bahan'!$B$5:$B$200,MATCH($A223,'Harga Bahan'!$A$5:$A$200,0)),INDEX('Harga Upah'!$B$5:$B$200,MATCH($A223,'Harga Upah'!$A$5:$A$200,0)))</f>
        <v>Semen Portland (PC)</v>
      </c>
      <c r="C223" s="31" t="str">
        <f aca="false">IF(LEFT($A223,1)="B",INDEX('Harga Bahan'!$C$5:$C$200,MATCH($A223,'Harga Bahan'!$A$5:$A$200,0)),INDEX('Harga Upah'!$C$5:$C$200,MATCH($A223,'Harga Upah'!$A$5:$A$200,0)))</f>
        <v>kg</v>
      </c>
      <c r="D223" s="37" t="n">
        <v>10</v>
      </c>
      <c r="E223" s="17" t="n">
        <f aca="false">IF(LEFT($A223,1)="B",INDEX('Harga Bahan'!$D$5:$D$200,MATCH($A223,'Harga Bahan'!$A$5:$A$200,0)),INDEX('Harga Upah'!$D$5:$D$200,MATCH($A223,'Harga Upah'!$A$5:$A$200,0)))</f>
        <v>1900</v>
      </c>
      <c r="F223" s="27" t="n">
        <f aca="false">D223*E223</f>
        <v>19000</v>
      </c>
      <c r="G223" s="23" t="s">
        <v>177</v>
      </c>
    </row>
    <row r="224" customFormat="false" ht="15" hidden="false" customHeight="false" outlineLevel="0" collapsed="false">
      <c r="A224" s="16" t="s">
        <v>193</v>
      </c>
      <c r="B224" s="29" t="str">
        <f aca="false">IF(LEFT($A224,1)="B",INDEX('Harga Bahan'!$B$5:$B$200,MATCH($A224,'Harga Bahan'!$A$5:$A$200,0)),INDEX('Harga Upah'!$B$5:$B$200,MATCH($A224,'Harga Upah'!$A$5:$A$200,0)))</f>
        <v>Pasir pasang</v>
      </c>
      <c r="C224" s="31" t="str">
        <f aca="false">IF(LEFT($A224,1)="B",INDEX('Harga Bahan'!$C$5:$C$200,MATCH($A224,'Harga Bahan'!$A$5:$A$200,0)),INDEX('Harga Upah'!$C$5:$C$200,MATCH($A224,'Harga Upah'!$A$5:$A$200,0)))</f>
        <v>m³</v>
      </c>
      <c r="D224" s="37" t="n">
        <v>0.045</v>
      </c>
      <c r="E224" s="17" t="n">
        <f aca="false">IF(LEFT($A224,1)="B",INDEX('Harga Bahan'!$D$5:$D$200,MATCH($A224,'Harga Bahan'!$A$5:$A$200,0)),INDEX('Harga Upah'!$D$5:$D$200,MATCH($A224,'Harga Upah'!$A$5:$A$200,0)))</f>
        <v>300000</v>
      </c>
      <c r="F224" s="27" t="n">
        <f aca="false">D224*E224</f>
        <v>13500</v>
      </c>
      <c r="G224" s="23" t="s">
        <v>177</v>
      </c>
    </row>
    <row r="225" customFormat="false" ht="15" hidden="false" customHeight="false" outlineLevel="0" collapsed="false">
      <c r="A225" s="16" t="s">
        <v>180</v>
      </c>
      <c r="B225" s="29" t="str">
        <f aca="false">IF(LEFT($A225,1)="B",INDEX('Harga Bahan'!$B$5:$B$200,MATCH($A225,'Harga Bahan'!$A$5:$A$200,0)),INDEX('Harga Upah'!$B$5:$B$200,MATCH($A225,'Harga Upah'!$A$5:$A$200,0)))</f>
        <v>Pekerja</v>
      </c>
      <c r="C225" s="31" t="str">
        <f aca="false">IF(LEFT($A225,1)="B",INDEX('Harga Bahan'!$C$5:$C$200,MATCH($A225,'Harga Bahan'!$A$5:$A$200,0)),INDEX('Harga Upah'!$C$5:$C$200,MATCH($A225,'Harga Upah'!$A$5:$A$200,0)))</f>
        <v>OH</v>
      </c>
      <c r="D225" s="37" t="n">
        <v>0.7</v>
      </c>
      <c r="E225" s="17" t="n">
        <f aca="false">IF(LEFT($A225,1)="B",INDEX('Harga Bahan'!$D$5:$D$200,MATCH($A225,'Harga Bahan'!$A$5:$A$200,0)),INDEX('Harga Upah'!$D$5:$D$200,MATCH($A225,'Harga Upah'!$A$5:$A$200,0)))</f>
        <v>150000</v>
      </c>
      <c r="F225" s="27" t="n">
        <f aca="false">D225*E225</f>
        <v>105000</v>
      </c>
      <c r="G225" s="23" t="s">
        <v>181</v>
      </c>
    </row>
    <row r="226" customFormat="false" ht="15" hidden="false" customHeight="false" outlineLevel="0" collapsed="false">
      <c r="A226" s="16" t="s">
        <v>196</v>
      </c>
      <c r="B226" s="29" t="str">
        <f aca="false">IF(LEFT($A226,1)="B",INDEX('Harga Bahan'!$B$5:$B$200,MATCH($A226,'Harga Bahan'!$A$5:$A$200,0)),INDEX('Harga Upah'!$B$5:$B$200,MATCH($A226,'Harga Upah'!$A$5:$A$200,0)))</f>
        <v>Tukang batu</v>
      </c>
      <c r="C226" s="31" t="str">
        <f aca="false">IF(LEFT($A226,1)="B",INDEX('Harga Bahan'!$C$5:$C$200,MATCH($A226,'Harga Bahan'!$A$5:$A$200,0)),INDEX('Harga Upah'!$C$5:$C$200,MATCH($A226,'Harga Upah'!$A$5:$A$200,0)))</f>
        <v>OH</v>
      </c>
      <c r="D226" s="37" t="n">
        <v>0.35</v>
      </c>
      <c r="E226" s="17" t="n">
        <f aca="false">IF(LEFT($A226,1)="B",INDEX('Harga Bahan'!$D$5:$D$200,MATCH($A226,'Harga Bahan'!$A$5:$A$200,0)),INDEX('Harga Upah'!$D$5:$D$200,MATCH($A226,'Harga Upah'!$A$5:$A$200,0)))</f>
        <v>190000</v>
      </c>
      <c r="F226" s="27" t="n">
        <f aca="false">D226*E226</f>
        <v>66500</v>
      </c>
      <c r="G226" s="23" t="s">
        <v>181</v>
      </c>
    </row>
    <row r="227" customFormat="false" ht="15" hidden="false" customHeight="false" outlineLevel="0" collapsed="false">
      <c r="A227" s="16" t="s">
        <v>183</v>
      </c>
      <c r="B227" s="29" t="str">
        <f aca="false">IF(LEFT($A227,1)="B",INDEX('Harga Bahan'!$B$5:$B$200,MATCH($A227,'Harga Bahan'!$A$5:$A$200,0)),INDEX('Harga Upah'!$B$5:$B$200,MATCH($A227,'Harga Upah'!$A$5:$A$200,0)))</f>
        <v>Kepala tukang</v>
      </c>
      <c r="C227" s="31" t="str">
        <f aca="false">IF(LEFT($A227,1)="B",INDEX('Harga Bahan'!$C$5:$C$200,MATCH($A227,'Harga Bahan'!$A$5:$A$200,0)),INDEX('Harga Upah'!$C$5:$C$200,MATCH($A227,'Harga Upah'!$A$5:$A$200,0)))</f>
        <v>OH</v>
      </c>
      <c r="D227" s="37" t="n">
        <v>0.035</v>
      </c>
      <c r="E227" s="17" t="n">
        <f aca="false">IF(LEFT($A227,1)="B",INDEX('Harga Bahan'!$D$5:$D$200,MATCH($A227,'Harga Bahan'!$A$5:$A$200,0)),INDEX('Harga Upah'!$D$5:$D$200,MATCH($A227,'Harga Upah'!$A$5:$A$200,0)))</f>
        <v>210000</v>
      </c>
      <c r="F227" s="27" t="n">
        <f aca="false">D227*E227</f>
        <v>7350</v>
      </c>
      <c r="G227" s="23" t="s">
        <v>181</v>
      </c>
    </row>
    <row r="228" customFormat="false" ht="15" hidden="false" customHeight="false" outlineLevel="0" collapsed="false">
      <c r="A228" s="16" t="s">
        <v>184</v>
      </c>
      <c r="B228" s="29" t="str">
        <f aca="false">IF(LEFT($A228,1)="B",INDEX('Harga Bahan'!$B$5:$B$200,MATCH($A228,'Harga Bahan'!$A$5:$A$200,0)),INDEX('Harga Upah'!$B$5:$B$200,MATCH($A228,'Harga Upah'!$A$5:$A$200,0)))</f>
        <v>Mandor</v>
      </c>
      <c r="C228" s="31" t="str">
        <f aca="false">IF(LEFT($A228,1)="B",INDEX('Harga Bahan'!$C$5:$C$200,MATCH($A228,'Harga Bahan'!$A$5:$A$200,0)),INDEX('Harga Upah'!$C$5:$C$200,MATCH($A228,'Harga Upah'!$A$5:$A$200,0)))</f>
        <v>OH</v>
      </c>
      <c r="D228" s="37" t="n">
        <v>0.035</v>
      </c>
      <c r="E228" s="17" t="n">
        <f aca="false">IF(LEFT($A228,1)="B",INDEX('Harga Bahan'!$D$5:$D$200,MATCH($A228,'Harga Bahan'!$A$5:$A$200,0)),INDEX('Harga Upah'!$D$5:$D$200,MATCH($A228,'Harga Upah'!$A$5:$A$200,0)))</f>
        <v>225000</v>
      </c>
      <c r="F228" s="27" t="n">
        <f aca="false">D228*E228</f>
        <v>7875</v>
      </c>
      <c r="G228" s="23" t="s">
        <v>181</v>
      </c>
    </row>
    <row r="229" customFormat="false" ht="15" hidden="false" customHeight="false" outlineLevel="0" collapsed="false">
      <c r="A229" s="32"/>
      <c r="B229" s="32" t="s">
        <v>185</v>
      </c>
      <c r="C229" s="32"/>
      <c r="D229" s="32"/>
      <c r="E229" s="32"/>
      <c r="F229" s="38" t="n">
        <f aca="false">SUMIF(G222:G228,"Bahan",F222:F228)</f>
        <v>142750</v>
      </c>
      <c r="G229" s="32"/>
    </row>
    <row r="230" customFormat="false" ht="15" hidden="false" customHeight="false" outlineLevel="0" collapsed="false">
      <c r="A230" s="32"/>
      <c r="B230" s="32" t="s">
        <v>186</v>
      </c>
      <c r="C230" s="32"/>
      <c r="D230" s="32"/>
      <c r="E230" s="32"/>
      <c r="F230" s="38" t="n">
        <f aca="false">SUMIF(G222:G228,"Upah",F222:F228)</f>
        <v>186725</v>
      </c>
      <c r="G230" s="32"/>
    </row>
    <row r="231" customFormat="false" ht="15" hidden="false" customHeight="false" outlineLevel="0" collapsed="false">
      <c r="A231" s="32"/>
      <c r="B231" s="32" t="str">
        <f aca="false">"Overhead &amp; profit ("&amp;TEXT('Informasi Project'!$B$17,"0.0%")&amp;")"</f>
        <v>Overhead &amp; profit (15.0%)</v>
      </c>
      <c r="C231" s="32"/>
      <c r="D231" s="32"/>
      <c r="E231" s="32"/>
      <c r="F231" s="38" t="n">
        <f aca="false">(F229+F230)*'Informasi Project'!$B$17</f>
        <v>49421.25</v>
      </c>
      <c r="G231" s="32"/>
    </row>
    <row r="232" customFormat="false" ht="15" hidden="false" customHeight="false" outlineLevel="0" collapsed="false">
      <c r="A232" s="19"/>
      <c r="B232" s="3" t="s">
        <v>187</v>
      </c>
      <c r="C232" s="19"/>
      <c r="D232" s="19"/>
      <c r="E232" s="19"/>
      <c r="F232" s="20" t="n">
        <f aca="false">F229+F230+F231</f>
        <v>378896.25</v>
      </c>
      <c r="G232" s="19"/>
    </row>
    <row r="234" customFormat="false" ht="15" hidden="false" customHeight="false" outlineLevel="0" collapsed="false">
      <c r="A234" s="3" t="s">
        <v>133</v>
      </c>
      <c r="B234" s="3" t="s">
        <v>231</v>
      </c>
      <c r="C234" s="3" t="s">
        <v>189</v>
      </c>
      <c r="D234" s="3"/>
      <c r="E234" s="36" t="s">
        <v>175</v>
      </c>
      <c r="F234" s="20" t="n">
        <f aca="false">F245</f>
        <v>389878.75</v>
      </c>
      <c r="G234" s="3"/>
    </row>
    <row r="235" customFormat="false" ht="15" hidden="false" customHeight="false" outlineLevel="0" collapsed="false">
      <c r="A235" s="16" t="s">
        <v>232</v>
      </c>
      <c r="B235" s="29" t="str">
        <f aca="false">IF(LEFT($A235,1)="B",INDEX('Harga Bahan'!$B$5:$B$200,MATCH($A235,'Harga Bahan'!$A$5:$A$200,0)),INDEX('Harga Upah'!$B$5:$B$200,MATCH($A235,'Harga Upah'!$A$5:$A$200,0)))</f>
        <v>Keramik dinding 20x25</v>
      </c>
      <c r="C235" s="31" t="str">
        <f aca="false">IF(LEFT($A235,1)="B",INDEX('Harga Bahan'!$C$5:$C$200,MATCH($A235,'Harga Bahan'!$A$5:$A$200,0)),INDEX('Harga Upah'!$C$5:$C$200,MATCH($A235,'Harga Upah'!$A$5:$A$200,0)))</f>
        <v>m²</v>
      </c>
      <c r="D235" s="37" t="n">
        <v>1.05</v>
      </c>
      <c r="E235" s="17" t="n">
        <f aca="false">IF(LEFT($A235,1)="B",INDEX('Harga Bahan'!$D$5:$D$200,MATCH($A235,'Harga Bahan'!$A$5:$A$200,0)),INDEX('Harga Upah'!$D$5:$D$200,MATCH($A235,'Harga Upah'!$A$5:$A$200,0)))</f>
        <v>115000</v>
      </c>
      <c r="F235" s="27" t="n">
        <f aca="false">D235*E235</f>
        <v>120750</v>
      </c>
      <c r="G235" s="23" t="s">
        <v>177</v>
      </c>
    </row>
    <row r="236" customFormat="false" ht="15" hidden="false" customHeight="false" outlineLevel="0" collapsed="false">
      <c r="A236" s="16" t="s">
        <v>199</v>
      </c>
      <c r="B236" s="29" t="str">
        <f aca="false">IF(LEFT($A236,1)="B",INDEX('Harga Bahan'!$B$5:$B$200,MATCH($A236,'Harga Bahan'!$A$5:$A$200,0)),INDEX('Harga Upah'!$B$5:$B$200,MATCH($A236,'Harga Upah'!$A$5:$A$200,0)))</f>
        <v>Semen Portland (PC)</v>
      </c>
      <c r="C236" s="31" t="str">
        <f aca="false">IF(LEFT($A236,1)="B",INDEX('Harga Bahan'!$C$5:$C$200,MATCH($A236,'Harga Bahan'!$A$5:$A$200,0)),INDEX('Harga Upah'!$C$5:$C$200,MATCH($A236,'Harga Upah'!$A$5:$A$200,0)))</f>
        <v>kg</v>
      </c>
      <c r="D236" s="37" t="n">
        <v>9.5</v>
      </c>
      <c r="E236" s="17" t="n">
        <f aca="false">IF(LEFT($A236,1)="B",INDEX('Harga Bahan'!$D$5:$D$200,MATCH($A236,'Harga Bahan'!$A$5:$A$200,0)),INDEX('Harga Upah'!$D$5:$D$200,MATCH($A236,'Harga Upah'!$A$5:$A$200,0)))</f>
        <v>1900</v>
      </c>
      <c r="F236" s="27" t="n">
        <f aca="false">D236*E236</f>
        <v>18050</v>
      </c>
      <c r="G236" s="23" t="s">
        <v>177</v>
      </c>
    </row>
    <row r="237" customFormat="false" ht="15" hidden="false" customHeight="false" outlineLevel="0" collapsed="false">
      <c r="A237" s="16" t="s">
        <v>193</v>
      </c>
      <c r="B237" s="29" t="str">
        <f aca="false">IF(LEFT($A237,1)="B",INDEX('Harga Bahan'!$B$5:$B$200,MATCH($A237,'Harga Bahan'!$A$5:$A$200,0)),INDEX('Harga Upah'!$B$5:$B$200,MATCH($A237,'Harga Upah'!$A$5:$A$200,0)))</f>
        <v>Pasir pasang</v>
      </c>
      <c r="C237" s="31" t="str">
        <f aca="false">IF(LEFT($A237,1)="B",INDEX('Harga Bahan'!$C$5:$C$200,MATCH($A237,'Harga Bahan'!$A$5:$A$200,0)),INDEX('Harga Upah'!$C$5:$C$200,MATCH($A237,'Harga Upah'!$A$5:$A$200,0)))</f>
        <v>m³</v>
      </c>
      <c r="D237" s="37" t="n">
        <v>0.045</v>
      </c>
      <c r="E237" s="17" t="n">
        <f aca="false">IF(LEFT($A237,1)="B",INDEX('Harga Bahan'!$D$5:$D$200,MATCH($A237,'Harga Bahan'!$A$5:$A$200,0)),INDEX('Harga Upah'!$D$5:$D$200,MATCH($A237,'Harga Upah'!$A$5:$A$200,0)))</f>
        <v>300000</v>
      </c>
      <c r="F237" s="27" t="n">
        <f aca="false">D237*E237</f>
        <v>13500</v>
      </c>
      <c r="G237" s="23" t="s">
        <v>177</v>
      </c>
    </row>
    <row r="238" customFormat="false" ht="15" hidden="false" customHeight="false" outlineLevel="0" collapsed="false">
      <c r="A238" s="16" t="s">
        <v>180</v>
      </c>
      <c r="B238" s="29" t="str">
        <f aca="false">IF(LEFT($A238,1)="B",INDEX('Harga Bahan'!$B$5:$B$200,MATCH($A238,'Harga Bahan'!$A$5:$A$200,0)),INDEX('Harga Upah'!$B$5:$B$200,MATCH($A238,'Harga Upah'!$A$5:$A$200,0)))</f>
        <v>Pekerja</v>
      </c>
      <c r="C238" s="31" t="str">
        <f aca="false">IF(LEFT($A238,1)="B",INDEX('Harga Bahan'!$C$5:$C$200,MATCH($A238,'Harga Bahan'!$A$5:$A$200,0)),INDEX('Harga Upah'!$C$5:$C$200,MATCH($A238,'Harga Upah'!$A$5:$A$200,0)))</f>
        <v>OH</v>
      </c>
      <c r="D238" s="37" t="n">
        <v>0.7</v>
      </c>
      <c r="E238" s="17" t="n">
        <f aca="false">IF(LEFT($A238,1)="B",INDEX('Harga Bahan'!$D$5:$D$200,MATCH($A238,'Harga Bahan'!$A$5:$A$200,0)),INDEX('Harga Upah'!$D$5:$D$200,MATCH($A238,'Harga Upah'!$A$5:$A$200,0)))</f>
        <v>150000</v>
      </c>
      <c r="F238" s="27" t="n">
        <f aca="false">D238*E238</f>
        <v>105000</v>
      </c>
      <c r="G238" s="23" t="s">
        <v>181</v>
      </c>
    </row>
    <row r="239" customFormat="false" ht="15" hidden="false" customHeight="false" outlineLevel="0" collapsed="false">
      <c r="A239" s="16" t="s">
        <v>196</v>
      </c>
      <c r="B239" s="29" t="str">
        <f aca="false">IF(LEFT($A239,1)="B",INDEX('Harga Bahan'!$B$5:$B$200,MATCH($A239,'Harga Bahan'!$A$5:$A$200,0)),INDEX('Harga Upah'!$B$5:$B$200,MATCH($A239,'Harga Upah'!$A$5:$A$200,0)))</f>
        <v>Tukang batu</v>
      </c>
      <c r="C239" s="31" t="str">
        <f aca="false">IF(LEFT($A239,1)="B",INDEX('Harga Bahan'!$C$5:$C$200,MATCH($A239,'Harga Bahan'!$A$5:$A$200,0)),INDEX('Harga Upah'!$C$5:$C$200,MATCH($A239,'Harga Upah'!$A$5:$A$200,0)))</f>
        <v>OH</v>
      </c>
      <c r="D239" s="37" t="n">
        <v>0.35</v>
      </c>
      <c r="E239" s="17" t="n">
        <f aca="false">IF(LEFT($A239,1)="B",INDEX('Harga Bahan'!$D$5:$D$200,MATCH($A239,'Harga Bahan'!$A$5:$A$200,0)),INDEX('Harga Upah'!$D$5:$D$200,MATCH($A239,'Harga Upah'!$A$5:$A$200,0)))</f>
        <v>190000</v>
      </c>
      <c r="F239" s="27" t="n">
        <f aca="false">D239*E239</f>
        <v>66500</v>
      </c>
      <c r="G239" s="23" t="s">
        <v>181</v>
      </c>
    </row>
    <row r="240" customFormat="false" ht="15" hidden="false" customHeight="false" outlineLevel="0" collapsed="false">
      <c r="A240" s="16" t="s">
        <v>183</v>
      </c>
      <c r="B240" s="29" t="str">
        <f aca="false">IF(LEFT($A240,1)="B",INDEX('Harga Bahan'!$B$5:$B$200,MATCH($A240,'Harga Bahan'!$A$5:$A$200,0)),INDEX('Harga Upah'!$B$5:$B$200,MATCH($A240,'Harga Upah'!$A$5:$A$200,0)))</f>
        <v>Kepala tukang</v>
      </c>
      <c r="C240" s="31" t="str">
        <f aca="false">IF(LEFT($A240,1)="B",INDEX('Harga Bahan'!$C$5:$C$200,MATCH($A240,'Harga Bahan'!$A$5:$A$200,0)),INDEX('Harga Upah'!$C$5:$C$200,MATCH($A240,'Harga Upah'!$A$5:$A$200,0)))</f>
        <v>OH</v>
      </c>
      <c r="D240" s="37" t="n">
        <v>0.035</v>
      </c>
      <c r="E240" s="17" t="n">
        <f aca="false">IF(LEFT($A240,1)="B",INDEX('Harga Bahan'!$D$5:$D$200,MATCH($A240,'Harga Bahan'!$A$5:$A$200,0)),INDEX('Harga Upah'!$D$5:$D$200,MATCH($A240,'Harga Upah'!$A$5:$A$200,0)))</f>
        <v>210000</v>
      </c>
      <c r="F240" s="27" t="n">
        <f aca="false">D240*E240</f>
        <v>7350</v>
      </c>
      <c r="G240" s="23" t="s">
        <v>181</v>
      </c>
    </row>
    <row r="241" customFormat="false" ht="15" hidden="false" customHeight="false" outlineLevel="0" collapsed="false">
      <c r="A241" s="16" t="s">
        <v>184</v>
      </c>
      <c r="B241" s="29" t="str">
        <f aca="false">IF(LEFT($A241,1)="B",INDEX('Harga Bahan'!$B$5:$B$200,MATCH($A241,'Harga Bahan'!$A$5:$A$200,0)),INDEX('Harga Upah'!$B$5:$B$200,MATCH($A241,'Harga Upah'!$A$5:$A$200,0)))</f>
        <v>Mandor</v>
      </c>
      <c r="C241" s="31" t="str">
        <f aca="false">IF(LEFT($A241,1)="B",INDEX('Harga Bahan'!$C$5:$C$200,MATCH($A241,'Harga Bahan'!$A$5:$A$200,0)),INDEX('Harga Upah'!$C$5:$C$200,MATCH($A241,'Harga Upah'!$A$5:$A$200,0)))</f>
        <v>OH</v>
      </c>
      <c r="D241" s="37" t="n">
        <v>0.035</v>
      </c>
      <c r="E241" s="17" t="n">
        <f aca="false">IF(LEFT($A241,1)="B",INDEX('Harga Bahan'!$D$5:$D$200,MATCH($A241,'Harga Bahan'!$A$5:$A$200,0)),INDEX('Harga Upah'!$D$5:$D$200,MATCH($A241,'Harga Upah'!$A$5:$A$200,0)))</f>
        <v>225000</v>
      </c>
      <c r="F241" s="27" t="n">
        <f aca="false">D241*E241</f>
        <v>7875</v>
      </c>
      <c r="G241" s="23" t="s">
        <v>181</v>
      </c>
    </row>
    <row r="242" customFormat="false" ht="15" hidden="false" customHeight="false" outlineLevel="0" collapsed="false">
      <c r="A242" s="32"/>
      <c r="B242" s="32" t="s">
        <v>185</v>
      </c>
      <c r="C242" s="32"/>
      <c r="D242" s="32"/>
      <c r="E242" s="32"/>
      <c r="F242" s="38" t="n">
        <f aca="false">SUMIF(G235:G241,"Bahan",F235:F241)</f>
        <v>152300</v>
      </c>
      <c r="G242" s="32"/>
    </row>
    <row r="243" customFormat="false" ht="15" hidden="false" customHeight="false" outlineLevel="0" collapsed="false">
      <c r="A243" s="32"/>
      <c r="B243" s="32" t="s">
        <v>186</v>
      </c>
      <c r="C243" s="32"/>
      <c r="D243" s="32"/>
      <c r="E243" s="32"/>
      <c r="F243" s="38" t="n">
        <f aca="false">SUMIF(G235:G241,"Upah",F235:F241)</f>
        <v>186725</v>
      </c>
      <c r="G243" s="32"/>
    </row>
    <row r="244" customFormat="false" ht="15" hidden="false" customHeight="false" outlineLevel="0" collapsed="false">
      <c r="A244" s="32"/>
      <c r="B244" s="32" t="str">
        <f aca="false">"Overhead &amp; profit ("&amp;TEXT('Informasi Project'!$B$17,"0.0%")&amp;")"</f>
        <v>Overhead &amp; profit (15.0%)</v>
      </c>
      <c r="C244" s="32"/>
      <c r="D244" s="32"/>
      <c r="E244" s="32"/>
      <c r="F244" s="38" t="n">
        <f aca="false">(F242+F243)*'Informasi Project'!$B$17</f>
        <v>50853.75</v>
      </c>
      <c r="G244" s="32"/>
    </row>
    <row r="245" customFormat="false" ht="15" hidden="false" customHeight="false" outlineLevel="0" collapsed="false">
      <c r="A245" s="19"/>
      <c r="B245" s="3" t="s">
        <v>187</v>
      </c>
      <c r="C245" s="19"/>
      <c r="D245" s="19"/>
      <c r="E245" s="19"/>
      <c r="F245" s="20" t="n">
        <f aca="false">F242+F243+F244</f>
        <v>389878.75</v>
      </c>
      <c r="G245" s="19"/>
    </row>
    <row r="247" customFormat="false" ht="15" hidden="false" customHeight="false" outlineLevel="0" collapsed="false">
      <c r="A247" s="3" t="s">
        <v>136</v>
      </c>
      <c r="B247" s="3" t="s">
        <v>233</v>
      </c>
      <c r="C247" s="3" t="s">
        <v>234</v>
      </c>
      <c r="D247" s="3"/>
      <c r="E247" s="36" t="s">
        <v>175</v>
      </c>
      <c r="F247" s="20" t="n">
        <f aca="false">F256</f>
        <v>2620102.5</v>
      </c>
      <c r="G247" s="3"/>
    </row>
    <row r="248" customFormat="false" ht="15" hidden="false" customHeight="false" outlineLevel="0" collapsed="false">
      <c r="A248" s="16" t="s">
        <v>235</v>
      </c>
      <c r="B248" s="29" t="str">
        <f aca="false">IF(LEFT($A248,1)="B",INDEX('Harga Bahan'!$B$5:$B$200,MATCH($A248,'Harga Bahan'!$A$5:$A$200,0)),INDEX('Harga Upah'!$B$5:$B$200,MATCH($A248,'Harga Upah'!$A$5:$A$200,0)))</f>
        <v>Pintu panel kayu kelas II lengkap kusen, engsel, kunci</v>
      </c>
      <c r="C248" s="31" t="str">
        <f aca="false">IF(LEFT($A248,1)="B",INDEX('Harga Bahan'!$C$5:$C$200,MATCH($A248,'Harga Bahan'!$A$5:$A$200,0)),INDEX('Harga Upah'!$C$5:$C$200,MATCH($A248,'Harga Upah'!$A$5:$A$200,0)))</f>
        <v>unit</v>
      </c>
      <c r="D248" s="37" t="n">
        <v>1</v>
      </c>
      <c r="E248" s="17" t="n">
        <f aca="false">IF(LEFT($A248,1)="B",INDEX('Harga Bahan'!$D$5:$D$200,MATCH($A248,'Harga Bahan'!$A$5:$A$200,0)),INDEX('Harga Upah'!$D$5:$D$200,MATCH($A248,'Harga Upah'!$A$5:$A$200,0)))</f>
        <v>2100000</v>
      </c>
      <c r="F248" s="27" t="n">
        <f aca="false">D248*E248</f>
        <v>2100000</v>
      </c>
      <c r="G248" s="23" t="s">
        <v>177</v>
      </c>
    </row>
    <row r="249" customFormat="false" ht="15" hidden="false" customHeight="false" outlineLevel="0" collapsed="false">
      <c r="A249" s="16" t="s">
        <v>180</v>
      </c>
      <c r="B249" s="29" t="str">
        <f aca="false">IF(LEFT($A249,1)="B",INDEX('Harga Bahan'!$B$5:$B$200,MATCH($A249,'Harga Bahan'!$A$5:$A$200,0)),INDEX('Harga Upah'!$B$5:$B$200,MATCH($A249,'Harga Upah'!$A$5:$A$200,0)))</f>
        <v>Pekerja</v>
      </c>
      <c r="C249" s="31" t="str">
        <f aca="false">IF(LEFT($A249,1)="B",INDEX('Harga Bahan'!$C$5:$C$200,MATCH($A249,'Harga Bahan'!$A$5:$A$200,0)),INDEX('Harga Upah'!$C$5:$C$200,MATCH($A249,'Harga Upah'!$A$5:$A$200,0)))</f>
        <v>OH</v>
      </c>
      <c r="D249" s="37" t="n">
        <v>0.3</v>
      </c>
      <c r="E249" s="17" t="n">
        <f aca="false">IF(LEFT($A249,1)="B",INDEX('Harga Bahan'!$D$5:$D$200,MATCH($A249,'Harga Bahan'!$A$5:$A$200,0)),INDEX('Harga Upah'!$D$5:$D$200,MATCH($A249,'Harga Upah'!$A$5:$A$200,0)))</f>
        <v>150000</v>
      </c>
      <c r="F249" s="27" t="n">
        <f aca="false">D249*E249</f>
        <v>45000</v>
      </c>
      <c r="G249" s="23" t="s">
        <v>181</v>
      </c>
    </row>
    <row r="250" customFormat="false" ht="15" hidden="false" customHeight="false" outlineLevel="0" collapsed="false">
      <c r="A250" s="16" t="s">
        <v>182</v>
      </c>
      <c r="B250" s="29" t="str">
        <f aca="false">IF(LEFT($A250,1)="B",INDEX('Harga Bahan'!$B$5:$B$200,MATCH($A250,'Harga Bahan'!$A$5:$A$200,0)),INDEX('Harga Upah'!$B$5:$B$200,MATCH($A250,'Harga Upah'!$A$5:$A$200,0)))</f>
        <v>Tukang kayu</v>
      </c>
      <c r="C250" s="31" t="str">
        <f aca="false">IF(LEFT($A250,1)="B",INDEX('Harga Bahan'!$C$5:$C$200,MATCH($A250,'Harga Bahan'!$A$5:$A$200,0)),INDEX('Harga Upah'!$C$5:$C$200,MATCH($A250,'Harga Upah'!$A$5:$A$200,0)))</f>
        <v>OH</v>
      </c>
      <c r="D250" s="37" t="n">
        <v>0.6</v>
      </c>
      <c r="E250" s="17" t="n">
        <f aca="false">IF(LEFT($A250,1)="B",INDEX('Harga Bahan'!$D$5:$D$200,MATCH($A250,'Harga Bahan'!$A$5:$A$200,0)),INDEX('Harga Upah'!$D$5:$D$200,MATCH($A250,'Harga Upah'!$A$5:$A$200,0)))</f>
        <v>190000</v>
      </c>
      <c r="F250" s="27" t="n">
        <f aca="false">D250*E250</f>
        <v>114000</v>
      </c>
      <c r="G250" s="23" t="s">
        <v>181</v>
      </c>
    </row>
    <row r="251" customFormat="false" ht="15" hidden="false" customHeight="false" outlineLevel="0" collapsed="false">
      <c r="A251" s="16" t="s">
        <v>183</v>
      </c>
      <c r="B251" s="29" t="str">
        <f aca="false">IF(LEFT($A251,1)="B",INDEX('Harga Bahan'!$B$5:$B$200,MATCH($A251,'Harga Bahan'!$A$5:$A$200,0)),INDEX('Harga Upah'!$B$5:$B$200,MATCH($A251,'Harga Upah'!$A$5:$A$200,0)))</f>
        <v>Kepala tukang</v>
      </c>
      <c r="C251" s="31" t="str">
        <f aca="false">IF(LEFT($A251,1)="B",INDEX('Harga Bahan'!$C$5:$C$200,MATCH($A251,'Harga Bahan'!$A$5:$A$200,0)),INDEX('Harga Upah'!$C$5:$C$200,MATCH($A251,'Harga Upah'!$A$5:$A$200,0)))</f>
        <v>OH</v>
      </c>
      <c r="D251" s="37" t="n">
        <v>0.06</v>
      </c>
      <c r="E251" s="17" t="n">
        <f aca="false">IF(LEFT($A251,1)="B",INDEX('Harga Bahan'!$D$5:$D$200,MATCH($A251,'Harga Bahan'!$A$5:$A$200,0)),INDEX('Harga Upah'!$D$5:$D$200,MATCH($A251,'Harga Upah'!$A$5:$A$200,0)))</f>
        <v>210000</v>
      </c>
      <c r="F251" s="27" t="n">
        <f aca="false">D251*E251</f>
        <v>12600</v>
      </c>
      <c r="G251" s="23" t="s">
        <v>181</v>
      </c>
    </row>
    <row r="252" customFormat="false" ht="15" hidden="false" customHeight="false" outlineLevel="0" collapsed="false">
      <c r="A252" s="16" t="s">
        <v>184</v>
      </c>
      <c r="B252" s="29" t="str">
        <f aca="false">IF(LEFT($A252,1)="B",INDEX('Harga Bahan'!$B$5:$B$200,MATCH($A252,'Harga Bahan'!$A$5:$A$200,0)),INDEX('Harga Upah'!$B$5:$B$200,MATCH($A252,'Harga Upah'!$A$5:$A$200,0)))</f>
        <v>Mandor</v>
      </c>
      <c r="C252" s="31" t="str">
        <f aca="false">IF(LEFT($A252,1)="B",INDEX('Harga Bahan'!$C$5:$C$200,MATCH($A252,'Harga Bahan'!$A$5:$A$200,0)),INDEX('Harga Upah'!$C$5:$C$200,MATCH($A252,'Harga Upah'!$A$5:$A$200,0)))</f>
        <v>OH</v>
      </c>
      <c r="D252" s="37" t="n">
        <v>0.03</v>
      </c>
      <c r="E252" s="17" t="n">
        <f aca="false">IF(LEFT($A252,1)="B",INDEX('Harga Bahan'!$D$5:$D$200,MATCH($A252,'Harga Bahan'!$A$5:$A$200,0)),INDEX('Harga Upah'!$D$5:$D$200,MATCH($A252,'Harga Upah'!$A$5:$A$200,0)))</f>
        <v>225000</v>
      </c>
      <c r="F252" s="27" t="n">
        <f aca="false">D252*E252</f>
        <v>6750</v>
      </c>
      <c r="G252" s="23" t="s">
        <v>181</v>
      </c>
    </row>
    <row r="253" customFormat="false" ht="15" hidden="false" customHeight="false" outlineLevel="0" collapsed="false">
      <c r="A253" s="32"/>
      <c r="B253" s="32" t="s">
        <v>185</v>
      </c>
      <c r="C253" s="32"/>
      <c r="D253" s="32"/>
      <c r="E253" s="32"/>
      <c r="F253" s="38" t="n">
        <f aca="false">SUMIF(G248:G252,"Bahan",F248:F252)</f>
        <v>2100000</v>
      </c>
      <c r="G253" s="32"/>
    </row>
    <row r="254" customFormat="false" ht="15" hidden="false" customHeight="false" outlineLevel="0" collapsed="false">
      <c r="A254" s="32"/>
      <c r="B254" s="32" t="s">
        <v>186</v>
      </c>
      <c r="C254" s="32"/>
      <c r="D254" s="32"/>
      <c r="E254" s="32"/>
      <c r="F254" s="38" t="n">
        <f aca="false">SUMIF(G248:G252,"Upah",F248:F252)</f>
        <v>178350</v>
      </c>
      <c r="G254" s="32"/>
    </row>
    <row r="255" customFormat="false" ht="15" hidden="false" customHeight="false" outlineLevel="0" collapsed="false">
      <c r="A255" s="32"/>
      <c r="B255" s="32" t="str">
        <f aca="false">"Overhead &amp; profit ("&amp;TEXT('Informasi Project'!$B$17,"0.0%")&amp;")"</f>
        <v>Overhead &amp; profit (15.0%)</v>
      </c>
      <c r="C255" s="32"/>
      <c r="D255" s="32"/>
      <c r="E255" s="32"/>
      <c r="F255" s="38" t="n">
        <f aca="false">(F253+F254)*'Informasi Project'!$B$17</f>
        <v>341752.5</v>
      </c>
      <c r="G255" s="32"/>
    </row>
    <row r="256" customFormat="false" ht="15" hidden="false" customHeight="false" outlineLevel="0" collapsed="false">
      <c r="A256" s="19"/>
      <c r="B256" s="3" t="s">
        <v>187</v>
      </c>
      <c r="C256" s="19"/>
      <c r="D256" s="19"/>
      <c r="E256" s="19"/>
      <c r="F256" s="20" t="n">
        <f aca="false">F253+F254+F255</f>
        <v>2620102.5</v>
      </c>
      <c r="G256" s="19"/>
    </row>
    <row r="258" customFormat="false" ht="15" hidden="false" customHeight="false" outlineLevel="0" collapsed="false">
      <c r="A258" s="3" t="s">
        <v>138</v>
      </c>
      <c r="B258" s="3" t="s">
        <v>236</v>
      </c>
      <c r="C258" s="3" t="s">
        <v>189</v>
      </c>
      <c r="D258" s="3"/>
      <c r="E258" s="36" t="s">
        <v>175</v>
      </c>
      <c r="F258" s="20" t="n">
        <f aca="false">F267</f>
        <v>1229235</v>
      </c>
      <c r="G258" s="3"/>
    </row>
    <row r="259" customFormat="false" ht="15" hidden="false" customHeight="false" outlineLevel="0" collapsed="false">
      <c r="A259" s="16" t="s">
        <v>237</v>
      </c>
      <c r="B259" s="29" t="str">
        <f aca="false">IF(LEFT($A259,1)="B",INDEX('Harga Bahan'!$B$5:$B$200,MATCH($A259,'Harga Bahan'!$A$5:$A$200,0)),INDEX('Harga Upah'!$B$5:$B$200,MATCH($A259,'Harga Upah'!$A$5:$A$200,0)))</f>
        <v>Jendela aluminium + kaca 5 mm</v>
      </c>
      <c r="C259" s="31" t="str">
        <f aca="false">IF(LEFT($A259,1)="B",INDEX('Harga Bahan'!$C$5:$C$200,MATCH($A259,'Harga Bahan'!$A$5:$A$200,0)),INDEX('Harga Upah'!$C$5:$C$200,MATCH($A259,'Harga Upah'!$A$5:$A$200,0)))</f>
        <v>m²</v>
      </c>
      <c r="D259" s="37" t="n">
        <v>1</v>
      </c>
      <c r="E259" s="17" t="n">
        <f aca="false">IF(LEFT($A259,1)="B",INDEX('Harga Bahan'!$D$5:$D$200,MATCH($A259,'Harga Bahan'!$A$5:$A$200,0)),INDEX('Harga Upah'!$D$5:$D$200,MATCH($A259,'Harga Upah'!$A$5:$A$200,0)))</f>
        <v>950000</v>
      </c>
      <c r="F259" s="27" t="n">
        <f aca="false">D259*E259</f>
        <v>950000</v>
      </c>
      <c r="G259" s="23" t="s">
        <v>177</v>
      </c>
    </row>
    <row r="260" customFormat="false" ht="15" hidden="false" customHeight="false" outlineLevel="0" collapsed="false">
      <c r="A260" s="16" t="s">
        <v>180</v>
      </c>
      <c r="B260" s="29" t="str">
        <f aca="false">IF(LEFT($A260,1)="B",INDEX('Harga Bahan'!$B$5:$B$200,MATCH($A260,'Harga Bahan'!$A$5:$A$200,0)),INDEX('Harga Upah'!$B$5:$B$200,MATCH($A260,'Harga Upah'!$A$5:$A$200,0)))</f>
        <v>Pekerja</v>
      </c>
      <c r="C260" s="31" t="str">
        <f aca="false">IF(LEFT($A260,1)="B",INDEX('Harga Bahan'!$C$5:$C$200,MATCH($A260,'Harga Bahan'!$A$5:$A$200,0)),INDEX('Harga Upah'!$C$5:$C$200,MATCH($A260,'Harga Upah'!$A$5:$A$200,0)))</f>
        <v>OH</v>
      </c>
      <c r="D260" s="37" t="n">
        <v>0.2</v>
      </c>
      <c r="E260" s="17" t="n">
        <f aca="false">IF(LEFT($A260,1)="B",INDEX('Harga Bahan'!$D$5:$D$200,MATCH($A260,'Harga Bahan'!$A$5:$A$200,0)),INDEX('Harga Upah'!$D$5:$D$200,MATCH($A260,'Harga Upah'!$A$5:$A$200,0)))</f>
        <v>150000</v>
      </c>
      <c r="F260" s="27" t="n">
        <f aca="false">D260*E260</f>
        <v>30000</v>
      </c>
      <c r="G260" s="23" t="s">
        <v>181</v>
      </c>
    </row>
    <row r="261" customFormat="false" ht="15" hidden="false" customHeight="false" outlineLevel="0" collapsed="false">
      <c r="A261" s="16" t="s">
        <v>182</v>
      </c>
      <c r="B261" s="29" t="str">
        <f aca="false">IF(LEFT($A261,1)="B",INDEX('Harga Bahan'!$B$5:$B$200,MATCH($A261,'Harga Bahan'!$A$5:$A$200,0)),INDEX('Harga Upah'!$B$5:$B$200,MATCH($A261,'Harga Upah'!$A$5:$A$200,0)))</f>
        <v>Tukang kayu</v>
      </c>
      <c r="C261" s="31" t="str">
        <f aca="false">IF(LEFT($A261,1)="B",INDEX('Harga Bahan'!$C$5:$C$200,MATCH($A261,'Harga Bahan'!$A$5:$A$200,0)),INDEX('Harga Upah'!$C$5:$C$200,MATCH($A261,'Harga Upah'!$A$5:$A$200,0)))</f>
        <v>OH</v>
      </c>
      <c r="D261" s="37" t="n">
        <v>0.4</v>
      </c>
      <c r="E261" s="17" t="n">
        <f aca="false">IF(LEFT($A261,1)="B",INDEX('Harga Bahan'!$D$5:$D$200,MATCH($A261,'Harga Bahan'!$A$5:$A$200,0)),INDEX('Harga Upah'!$D$5:$D$200,MATCH($A261,'Harga Upah'!$A$5:$A$200,0)))</f>
        <v>190000</v>
      </c>
      <c r="F261" s="27" t="n">
        <f aca="false">D261*E261</f>
        <v>76000</v>
      </c>
      <c r="G261" s="23" t="s">
        <v>181</v>
      </c>
    </row>
    <row r="262" customFormat="false" ht="15" hidden="false" customHeight="false" outlineLevel="0" collapsed="false">
      <c r="A262" s="16" t="s">
        <v>183</v>
      </c>
      <c r="B262" s="29" t="str">
        <f aca="false">IF(LEFT($A262,1)="B",INDEX('Harga Bahan'!$B$5:$B$200,MATCH($A262,'Harga Bahan'!$A$5:$A$200,0)),INDEX('Harga Upah'!$B$5:$B$200,MATCH($A262,'Harga Upah'!$A$5:$A$200,0)))</f>
        <v>Kepala tukang</v>
      </c>
      <c r="C262" s="31" t="str">
        <f aca="false">IF(LEFT($A262,1)="B",INDEX('Harga Bahan'!$C$5:$C$200,MATCH($A262,'Harga Bahan'!$A$5:$A$200,0)),INDEX('Harga Upah'!$C$5:$C$200,MATCH($A262,'Harga Upah'!$A$5:$A$200,0)))</f>
        <v>OH</v>
      </c>
      <c r="D262" s="37" t="n">
        <v>0.04</v>
      </c>
      <c r="E262" s="17" t="n">
        <f aca="false">IF(LEFT($A262,1)="B",INDEX('Harga Bahan'!$D$5:$D$200,MATCH($A262,'Harga Bahan'!$A$5:$A$200,0)),INDEX('Harga Upah'!$D$5:$D$200,MATCH($A262,'Harga Upah'!$A$5:$A$200,0)))</f>
        <v>210000</v>
      </c>
      <c r="F262" s="27" t="n">
        <f aca="false">D262*E262</f>
        <v>8400</v>
      </c>
      <c r="G262" s="23" t="s">
        <v>181</v>
      </c>
    </row>
    <row r="263" customFormat="false" ht="15" hidden="false" customHeight="false" outlineLevel="0" collapsed="false">
      <c r="A263" s="16" t="s">
        <v>184</v>
      </c>
      <c r="B263" s="29" t="str">
        <f aca="false">IF(LEFT($A263,1)="B",INDEX('Harga Bahan'!$B$5:$B$200,MATCH($A263,'Harga Bahan'!$A$5:$A$200,0)),INDEX('Harga Upah'!$B$5:$B$200,MATCH($A263,'Harga Upah'!$A$5:$A$200,0)))</f>
        <v>Mandor</v>
      </c>
      <c r="C263" s="31" t="str">
        <f aca="false">IF(LEFT($A263,1)="B",INDEX('Harga Bahan'!$C$5:$C$200,MATCH($A263,'Harga Bahan'!$A$5:$A$200,0)),INDEX('Harga Upah'!$C$5:$C$200,MATCH($A263,'Harga Upah'!$A$5:$A$200,0)))</f>
        <v>OH</v>
      </c>
      <c r="D263" s="37" t="n">
        <v>0.02</v>
      </c>
      <c r="E263" s="17" t="n">
        <f aca="false">IF(LEFT($A263,1)="B",INDEX('Harga Bahan'!$D$5:$D$200,MATCH($A263,'Harga Bahan'!$A$5:$A$200,0)),INDEX('Harga Upah'!$D$5:$D$200,MATCH($A263,'Harga Upah'!$A$5:$A$200,0)))</f>
        <v>225000</v>
      </c>
      <c r="F263" s="27" t="n">
        <f aca="false">D263*E263</f>
        <v>4500</v>
      </c>
      <c r="G263" s="23" t="s">
        <v>181</v>
      </c>
    </row>
    <row r="264" customFormat="false" ht="15" hidden="false" customHeight="false" outlineLevel="0" collapsed="false">
      <c r="A264" s="32"/>
      <c r="B264" s="32" t="s">
        <v>185</v>
      </c>
      <c r="C264" s="32"/>
      <c r="D264" s="32"/>
      <c r="E264" s="32"/>
      <c r="F264" s="38" t="n">
        <f aca="false">SUMIF(G259:G263,"Bahan",F259:F263)</f>
        <v>950000</v>
      </c>
      <c r="G264" s="32"/>
    </row>
    <row r="265" customFormat="false" ht="15" hidden="false" customHeight="false" outlineLevel="0" collapsed="false">
      <c r="A265" s="32"/>
      <c r="B265" s="32" t="s">
        <v>186</v>
      </c>
      <c r="C265" s="32"/>
      <c r="D265" s="32"/>
      <c r="E265" s="32"/>
      <c r="F265" s="38" t="n">
        <f aca="false">SUMIF(G259:G263,"Upah",F259:F263)</f>
        <v>118900</v>
      </c>
      <c r="G265" s="32"/>
    </row>
    <row r="266" customFormat="false" ht="15" hidden="false" customHeight="false" outlineLevel="0" collapsed="false">
      <c r="A266" s="32"/>
      <c r="B266" s="32" t="str">
        <f aca="false">"Overhead &amp; profit ("&amp;TEXT('Informasi Project'!$B$17,"0.0%")&amp;")"</f>
        <v>Overhead &amp; profit (15.0%)</v>
      </c>
      <c r="C266" s="32"/>
      <c r="D266" s="32"/>
      <c r="E266" s="32"/>
      <c r="F266" s="38" t="n">
        <f aca="false">(F264+F265)*'Informasi Project'!$B$17</f>
        <v>160335</v>
      </c>
      <c r="G266" s="32"/>
    </row>
    <row r="267" customFormat="false" ht="15" hidden="false" customHeight="false" outlineLevel="0" collapsed="false">
      <c r="A267" s="19"/>
      <c r="B267" s="3" t="s">
        <v>187</v>
      </c>
      <c r="C267" s="19"/>
      <c r="D267" s="19"/>
      <c r="E267" s="19"/>
      <c r="F267" s="20" t="n">
        <f aca="false">F264+F265+F266</f>
        <v>1229235</v>
      </c>
      <c r="G267" s="19"/>
    </row>
    <row r="269" customFormat="false" ht="15" hidden="false" customHeight="false" outlineLevel="0" collapsed="false">
      <c r="A269" s="3" t="s">
        <v>141</v>
      </c>
      <c r="B269" s="3" t="s">
        <v>238</v>
      </c>
      <c r="C269" s="3" t="s">
        <v>189</v>
      </c>
      <c r="D269" s="3"/>
      <c r="E269" s="36" t="s">
        <v>175</v>
      </c>
      <c r="F269" s="20" t="n">
        <f aca="false">F280</f>
        <v>44625.75</v>
      </c>
      <c r="G269" s="3"/>
    </row>
    <row r="270" customFormat="false" ht="15" hidden="false" customHeight="false" outlineLevel="0" collapsed="false">
      <c r="A270" s="16" t="s">
        <v>239</v>
      </c>
      <c r="B270" s="29" t="str">
        <f aca="false">IF(LEFT($A270,1)="B",INDEX('Harga Bahan'!$B$5:$B$200,MATCH($A270,'Harga Bahan'!$A$5:$A$200,0)),INDEX('Harga Upah'!$B$5:$B$200,MATCH($A270,'Harga Upah'!$A$5:$A$200,0)))</f>
        <v>Plamir tembok</v>
      </c>
      <c r="C270" s="31" t="str">
        <f aca="false">IF(LEFT($A270,1)="B",INDEX('Harga Bahan'!$C$5:$C$200,MATCH($A270,'Harga Bahan'!$A$5:$A$200,0)),INDEX('Harga Upah'!$C$5:$C$200,MATCH($A270,'Harga Upah'!$A$5:$A$200,0)))</f>
        <v>kg</v>
      </c>
      <c r="D270" s="37" t="n">
        <v>0.1</v>
      </c>
      <c r="E270" s="17" t="n">
        <f aca="false">IF(LEFT($A270,1)="B",INDEX('Harga Bahan'!$D$5:$D$200,MATCH($A270,'Harga Bahan'!$A$5:$A$200,0)),INDEX('Harga Upah'!$D$5:$D$200,MATCH($A270,'Harga Upah'!$A$5:$A$200,0)))</f>
        <v>28000</v>
      </c>
      <c r="F270" s="27" t="n">
        <f aca="false">D270*E270</f>
        <v>2800</v>
      </c>
      <c r="G270" s="23" t="s">
        <v>177</v>
      </c>
    </row>
    <row r="271" customFormat="false" ht="15" hidden="false" customHeight="false" outlineLevel="0" collapsed="false">
      <c r="A271" s="16" t="s">
        <v>240</v>
      </c>
      <c r="B271" s="29" t="str">
        <f aca="false">IF(LEFT($A271,1)="B",INDEX('Harga Bahan'!$B$5:$B$200,MATCH($A271,'Harga Bahan'!$A$5:$A$200,0)),INDEX('Harga Upah'!$B$5:$B$200,MATCH($A271,'Harga Upah'!$A$5:$A$200,0)))</f>
        <v>Cat dasar (sealer)</v>
      </c>
      <c r="C271" s="31" t="str">
        <f aca="false">IF(LEFT($A271,1)="B",INDEX('Harga Bahan'!$C$5:$C$200,MATCH($A271,'Harga Bahan'!$A$5:$A$200,0)),INDEX('Harga Upah'!$C$5:$C$200,MATCH($A271,'Harga Upah'!$A$5:$A$200,0)))</f>
        <v>kg</v>
      </c>
      <c r="D271" s="37" t="n">
        <v>0.1</v>
      </c>
      <c r="E271" s="17" t="n">
        <f aca="false">IF(LEFT($A271,1)="B",INDEX('Harga Bahan'!$D$5:$D$200,MATCH($A271,'Harga Bahan'!$A$5:$A$200,0)),INDEX('Harga Upah'!$D$5:$D$200,MATCH($A271,'Harga Upah'!$A$5:$A$200,0)))</f>
        <v>48000</v>
      </c>
      <c r="F271" s="27" t="n">
        <f aca="false">D271*E271</f>
        <v>4800</v>
      </c>
      <c r="G271" s="23" t="s">
        <v>177</v>
      </c>
    </row>
    <row r="272" customFormat="false" ht="15" hidden="false" customHeight="false" outlineLevel="0" collapsed="false">
      <c r="A272" s="16" t="s">
        <v>241</v>
      </c>
      <c r="B272" s="29" t="str">
        <f aca="false">IF(LEFT($A272,1)="B",INDEX('Harga Bahan'!$B$5:$B$200,MATCH($A272,'Harga Bahan'!$A$5:$A$200,0)),INDEX('Harga Upah'!$B$5:$B$200,MATCH($A272,'Harga Upah'!$A$5:$A$200,0)))</f>
        <v>Cat tembok (penutup)</v>
      </c>
      <c r="C272" s="31" t="str">
        <f aca="false">IF(LEFT($A272,1)="B",INDEX('Harga Bahan'!$C$5:$C$200,MATCH($A272,'Harga Bahan'!$A$5:$A$200,0)),INDEX('Harga Upah'!$C$5:$C$200,MATCH($A272,'Harga Upah'!$A$5:$A$200,0)))</f>
        <v>kg</v>
      </c>
      <c r="D272" s="37" t="n">
        <v>0.26</v>
      </c>
      <c r="E272" s="17" t="n">
        <f aca="false">IF(LEFT($A272,1)="B",INDEX('Harga Bahan'!$D$5:$D$200,MATCH($A272,'Harga Bahan'!$A$5:$A$200,0)),INDEX('Harga Upah'!$D$5:$D$200,MATCH($A272,'Harga Upah'!$A$5:$A$200,0)))</f>
        <v>55000</v>
      </c>
      <c r="F272" s="27" t="n">
        <f aca="false">D272*E272</f>
        <v>14300</v>
      </c>
      <c r="G272" s="23" t="s">
        <v>177</v>
      </c>
    </row>
    <row r="273" customFormat="false" ht="15" hidden="false" customHeight="false" outlineLevel="0" collapsed="false">
      <c r="A273" s="16" t="s">
        <v>180</v>
      </c>
      <c r="B273" s="29" t="str">
        <f aca="false">IF(LEFT($A273,1)="B",INDEX('Harga Bahan'!$B$5:$B$200,MATCH($A273,'Harga Bahan'!$A$5:$A$200,0)),INDEX('Harga Upah'!$B$5:$B$200,MATCH($A273,'Harga Upah'!$A$5:$A$200,0)))</f>
        <v>Pekerja</v>
      </c>
      <c r="C273" s="31" t="str">
        <f aca="false">IF(LEFT($A273,1)="B",INDEX('Harga Bahan'!$C$5:$C$200,MATCH($A273,'Harga Bahan'!$A$5:$A$200,0)),INDEX('Harga Upah'!$C$5:$C$200,MATCH($A273,'Harga Upah'!$A$5:$A$200,0)))</f>
        <v>OH</v>
      </c>
      <c r="D273" s="37" t="n">
        <v>0.02</v>
      </c>
      <c r="E273" s="17" t="n">
        <f aca="false">IF(LEFT($A273,1)="B",INDEX('Harga Bahan'!$D$5:$D$200,MATCH($A273,'Harga Bahan'!$A$5:$A$200,0)),INDEX('Harga Upah'!$D$5:$D$200,MATCH($A273,'Harga Upah'!$A$5:$A$200,0)))</f>
        <v>150000</v>
      </c>
      <c r="F273" s="27" t="n">
        <f aca="false">D273*E273</f>
        <v>3000</v>
      </c>
      <c r="G273" s="23" t="s">
        <v>181</v>
      </c>
    </row>
    <row r="274" customFormat="false" ht="15" hidden="false" customHeight="false" outlineLevel="0" collapsed="false">
      <c r="A274" s="16" t="s">
        <v>242</v>
      </c>
      <c r="B274" s="29" t="str">
        <f aca="false">IF(LEFT($A274,1)="B",INDEX('Harga Bahan'!$B$5:$B$200,MATCH($A274,'Harga Bahan'!$A$5:$A$200,0)),INDEX('Harga Upah'!$B$5:$B$200,MATCH($A274,'Harga Upah'!$A$5:$A$200,0)))</f>
        <v>Tukang cat</v>
      </c>
      <c r="C274" s="31" t="str">
        <f aca="false">IF(LEFT($A274,1)="B",INDEX('Harga Bahan'!$C$5:$C$200,MATCH($A274,'Harga Bahan'!$A$5:$A$200,0)),INDEX('Harga Upah'!$C$5:$C$200,MATCH($A274,'Harga Upah'!$A$5:$A$200,0)))</f>
        <v>OH</v>
      </c>
      <c r="D274" s="37" t="n">
        <v>0.063</v>
      </c>
      <c r="E274" s="17" t="n">
        <f aca="false">IF(LEFT($A274,1)="B",INDEX('Harga Bahan'!$D$5:$D$200,MATCH($A274,'Harga Bahan'!$A$5:$A$200,0)),INDEX('Harga Upah'!$D$5:$D$200,MATCH($A274,'Harga Upah'!$A$5:$A$200,0)))</f>
        <v>190000</v>
      </c>
      <c r="F274" s="27" t="n">
        <f aca="false">D274*E274</f>
        <v>11970</v>
      </c>
      <c r="G274" s="23" t="s">
        <v>181</v>
      </c>
    </row>
    <row r="275" customFormat="false" ht="15" hidden="false" customHeight="false" outlineLevel="0" collapsed="false">
      <c r="A275" s="16" t="s">
        <v>183</v>
      </c>
      <c r="B275" s="29" t="str">
        <f aca="false">IF(LEFT($A275,1)="B",INDEX('Harga Bahan'!$B$5:$B$200,MATCH($A275,'Harga Bahan'!$A$5:$A$200,0)),INDEX('Harga Upah'!$B$5:$B$200,MATCH($A275,'Harga Upah'!$A$5:$A$200,0)))</f>
        <v>Kepala tukang</v>
      </c>
      <c r="C275" s="31" t="str">
        <f aca="false">IF(LEFT($A275,1)="B",INDEX('Harga Bahan'!$C$5:$C$200,MATCH($A275,'Harga Bahan'!$A$5:$A$200,0)),INDEX('Harga Upah'!$C$5:$C$200,MATCH($A275,'Harga Upah'!$A$5:$A$200,0)))</f>
        <v>OH</v>
      </c>
      <c r="D275" s="37" t="n">
        <v>0.006</v>
      </c>
      <c r="E275" s="17" t="n">
        <f aca="false">IF(LEFT($A275,1)="B",INDEX('Harga Bahan'!$D$5:$D$200,MATCH($A275,'Harga Bahan'!$A$5:$A$200,0)),INDEX('Harga Upah'!$D$5:$D$200,MATCH($A275,'Harga Upah'!$A$5:$A$200,0)))</f>
        <v>210000</v>
      </c>
      <c r="F275" s="27" t="n">
        <f aca="false">D275*E275</f>
        <v>1260</v>
      </c>
      <c r="G275" s="23" t="s">
        <v>181</v>
      </c>
    </row>
    <row r="276" customFormat="false" ht="15" hidden="false" customHeight="false" outlineLevel="0" collapsed="false">
      <c r="A276" s="16" t="s">
        <v>184</v>
      </c>
      <c r="B276" s="29" t="str">
        <f aca="false">IF(LEFT($A276,1)="B",INDEX('Harga Bahan'!$B$5:$B$200,MATCH($A276,'Harga Bahan'!$A$5:$A$200,0)),INDEX('Harga Upah'!$B$5:$B$200,MATCH($A276,'Harga Upah'!$A$5:$A$200,0)))</f>
        <v>Mandor</v>
      </c>
      <c r="C276" s="31" t="str">
        <f aca="false">IF(LEFT($A276,1)="B",INDEX('Harga Bahan'!$C$5:$C$200,MATCH($A276,'Harga Bahan'!$A$5:$A$200,0)),INDEX('Harga Upah'!$C$5:$C$200,MATCH($A276,'Harga Upah'!$A$5:$A$200,0)))</f>
        <v>OH</v>
      </c>
      <c r="D276" s="37" t="n">
        <v>0.003</v>
      </c>
      <c r="E276" s="17" t="n">
        <f aca="false">IF(LEFT($A276,1)="B",INDEX('Harga Bahan'!$D$5:$D$200,MATCH($A276,'Harga Bahan'!$A$5:$A$200,0)),INDEX('Harga Upah'!$D$5:$D$200,MATCH($A276,'Harga Upah'!$A$5:$A$200,0)))</f>
        <v>225000</v>
      </c>
      <c r="F276" s="27" t="n">
        <f aca="false">D276*E276</f>
        <v>675</v>
      </c>
      <c r="G276" s="23" t="s">
        <v>181</v>
      </c>
    </row>
    <row r="277" customFormat="false" ht="15" hidden="false" customHeight="false" outlineLevel="0" collapsed="false">
      <c r="A277" s="32"/>
      <c r="B277" s="32" t="s">
        <v>185</v>
      </c>
      <c r="C277" s="32"/>
      <c r="D277" s="32"/>
      <c r="E277" s="32"/>
      <c r="F277" s="38" t="n">
        <f aca="false">SUMIF(G270:G276,"Bahan",F270:F276)</f>
        <v>21900</v>
      </c>
      <c r="G277" s="32"/>
    </row>
    <row r="278" customFormat="false" ht="15" hidden="false" customHeight="false" outlineLevel="0" collapsed="false">
      <c r="A278" s="32"/>
      <c r="B278" s="32" t="s">
        <v>186</v>
      </c>
      <c r="C278" s="32"/>
      <c r="D278" s="32"/>
      <c r="E278" s="32"/>
      <c r="F278" s="38" t="n">
        <f aca="false">SUMIF(G270:G276,"Upah",F270:F276)</f>
        <v>16905</v>
      </c>
      <c r="G278" s="32"/>
    </row>
    <row r="279" customFormat="false" ht="15" hidden="false" customHeight="false" outlineLevel="0" collapsed="false">
      <c r="A279" s="32"/>
      <c r="B279" s="32" t="str">
        <f aca="false">"Overhead &amp; profit ("&amp;TEXT('Informasi Project'!$B$17,"0.0%")&amp;")"</f>
        <v>Overhead &amp; profit (15.0%)</v>
      </c>
      <c r="C279" s="32"/>
      <c r="D279" s="32"/>
      <c r="E279" s="32"/>
      <c r="F279" s="38" t="n">
        <f aca="false">(F277+F278)*'Informasi Project'!$B$17</f>
        <v>5820.75</v>
      </c>
      <c r="G279" s="32"/>
    </row>
    <row r="280" customFormat="false" ht="15" hidden="false" customHeight="false" outlineLevel="0" collapsed="false">
      <c r="A280" s="19"/>
      <c r="B280" s="3" t="s">
        <v>187</v>
      </c>
      <c r="C280" s="19"/>
      <c r="D280" s="19"/>
      <c r="E280" s="19"/>
      <c r="F280" s="20" t="n">
        <f aca="false">F277+F278+F279</f>
        <v>44625.75</v>
      </c>
      <c r="G280" s="19"/>
    </row>
    <row r="282" customFormat="false" ht="15" hidden="false" customHeight="false" outlineLevel="0" collapsed="false">
      <c r="A282" s="3" t="s">
        <v>143</v>
      </c>
      <c r="B282" s="3" t="s">
        <v>243</v>
      </c>
      <c r="C282" s="3" t="s">
        <v>189</v>
      </c>
      <c r="D282" s="3"/>
      <c r="E282" s="36" t="s">
        <v>175</v>
      </c>
      <c r="F282" s="20" t="n">
        <f aca="false">F293</f>
        <v>44625.75</v>
      </c>
      <c r="G282" s="3"/>
    </row>
    <row r="283" customFormat="false" ht="15" hidden="false" customHeight="false" outlineLevel="0" collapsed="false">
      <c r="A283" s="16" t="s">
        <v>239</v>
      </c>
      <c r="B283" s="29" t="str">
        <f aca="false">IF(LEFT($A283,1)="B",INDEX('Harga Bahan'!$B$5:$B$200,MATCH($A283,'Harga Bahan'!$A$5:$A$200,0)),INDEX('Harga Upah'!$B$5:$B$200,MATCH($A283,'Harga Upah'!$A$5:$A$200,0)))</f>
        <v>Plamir tembok</v>
      </c>
      <c r="C283" s="31" t="str">
        <f aca="false">IF(LEFT($A283,1)="B",INDEX('Harga Bahan'!$C$5:$C$200,MATCH($A283,'Harga Bahan'!$A$5:$A$200,0)),INDEX('Harga Upah'!$C$5:$C$200,MATCH($A283,'Harga Upah'!$A$5:$A$200,0)))</f>
        <v>kg</v>
      </c>
      <c r="D283" s="37" t="n">
        <v>0.1</v>
      </c>
      <c r="E283" s="17" t="n">
        <f aca="false">IF(LEFT($A283,1)="B",INDEX('Harga Bahan'!$D$5:$D$200,MATCH($A283,'Harga Bahan'!$A$5:$A$200,0)),INDEX('Harga Upah'!$D$5:$D$200,MATCH($A283,'Harga Upah'!$A$5:$A$200,0)))</f>
        <v>28000</v>
      </c>
      <c r="F283" s="27" t="n">
        <f aca="false">D283*E283</f>
        <v>2800</v>
      </c>
      <c r="G283" s="23" t="s">
        <v>177</v>
      </c>
    </row>
    <row r="284" customFormat="false" ht="15" hidden="false" customHeight="false" outlineLevel="0" collapsed="false">
      <c r="A284" s="16" t="s">
        <v>240</v>
      </c>
      <c r="B284" s="29" t="str">
        <f aca="false">IF(LEFT($A284,1)="B",INDEX('Harga Bahan'!$B$5:$B$200,MATCH($A284,'Harga Bahan'!$A$5:$A$200,0)),INDEX('Harga Upah'!$B$5:$B$200,MATCH($A284,'Harga Upah'!$A$5:$A$200,0)))</f>
        <v>Cat dasar (sealer)</v>
      </c>
      <c r="C284" s="31" t="str">
        <f aca="false">IF(LEFT($A284,1)="B",INDEX('Harga Bahan'!$C$5:$C$200,MATCH($A284,'Harga Bahan'!$A$5:$A$200,0)),INDEX('Harga Upah'!$C$5:$C$200,MATCH($A284,'Harga Upah'!$A$5:$A$200,0)))</f>
        <v>kg</v>
      </c>
      <c r="D284" s="37" t="n">
        <v>0.1</v>
      </c>
      <c r="E284" s="17" t="n">
        <f aca="false">IF(LEFT($A284,1)="B",INDEX('Harga Bahan'!$D$5:$D$200,MATCH($A284,'Harga Bahan'!$A$5:$A$200,0)),INDEX('Harga Upah'!$D$5:$D$200,MATCH($A284,'Harga Upah'!$A$5:$A$200,0)))</f>
        <v>48000</v>
      </c>
      <c r="F284" s="27" t="n">
        <f aca="false">D284*E284</f>
        <v>4800</v>
      </c>
      <c r="G284" s="23" t="s">
        <v>177</v>
      </c>
    </row>
    <row r="285" customFormat="false" ht="15" hidden="false" customHeight="false" outlineLevel="0" collapsed="false">
      <c r="A285" s="16" t="s">
        <v>241</v>
      </c>
      <c r="B285" s="29" t="str">
        <f aca="false">IF(LEFT($A285,1)="B",INDEX('Harga Bahan'!$B$5:$B$200,MATCH($A285,'Harga Bahan'!$A$5:$A$200,0)),INDEX('Harga Upah'!$B$5:$B$200,MATCH($A285,'Harga Upah'!$A$5:$A$200,0)))</f>
        <v>Cat tembok (penutup)</v>
      </c>
      <c r="C285" s="31" t="str">
        <f aca="false">IF(LEFT($A285,1)="B",INDEX('Harga Bahan'!$C$5:$C$200,MATCH($A285,'Harga Bahan'!$A$5:$A$200,0)),INDEX('Harga Upah'!$C$5:$C$200,MATCH($A285,'Harga Upah'!$A$5:$A$200,0)))</f>
        <v>kg</v>
      </c>
      <c r="D285" s="37" t="n">
        <v>0.26</v>
      </c>
      <c r="E285" s="17" t="n">
        <f aca="false">IF(LEFT($A285,1)="B",INDEX('Harga Bahan'!$D$5:$D$200,MATCH($A285,'Harga Bahan'!$A$5:$A$200,0)),INDEX('Harga Upah'!$D$5:$D$200,MATCH($A285,'Harga Upah'!$A$5:$A$200,0)))</f>
        <v>55000</v>
      </c>
      <c r="F285" s="27" t="n">
        <f aca="false">D285*E285</f>
        <v>14300</v>
      </c>
      <c r="G285" s="23" t="s">
        <v>177</v>
      </c>
    </row>
    <row r="286" customFormat="false" ht="15" hidden="false" customHeight="false" outlineLevel="0" collapsed="false">
      <c r="A286" s="16" t="s">
        <v>180</v>
      </c>
      <c r="B286" s="29" t="str">
        <f aca="false">IF(LEFT($A286,1)="B",INDEX('Harga Bahan'!$B$5:$B$200,MATCH($A286,'Harga Bahan'!$A$5:$A$200,0)),INDEX('Harga Upah'!$B$5:$B$200,MATCH($A286,'Harga Upah'!$A$5:$A$200,0)))</f>
        <v>Pekerja</v>
      </c>
      <c r="C286" s="31" t="str">
        <f aca="false">IF(LEFT($A286,1)="B",INDEX('Harga Bahan'!$C$5:$C$200,MATCH($A286,'Harga Bahan'!$A$5:$A$200,0)),INDEX('Harga Upah'!$C$5:$C$200,MATCH($A286,'Harga Upah'!$A$5:$A$200,0)))</f>
        <v>OH</v>
      </c>
      <c r="D286" s="37" t="n">
        <v>0.02</v>
      </c>
      <c r="E286" s="17" t="n">
        <f aca="false">IF(LEFT($A286,1)="B",INDEX('Harga Bahan'!$D$5:$D$200,MATCH($A286,'Harga Bahan'!$A$5:$A$200,0)),INDEX('Harga Upah'!$D$5:$D$200,MATCH($A286,'Harga Upah'!$A$5:$A$200,0)))</f>
        <v>150000</v>
      </c>
      <c r="F286" s="27" t="n">
        <f aca="false">D286*E286</f>
        <v>3000</v>
      </c>
      <c r="G286" s="23" t="s">
        <v>181</v>
      </c>
    </row>
    <row r="287" customFormat="false" ht="15" hidden="false" customHeight="false" outlineLevel="0" collapsed="false">
      <c r="A287" s="16" t="s">
        <v>242</v>
      </c>
      <c r="B287" s="29" t="str">
        <f aca="false">IF(LEFT($A287,1)="B",INDEX('Harga Bahan'!$B$5:$B$200,MATCH($A287,'Harga Bahan'!$A$5:$A$200,0)),INDEX('Harga Upah'!$B$5:$B$200,MATCH($A287,'Harga Upah'!$A$5:$A$200,0)))</f>
        <v>Tukang cat</v>
      </c>
      <c r="C287" s="31" t="str">
        <f aca="false">IF(LEFT($A287,1)="B",INDEX('Harga Bahan'!$C$5:$C$200,MATCH($A287,'Harga Bahan'!$A$5:$A$200,0)),INDEX('Harga Upah'!$C$5:$C$200,MATCH($A287,'Harga Upah'!$A$5:$A$200,0)))</f>
        <v>OH</v>
      </c>
      <c r="D287" s="37" t="n">
        <v>0.063</v>
      </c>
      <c r="E287" s="17" t="n">
        <f aca="false">IF(LEFT($A287,1)="B",INDEX('Harga Bahan'!$D$5:$D$200,MATCH($A287,'Harga Bahan'!$A$5:$A$200,0)),INDEX('Harga Upah'!$D$5:$D$200,MATCH($A287,'Harga Upah'!$A$5:$A$200,0)))</f>
        <v>190000</v>
      </c>
      <c r="F287" s="27" t="n">
        <f aca="false">D287*E287</f>
        <v>11970</v>
      </c>
      <c r="G287" s="23" t="s">
        <v>181</v>
      </c>
    </row>
    <row r="288" customFormat="false" ht="15" hidden="false" customHeight="false" outlineLevel="0" collapsed="false">
      <c r="A288" s="16" t="s">
        <v>183</v>
      </c>
      <c r="B288" s="29" t="str">
        <f aca="false">IF(LEFT($A288,1)="B",INDEX('Harga Bahan'!$B$5:$B$200,MATCH($A288,'Harga Bahan'!$A$5:$A$200,0)),INDEX('Harga Upah'!$B$5:$B$200,MATCH($A288,'Harga Upah'!$A$5:$A$200,0)))</f>
        <v>Kepala tukang</v>
      </c>
      <c r="C288" s="31" t="str">
        <f aca="false">IF(LEFT($A288,1)="B",INDEX('Harga Bahan'!$C$5:$C$200,MATCH($A288,'Harga Bahan'!$A$5:$A$200,0)),INDEX('Harga Upah'!$C$5:$C$200,MATCH($A288,'Harga Upah'!$A$5:$A$200,0)))</f>
        <v>OH</v>
      </c>
      <c r="D288" s="37" t="n">
        <v>0.006</v>
      </c>
      <c r="E288" s="17" t="n">
        <f aca="false">IF(LEFT($A288,1)="B",INDEX('Harga Bahan'!$D$5:$D$200,MATCH($A288,'Harga Bahan'!$A$5:$A$200,0)),INDEX('Harga Upah'!$D$5:$D$200,MATCH($A288,'Harga Upah'!$A$5:$A$200,0)))</f>
        <v>210000</v>
      </c>
      <c r="F288" s="27" t="n">
        <f aca="false">D288*E288</f>
        <v>1260</v>
      </c>
      <c r="G288" s="23" t="s">
        <v>181</v>
      </c>
    </row>
    <row r="289" customFormat="false" ht="15" hidden="false" customHeight="false" outlineLevel="0" collapsed="false">
      <c r="A289" s="16" t="s">
        <v>184</v>
      </c>
      <c r="B289" s="29" t="str">
        <f aca="false">IF(LEFT($A289,1)="B",INDEX('Harga Bahan'!$B$5:$B$200,MATCH($A289,'Harga Bahan'!$A$5:$A$200,0)),INDEX('Harga Upah'!$B$5:$B$200,MATCH($A289,'Harga Upah'!$A$5:$A$200,0)))</f>
        <v>Mandor</v>
      </c>
      <c r="C289" s="31" t="str">
        <f aca="false">IF(LEFT($A289,1)="B",INDEX('Harga Bahan'!$C$5:$C$200,MATCH($A289,'Harga Bahan'!$A$5:$A$200,0)),INDEX('Harga Upah'!$C$5:$C$200,MATCH($A289,'Harga Upah'!$A$5:$A$200,0)))</f>
        <v>OH</v>
      </c>
      <c r="D289" s="37" t="n">
        <v>0.003</v>
      </c>
      <c r="E289" s="17" t="n">
        <f aca="false">IF(LEFT($A289,1)="B",INDEX('Harga Bahan'!$D$5:$D$200,MATCH($A289,'Harga Bahan'!$A$5:$A$200,0)),INDEX('Harga Upah'!$D$5:$D$200,MATCH($A289,'Harga Upah'!$A$5:$A$200,0)))</f>
        <v>225000</v>
      </c>
      <c r="F289" s="27" t="n">
        <f aca="false">D289*E289</f>
        <v>675</v>
      </c>
      <c r="G289" s="23" t="s">
        <v>181</v>
      </c>
    </row>
    <row r="290" customFormat="false" ht="15" hidden="false" customHeight="false" outlineLevel="0" collapsed="false">
      <c r="A290" s="32"/>
      <c r="B290" s="32" t="s">
        <v>185</v>
      </c>
      <c r="C290" s="32"/>
      <c r="D290" s="32"/>
      <c r="E290" s="32"/>
      <c r="F290" s="38" t="n">
        <f aca="false">SUMIF(G283:G289,"Bahan",F283:F289)</f>
        <v>21900</v>
      </c>
      <c r="G290" s="32"/>
    </row>
    <row r="291" customFormat="false" ht="15" hidden="false" customHeight="false" outlineLevel="0" collapsed="false">
      <c r="A291" s="32"/>
      <c r="B291" s="32" t="s">
        <v>186</v>
      </c>
      <c r="C291" s="32"/>
      <c r="D291" s="32"/>
      <c r="E291" s="32"/>
      <c r="F291" s="38" t="n">
        <f aca="false">SUMIF(G283:G289,"Upah",F283:F289)</f>
        <v>16905</v>
      </c>
      <c r="G291" s="32"/>
    </row>
    <row r="292" customFormat="false" ht="15" hidden="false" customHeight="false" outlineLevel="0" collapsed="false">
      <c r="A292" s="32"/>
      <c r="B292" s="32" t="str">
        <f aca="false">"Overhead &amp; profit ("&amp;TEXT('Informasi Project'!$B$17,"0.0%")&amp;")"</f>
        <v>Overhead &amp; profit (15.0%)</v>
      </c>
      <c r="C292" s="32"/>
      <c r="D292" s="32"/>
      <c r="E292" s="32"/>
      <c r="F292" s="38" t="n">
        <f aca="false">(F290+F291)*'Informasi Project'!$B$17</f>
        <v>5820.75</v>
      </c>
      <c r="G292" s="32"/>
    </row>
    <row r="293" customFormat="false" ht="15" hidden="false" customHeight="false" outlineLevel="0" collapsed="false">
      <c r="A293" s="19"/>
      <c r="B293" s="3" t="s">
        <v>187</v>
      </c>
      <c r="C293" s="19"/>
      <c r="D293" s="19"/>
      <c r="E293" s="19"/>
      <c r="F293" s="20" t="n">
        <f aca="false">F290+F291+F292</f>
        <v>44625.75</v>
      </c>
      <c r="G293" s="19"/>
    </row>
    <row r="295" customFormat="false" ht="15" hidden="false" customHeight="false" outlineLevel="0" collapsed="false">
      <c r="A295" s="3" t="s">
        <v>146</v>
      </c>
      <c r="B295" s="3" t="s">
        <v>244</v>
      </c>
      <c r="C295" s="3" t="s">
        <v>234</v>
      </c>
      <c r="D295" s="3"/>
      <c r="E295" s="36" t="s">
        <v>175</v>
      </c>
      <c r="F295" s="20" t="n">
        <f aca="false">F306</f>
        <v>860832.5</v>
      </c>
      <c r="G295" s="3"/>
    </row>
    <row r="296" customFormat="false" ht="15" hidden="false" customHeight="false" outlineLevel="0" collapsed="false">
      <c r="A296" s="16" t="s">
        <v>245</v>
      </c>
      <c r="B296" s="29" t="str">
        <f aca="false">IF(LEFT($A296,1)="B",INDEX('Harga Bahan'!$B$5:$B$200,MATCH($A296,'Harga Bahan'!$A$5:$A$200,0)),INDEX('Harga Upah'!$B$5:$B$200,MATCH($A296,'Harga Upah'!$A$5:$A$200,0)))</f>
        <v>Closet jongkok</v>
      </c>
      <c r="C296" s="31" t="str">
        <f aca="false">IF(LEFT($A296,1)="B",INDEX('Harga Bahan'!$C$5:$C$200,MATCH($A296,'Harga Bahan'!$A$5:$A$200,0)),INDEX('Harga Upah'!$C$5:$C$200,MATCH($A296,'Harga Upah'!$A$5:$A$200,0)))</f>
        <v>bh</v>
      </c>
      <c r="D296" s="37" t="n">
        <v>1</v>
      </c>
      <c r="E296" s="17" t="n">
        <f aca="false">IF(LEFT($A296,1)="B",INDEX('Harga Bahan'!$D$5:$D$200,MATCH($A296,'Harga Bahan'!$A$5:$A$200,0)),INDEX('Harga Upah'!$D$5:$D$200,MATCH($A296,'Harga Upah'!$A$5:$A$200,0)))</f>
        <v>480000</v>
      </c>
      <c r="F296" s="27" t="n">
        <f aca="false">D296*E296</f>
        <v>480000</v>
      </c>
      <c r="G296" s="23" t="s">
        <v>177</v>
      </c>
    </row>
    <row r="297" customFormat="false" ht="15" hidden="false" customHeight="false" outlineLevel="0" collapsed="false">
      <c r="A297" s="16" t="s">
        <v>199</v>
      </c>
      <c r="B297" s="29" t="str">
        <f aca="false">IF(LEFT($A297,1)="B",INDEX('Harga Bahan'!$B$5:$B$200,MATCH($A297,'Harga Bahan'!$A$5:$A$200,0)),INDEX('Harga Upah'!$B$5:$B$200,MATCH($A297,'Harga Upah'!$A$5:$A$200,0)))</f>
        <v>Semen Portland (PC)</v>
      </c>
      <c r="C297" s="31" t="str">
        <f aca="false">IF(LEFT($A297,1)="B",INDEX('Harga Bahan'!$C$5:$C$200,MATCH($A297,'Harga Bahan'!$A$5:$A$200,0)),INDEX('Harga Upah'!$C$5:$C$200,MATCH($A297,'Harga Upah'!$A$5:$A$200,0)))</f>
        <v>kg</v>
      </c>
      <c r="D297" s="37" t="n">
        <v>8</v>
      </c>
      <c r="E297" s="17" t="n">
        <f aca="false">IF(LEFT($A297,1)="B",INDEX('Harga Bahan'!$D$5:$D$200,MATCH($A297,'Harga Bahan'!$A$5:$A$200,0)),INDEX('Harga Upah'!$D$5:$D$200,MATCH($A297,'Harga Upah'!$A$5:$A$200,0)))</f>
        <v>1900</v>
      </c>
      <c r="F297" s="27" t="n">
        <f aca="false">D297*E297</f>
        <v>15200</v>
      </c>
      <c r="G297" s="23" t="s">
        <v>177</v>
      </c>
    </row>
    <row r="298" customFormat="false" ht="15" hidden="false" customHeight="false" outlineLevel="0" collapsed="false">
      <c r="A298" s="16" t="s">
        <v>193</v>
      </c>
      <c r="B298" s="29" t="str">
        <f aca="false">IF(LEFT($A298,1)="B",INDEX('Harga Bahan'!$B$5:$B$200,MATCH($A298,'Harga Bahan'!$A$5:$A$200,0)),INDEX('Harga Upah'!$B$5:$B$200,MATCH($A298,'Harga Upah'!$A$5:$A$200,0)))</f>
        <v>Pasir pasang</v>
      </c>
      <c r="C298" s="31" t="str">
        <f aca="false">IF(LEFT($A298,1)="B",INDEX('Harga Bahan'!$C$5:$C$200,MATCH($A298,'Harga Bahan'!$A$5:$A$200,0)),INDEX('Harga Upah'!$C$5:$C$200,MATCH($A298,'Harga Upah'!$A$5:$A$200,0)))</f>
        <v>m³</v>
      </c>
      <c r="D298" s="37" t="n">
        <v>0.1</v>
      </c>
      <c r="E298" s="17" t="n">
        <f aca="false">IF(LEFT($A298,1)="B",INDEX('Harga Bahan'!$D$5:$D$200,MATCH($A298,'Harga Bahan'!$A$5:$A$200,0)),INDEX('Harga Upah'!$D$5:$D$200,MATCH($A298,'Harga Upah'!$A$5:$A$200,0)))</f>
        <v>300000</v>
      </c>
      <c r="F298" s="27" t="n">
        <f aca="false">D298*E298</f>
        <v>30000</v>
      </c>
      <c r="G298" s="23" t="s">
        <v>177</v>
      </c>
    </row>
    <row r="299" customFormat="false" ht="15" hidden="false" customHeight="false" outlineLevel="0" collapsed="false">
      <c r="A299" s="16" t="s">
        <v>180</v>
      </c>
      <c r="B299" s="29" t="str">
        <f aca="false">IF(LEFT($A299,1)="B",INDEX('Harga Bahan'!$B$5:$B$200,MATCH($A299,'Harga Bahan'!$A$5:$A$200,0)),INDEX('Harga Upah'!$B$5:$B$200,MATCH($A299,'Harga Upah'!$A$5:$A$200,0)))</f>
        <v>Pekerja</v>
      </c>
      <c r="C299" s="31" t="str">
        <f aca="false">IF(LEFT($A299,1)="B",INDEX('Harga Bahan'!$C$5:$C$200,MATCH($A299,'Harga Bahan'!$A$5:$A$200,0)),INDEX('Harga Upah'!$C$5:$C$200,MATCH($A299,'Harga Upah'!$A$5:$A$200,0)))</f>
        <v>OH</v>
      </c>
      <c r="D299" s="37" t="n">
        <v>0.6</v>
      </c>
      <c r="E299" s="17" t="n">
        <f aca="false">IF(LEFT($A299,1)="B",INDEX('Harga Bahan'!$D$5:$D$200,MATCH($A299,'Harga Bahan'!$A$5:$A$200,0)),INDEX('Harga Upah'!$D$5:$D$200,MATCH($A299,'Harga Upah'!$A$5:$A$200,0)))</f>
        <v>150000</v>
      </c>
      <c r="F299" s="27" t="n">
        <f aca="false">D299*E299</f>
        <v>90000</v>
      </c>
      <c r="G299" s="23" t="s">
        <v>181</v>
      </c>
    </row>
    <row r="300" customFormat="false" ht="15" hidden="false" customHeight="false" outlineLevel="0" collapsed="false">
      <c r="A300" s="16" t="s">
        <v>246</v>
      </c>
      <c r="B300" s="29" t="str">
        <f aca="false">IF(LEFT($A300,1)="B",INDEX('Harga Bahan'!$B$5:$B$200,MATCH($A300,'Harga Bahan'!$A$5:$A$200,0)),INDEX('Harga Upah'!$B$5:$B$200,MATCH($A300,'Harga Upah'!$A$5:$A$200,0)))</f>
        <v>Tukang pipa</v>
      </c>
      <c r="C300" s="31" t="str">
        <f aca="false">IF(LEFT($A300,1)="B",INDEX('Harga Bahan'!$C$5:$C$200,MATCH($A300,'Harga Bahan'!$A$5:$A$200,0)),INDEX('Harga Upah'!$C$5:$C$200,MATCH($A300,'Harga Upah'!$A$5:$A$200,0)))</f>
        <v>OH</v>
      </c>
      <c r="D300" s="37" t="n">
        <v>0.6</v>
      </c>
      <c r="E300" s="17" t="n">
        <f aca="false">IF(LEFT($A300,1)="B",INDEX('Harga Bahan'!$D$5:$D$200,MATCH($A300,'Harga Bahan'!$A$5:$A$200,0)),INDEX('Harga Upah'!$D$5:$D$200,MATCH($A300,'Harga Upah'!$A$5:$A$200,0)))</f>
        <v>190000</v>
      </c>
      <c r="F300" s="27" t="n">
        <f aca="false">D300*E300</f>
        <v>114000</v>
      </c>
      <c r="G300" s="23" t="s">
        <v>181</v>
      </c>
    </row>
    <row r="301" customFormat="false" ht="15" hidden="false" customHeight="false" outlineLevel="0" collapsed="false">
      <c r="A301" s="16" t="s">
        <v>183</v>
      </c>
      <c r="B301" s="29" t="str">
        <f aca="false">IF(LEFT($A301,1)="B",INDEX('Harga Bahan'!$B$5:$B$200,MATCH($A301,'Harga Bahan'!$A$5:$A$200,0)),INDEX('Harga Upah'!$B$5:$B$200,MATCH($A301,'Harga Upah'!$A$5:$A$200,0)))</f>
        <v>Kepala tukang</v>
      </c>
      <c r="C301" s="31" t="str">
        <f aca="false">IF(LEFT($A301,1)="B",INDEX('Harga Bahan'!$C$5:$C$200,MATCH($A301,'Harga Bahan'!$A$5:$A$200,0)),INDEX('Harga Upah'!$C$5:$C$200,MATCH($A301,'Harga Upah'!$A$5:$A$200,0)))</f>
        <v>OH</v>
      </c>
      <c r="D301" s="37" t="n">
        <v>0.06</v>
      </c>
      <c r="E301" s="17" t="n">
        <f aca="false">IF(LEFT($A301,1)="B",INDEX('Harga Bahan'!$D$5:$D$200,MATCH($A301,'Harga Bahan'!$A$5:$A$200,0)),INDEX('Harga Upah'!$D$5:$D$200,MATCH($A301,'Harga Upah'!$A$5:$A$200,0)))</f>
        <v>210000</v>
      </c>
      <c r="F301" s="27" t="n">
        <f aca="false">D301*E301</f>
        <v>12600</v>
      </c>
      <c r="G301" s="23" t="s">
        <v>181</v>
      </c>
    </row>
    <row r="302" customFormat="false" ht="15" hidden="false" customHeight="false" outlineLevel="0" collapsed="false">
      <c r="A302" s="16" t="s">
        <v>184</v>
      </c>
      <c r="B302" s="29" t="str">
        <f aca="false">IF(LEFT($A302,1)="B",INDEX('Harga Bahan'!$B$5:$B$200,MATCH($A302,'Harga Bahan'!$A$5:$A$200,0)),INDEX('Harga Upah'!$B$5:$B$200,MATCH($A302,'Harga Upah'!$A$5:$A$200,0)))</f>
        <v>Mandor</v>
      </c>
      <c r="C302" s="31" t="str">
        <f aca="false">IF(LEFT($A302,1)="B",INDEX('Harga Bahan'!$C$5:$C$200,MATCH($A302,'Harga Bahan'!$A$5:$A$200,0)),INDEX('Harga Upah'!$C$5:$C$200,MATCH($A302,'Harga Upah'!$A$5:$A$200,0)))</f>
        <v>OH</v>
      </c>
      <c r="D302" s="37" t="n">
        <v>0.03</v>
      </c>
      <c r="E302" s="17" t="n">
        <f aca="false">IF(LEFT($A302,1)="B",INDEX('Harga Bahan'!$D$5:$D$200,MATCH($A302,'Harga Bahan'!$A$5:$A$200,0)),INDEX('Harga Upah'!$D$5:$D$200,MATCH($A302,'Harga Upah'!$A$5:$A$200,0)))</f>
        <v>225000</v>
      </c>
      <c r="F302" s="27" t="n">
        <f aca="false">D302*E302</f>
        <v>6750</v>
      </c>
      <c r="G302" s="23" t="s">
        <v>181</v>
      </c>
    </row>
    <row r="303" customFormat="false" ht="15" hidden="false" customHeight="false" outlineLevel="0" collapsed="false">
      <c r="A303" s="32"/>
      <c r="B303" s="32" t="s">
        <v>185</v>
      </c>
      <c r="C303" s="32"/>
      <c r="D303" s="32"/>
      <c r="E303" s="32"/>
      <c r="F303" s="38" t="n">
        <f aca="false">SUMIF(G296:G302,"Bahan",F296:F302)</f>
        <v>525200</v>
      </c>
      <c r="G303" s="32"/>
    </row>
    <row r="304" customFormat="false" ht="15" hidden="false" customHeight="false" outlineLevel="0" collapsed="false">
      <c r="A304" s="32"/>
      <c r="B304" s="32" t="s">
        <v>186</v>
      </c>
      <c r="C304" s="32"/>
      <c r="D304" s="32"/>
      <c r="E304" s="32"/>
      <c r="F304" s="38" t="n">
        <f aca="false">SUMIF(G296:G302,"Upah",F296:F302)</f>
        <v>223350</v>
      </c>
      <c r="G304" s="32"/>
    </row>
    <row r="305" customFormat="false" ht="15" hidden="false" customHeight="false" outlineLevel="0" collapsed="false">
      <c r="A305" s="32"/>
      <c r="B305" s="32" t="str">
        <f aca="false">"Overhead &amp; profit ("&amp;TEXT('Informasi Project'!$B$17,"0.0%")&amp;")"</f>
        <v>Overhead &amp; profit (15.0%)</v>
      </c>
      <c r="C305" s="32"/>
      <c r="D305" s="32"/>
      <c r="E305" s="32"/>
      <c r="F305" s="38" t="n">
        <f aca="false">(F303+F304)*'Informasi Project'!$B$17</f>
        <v>112282.5</v>
      </c>
      <c r="G305" s="32"/>
    </row>
    <row r="306" customFormat="false" ht="15" hidden="false" customHeight="false" outlineLevel="0" collapsed="false">
      <c r="A306" s="19"/>
      <c r="B306" s="3" t="s">
        <v>187</v>
      </c>
      <c r="C306" s="19"/>
      <c r="D306" s="19"/>
      <c r="E306" s="19"/>
      <c r="F306" s="20" t="n">
        <f aca="false">F303+F304+F305</f>
        <v>860832.5</v>
      </c>
      <c r="G306" s="19"/>
    </row>
    <row r="308" customFormat="false" ht="15" hidden="false" customHeight="false" outlineLevel="0" collapsed="false">
      <c r="A308" s="3" t="s">
        <v>148</v>
      </c>
      <c r="B308" s="3" t="s">
        <v>247</v>
      </c>
      <c r="C308" s="3" t="s">
        <v>234</v>
      </c>
      <c r="D308" s="3"/>
      <c r="E308" s="36" t="s">
        <v>175</v>
      </c>
      <c r="F308" s="20" t="n">
        <f aca="false">F315</f>
        <v>93725</v>
      </c>
      <c r="G308" s="3"/>
    </row>
    <row r="309" customFormat="false" ht="15" hidden="false" customHeight="false" outlineLevel="0" collapsed="false">
      <c r="A309" s="16" t="s">
        <v>248</v>
      </c>
      <c r="B309" s="29" t="str">
        <f aca="false">IF(LEFT($A309,1)="B",INDEX('Harga Bahan'!$B$5:$B$200,MATCH($A309,'Harga Bahan'!$A$5:$A$200,0)),INDEX('Harga Upah'!$B$5:$B$200,MATCH($A309,'Harga Upah'!$A$5:$A$200,0)))</f>
        <v>Kran air</v>
      </c>
      <c r="C309" s="31" t="str">
        <f aca="false">IF(LEFT($A309,1)="B",INDEX('Harga Bahan'!$C$5:$C$200,MATCH($A309,'Harga Bahan'!$A$5:$A$200,0)),INDEX('Harga Upah'!$C$5:$C$200,MATCH($A309,'Harga Upah'!$A$5:$A$200,0)))</f>
        <v>bh</v>
      </c>
      <c r="D309" s="37" t="n">
        <v>1</v>
      </c>
      <c r="E309" s="17" t="n">
        <f aca="false">IF(LEFT($A309,1)="B",INDEX('Harga Bahan'!$D$5:$D$200,MATCH($A309,'Harga Bahan'!$A$5:$A$200,0)),INDEX('Harga Upah'!$D$5:$D$200,MATCH($A309,'Harga Upah'!$A$5:$A$200,0)))</f>
        <v>55000</v>
      </c>
      <c r="F309" s="27" t="n">
        <f aca="false">D309*E309</f>
        <v>55000</v>
      </c>
      <c r="G309" s="23" t="s">
        <v>177</v>
      </c>
    </row>
    <row r="310" customFormat="false" ht="15" hidden="false" customHeight="false" outlineLevel="0" collapsed="false">
      <c r="A310" s="16" t="s">
        <v>246</v>
      </c>
      <c r="B310" s="29" t="str">
        <f aca="false">IF(LEFT($A310,1)="B",INDEX('Harga Bahan'!$B$5:$B$200,MATCH($A310,'Harga Bahan'!$A$5:$A$200,0)),INDEX('Harga Upah'!$B$5:$B$200,MATCH($A310,'Harga Upah'!$A$5:$A$200,0)))</f>
        <v>Tukang pipa</v>
      </c>
      <c r="C310" s="31" t="str">
        <f aca="false">IF(LEFT($A310,1)="B",INDEX('Harga Bahan'!$C$5:$C$200,MATCH($A310,'Harga Bahan'!$A$5:$A$200,0)),INDEX('Harga Upah'!$C$5:$C$200,MATCH($A310,'Harga Upah'!$A$5:$A$200,0)))</f>
        <v>OH</v>
      </c>
      <c r="D310" s="37" t="n">
        <v>0.1</v>
      </c>
      <c r="E310" s="17" t="n">
        <f aca="false">IF(LEFT($A310,1)="B",INDEX('Harga Bahan'!$D$5:$D$200,MATCH($A310,'Harga Bahan'!$A$5:$A$200,0)),INDEX('Harga Upah'!$D$5:$D$200,MATCH($A310,'Harga Upah'!$A$5:$A$200,0)))</f>
        <v>190000</v>
      </c>
      <c r="F310" s="27" t="n">
        <f aca="false">D310*E310</f>
        <v>19000</v>
      </c>
      <c r="G310" s="23" t="s">
        <v>181</v>
      </c>
    </row>
    <row r="311" customFormat="false" ht="15" hidden="false" customHeight="false" outlineLevel="0" collapsed="false">
      <c r="A311" s="16" t="s">
        <v>180</v>
      </c>
      <c r="B311" s="29" t="str">
        <f aca="false">IF(LEFT($A311,1)="B",INDEX('Harga Bahan'!$B$5:$B$200,MATCH($A311,'Harga Bahan'!$A$5:$A$200,0)),INDEX('Harga Upah'!$B$5:$B$200,MATCH($A311,'Harga Upah'!$A$5:$A$200,0)))</f>
        <v>Pekerja</v>
      </c>
      <c r="C311" s="31" t="str">
        <f aca="false">IF(LEFT($A311,1)="B",INDEX('Harga Bahan'!$C$5:$C$200,MATCH($A311,'Harga Bahan'!$A$5:$A$200,0)),INDEX('Harga Upah'!$C$5:$C$200,MATCH($A311,'Harga Upah'!$A$5:$A$200,0)))</f>
        <v>OH</v>
      </c>
      <c r="D311" s="37" t="n">
        <v>0.05</v>
      </c>
      <c r="E311" s="17" t="n">
        <f aca="false">IF(LEFT($A311,1)="B",INDEX('Harga Bahan'!$D$5:$D$200,MATCH($A311,'Harga Bahan'!$A$5:$A$200,0)),INDEX('Harga Upah'!$D$5:$D$200,MATCH($A311,'Harga Upah'!$A$5:$A$200,0)))</f>
        <v>150000</v>
      </c>
      <c r="F311" s="27" t="n">
        <f aca="false">D311*E311</f>
        <v>7500</v>
      </c>
      <c r="G311" s="23" t="s">
        <v>181</v>
      </c>
    </row>
    <row r="312" customFormat="false" ht="15" hidden="false" customHeight="false" outlineLevel="0" collapsed="false">
      <c r="A312" s="32"/>
      <c r="B312" s="32" t="s">
        <v>185</v>
      </c>
      <c r="C312" s="32"/>
      <c r="D312" s="32"/>
      <c r="E312" s="32"/>
      <c r="F312" s="38" t="n">
        <f aca="false">SUMIF(G309:G311,"Bahan",F309:F311)</f>
        <v>55000</v>
      </c>
      <c r="G312" s="32"/>
    </row>
    <row r="313" customFormat="false" ht="15" hidden="false" customHeight="false" outlineLevel="0" collapsed="false">
      <c r="A313" s="32"/>
      <c r="B313" s="32" t="s">
        <v>186</v>
      </c>
      <c r="C313" s="32"/>
      <c r="D313" s="32"/>
      <c r="E313" s="32"/>
      <c r="F313" s="38" t="n">
        <f aca="false">SUMIF(G309:G311,"Upah",F309:F311)</f>
        <v>26500</v>
      </c>
      <c r="G313" s="32"/>
    </row>
    <row r="314" customFormat="false" ht="15" hidden="false" customHeight="false" outlineLevel="0" collapsed="false">
      <c r="A314" s="32"/>
      <c r="B314" s="32" t="str">
        <f aca="false">"Overhead &amp; profit ("&amp;TEXT('Informasi Project'!$B$17,"0.0%")&amp;")"</f>
        <v>Overhead &amp; profit (15.0%)</v>
      </c>
      <c r="C314" s="32"/>
      <c r="D314" s="32"/>
      <c r="E314" s="32"/>
      <c r="F314" s="38" t="n">
        <f aca="false">(F312+F313)*'Informasi Project'!$B$17</f>
        <v>12225</v>
      </c>
      <c r="G314" s="32"/>
    </row>
    <row r="315" customFormat="false" ht="15" hidden="false" customHeight="false" outlineLevel="0" collapsed="false">
      <c r="A315" s="19"/>
      <c r="B315" s="3" t="s">
        <v>187</v>
      </c>
      <c r="C315" s="19"/>
      <c r="D315" s="19"/>
      <c r="E315" s="19"/>
      <c r="F315" s="20" t="n">
        <f aca="false">F312+F313+F314</f>
        <v>93725</v>
      </c>
      <c r="G315" s="19"/>
    </row>
    <row r="317" customFormat="false" ht="15" hidden="false" customHeight="false" outlineLevel="0" collapsed="false">
      <c r="A317" s="3" t="s">
        <v>150</v>
      </c>
      <c r="B317" s="3" t="s">
        <v>249</v>
      </c>
      <c r="C317" s="3" t="s">
        <v>174</v>
      </c>
      <c r="D317" s="3"/>
      <c r="E317" s="36" t="s">
        <v>175</v>
      </c>
      <c r="F317" s="20" t="n">
        <f aca="false">F325</f>
        <v>70753.75</v>
      </c>
      <c r="G317" s="3"/>
    </row>
    <row r="318" customFormat="false" ht="15" hidden="false" customHeight="false" outlineLevel="0" collapsed="false">
      <c r="A318" s="16" t="s">
        <v>250</v>
      </c>
      <c r="B318" s="29" t="str">
        <f aca="false">IF(LEFT($A318,1)="B",INDEX('Harga Bahan'!$B$5:$B$200,MATCH($A318,'Harga Bahan'!$A$5:$A$200,0)),INDEX('Harga Upah'!$B$5:$B$200,MATCH($A318,'Harga Upah'!$A$5:$A$200,0)))</f>
        <v>Pipa PVC 3/4"</v>
      </c>
      <c r="C318" s="31" t="str">
        <f aca="false">IF(LEFT($A318,1)="B",INDEX('Harga Bahan'!$C$5:$C$200,MATCH($A318,'Harga Bahan'!$A$5:$A$200,0)),INDEX('Harga Upah'!$C$5:$C$200,MATCH($A318,'Harga Upah'!$A$5:$A$200,0)))</f>
        <v>m'</v>
      </c>
      <c r="D318" s="37" t="n">
        <v>1.1</v>
      </c>
      <c r="E318" s="17" t="n">
        <f aca="false">IF(LEFT($A318,1)="B",INDEX('Harga Bahan'!$D$5:$D$200,MATCH($A318,'Harga Bahan'!$A$5:$A$200,0)),INDEX('Harga Upah'!$D$5:$D$200,MATCH($A318,'Harga Upah'!$A$5:$A$200,0)))</f>
        <v>24000</v>
      </c>
      <c r="F318" s="27" t="n">
        <f aca="false">D318*E318</f>
        <v>26400</v>
      </c>
      <c r="G318" s="23" t="s">
        <v>177</v>
      </c>
    </row>
    <row r="319" customFormat="false" ht="15" hidden="false" customHeight="false" outlineLevel="0" collapsed="false">
      <c r="A319" s="16" t="s">
        <v>180</v>
      </c>
      <c r="B319" s="29" t="str">
        <f aca="false">IF(LEFT($A319,1)="B",INDEX('Harga Bahan'!$B$5:$B$200,MATCH($A319,'Harga Bahan'!$A$5:$A$200,0)),INDEX('Harga Upah'!$B$5:$B$200,MATCH($A319,'Harga Upah'!$A$5:$A$200,0)))</f>
        <v>Pekerja</v>
      </c>
      <c r="C319" s="31" t="str">
        <f aca="false">IF(LEFT($A319,1)="B",INDEX('Harga Bahan'!$C$5:$C$200,MATCH($A319,'Harga Bahan'!$A$5:$A$200,0)),INDEX('Harga Upah'!$C$5:$C$200,MATCH($A319,'Harga Upah'!$A$5:$A$200,0)))</f>
        <v>OH</v>
      </c>
      <c r="D319" s="37" t="n">
        <v>0.1</v>
      </c>
      <c r="E319" s="17" t="n">
        <f aca="false">IF(LEFT($A319,1)="B",INDEX('Harga Bahan'!$D$5:$D$200,MATCH($A319,'Harga Bahan'!$A$5:$A$200,0)),INDEX('Harga Upah'!$D$5:$D$200,MATCH($A319,'Harga Upah'!$A$5:$A$200,0)))</f>
        <v>150000</v>
      </c>
      <c r="F319" s="27" t="n">
        <f aca="false">D319*E319</f>
        <v>15000</v>
      </c>
      <c r="G319" s="23" t="s">
        <v>181</v>
      </c>
    </row>
    <row r="320" customFormat="false" ht="15" hidden="false" customHeight="false" outlineLevel="0" collapsed="false">
      <c r="A320" s="16" t="s">
        <v>246</v>
      </c>
      <c r="B320" s="29" t="str">
        <f aca="false">IF(LEFT($A320,1)="B",INDEX('Harga Bahan'!$B$5:$B$200,MATCH($A320,'Harga Bahan'!$A$5:$A$200,0)),INDEX('Harga Upah'!$B$5:$B$200,MATCH($A320,'Harga Upah'!$A$5:$A$200,0)))</f>
        <v>Tukang pipa</v>
      </c>
      <c r="C320" s="31" t="str">
        <f aca="false">IF(LEFT($A320,1)="B",INDEX('Harga Bahan'!$C$5:$C$200,MATCH($A320,'Harga Bahan'!$A$5:$A$200,0)),INDEX('Harga Upah'!$C$5:$C$200,MATCH($A320,'Harga Upah'!$A$5:$A$200,0)))</f>
        <v>OH</v>
      </c>
      <c r="D320" s="37" t="n">
        <v>0.1</v>
      </c>
      <c r="E320" s="17" t="n">
        <f aca="false">IF(LEFT($A320,1)="B",INDEX('Harga Bahan'!$D$5:$D$200,MATCH($A320,'Harga Bahan'!$A$5:$A$200,0)),INDEX('Harga Upah'!$D$5:$D$200,MATCH($A320,'Harga Upah'!$A$5:$A$200,0)))</f>
        <v>190000</v>
      </c>
      <c r="F320" s="27" t="n">
        <f aca="false">D320*E320</f>
        <v>19000</v>
      </c>
      <c r="G320" s="23" t="s">
        <v>181</v>
      </c>
    </row>
    <row r="321" customFormat="false" ht="15" hidden="false" customHeight="false" outlineLevel="0" collapsed="false">
      <c r="A321" s="16" t="s">
        <v>184</v>
      </c>
      <c r="B321" s="29" t="str">
        <f aca="false">IF(LEFT($A321,1)="B",INDEX('Harga Bahan'!$B$5:$B$200,MATCH($A321,'Harga Bahan'!$A$5:$A$200,0)),INDEX('Harga Upah'!$B$5:$B$200,MATCH($A321,'Harga Upah'!$A$5:$A$200,0)))</f>
        <v>Mandor</v>
      </c>
      <c r="C321" s="31" t="str">
        <f aca="false">IF(LEFT($A321,1)="B",INDEX('Harga Bahan'!$C$5:$C$200,MATCH($A321,'Harga Bahan'!$A$5:$A$200,0)),INDEX('Harga Upah'!$C$5:$C$200,MATCH($A321,'Harga Upah'!$A$5:$A$200,0)))</f>
        <v>OH</v>
      </c>
      <c r="D321" s="37" t="n">
        <v>0.005</v>
      </c>
      <c r="E321" s="17" t="n">
        <f aca="false">IF(LEFT($A321,1)="B",INDEX('Harga Bahan'!$D$5:$D$200,MATCH($A321,'Harga Bahan'!$A$5:$A$200,0)),INDEX('Harga Upah'!$D$5:$D$200,MATCH($A321,'Harga Upah'!$A$5:$A$200,0)))</f>
        <v>225000</v>
      </c>
      <c r="F321" s="27" t="n">
        <f aca="false">D321*E321</f>
        <v>1125</v>
      </c>
      <c r="G321" s="23" t="s">
        <v>181</v>
      </c>
    </row>
    <row r="322" customFormat="false" ht="15" hidden="false" customHeight="false" outlineLevel="0" collapsed="false">
      <c r="A322" s="32"/>
      <c r="B322" s="32" t="s">
        <v>185</v>
      </c>
      <c r="C322" s="32"/>
      <c r="D322" s="32"/>
      <c r="E322" s="32"/>
      <c r="F322" s="38" t="n">
        <f aca="false">SUMIF(G318:G321,"Bahan",F318:F321)</f>
        <v>26400</v>
      </c>
      <c r="G322" s="32"/>
    </row>
    <row r="323" customFormat="false" ht="15" hidden="false" customHeight="false" outlineLevel="0" collapsed="false">
      <c r="A323" s="32"/>
      <c r="B323" s="32" t="s">
        <v>186</v>
      </c>
      <c r="C323" s="32"/>
      <c r="D323" s="32"/>
      <c r="E323" s="32"/>
      <c r="F323" s="38" t="n">
        <f aca="false">SUMIF(G318:G321,"Upah",F318:F321)</f>
        <v>35125</v>
      </c>
      <c r="G323" s="32"/>
    </row>
    <row r="324" customFormat="false" ht="15" hidden="false" customHeight="false" outlineLevel="0" collapsed="false">
      <c r="A324" s="32"/>
      <c r="B324" s="32" t="str">
        <f aca="false">"Overhead &amp; profit ("&amp;TEXT('Informasi Project'!$B$17,"0.0%")&amp;")"</f>
        <v>Overhead &amp; profit (15.0%)</v>
      </c>
      <c r="C324" s="32"/>
      <c r="D324" s="32"/>
      <c r="E324" s="32"/>
      <c r="F324" s="38" t="n">
        <f aca="false">(F322+F323)*'Informasi Project'!$B$17</f>
        <v>9228.75</v>
      </c>
      <c r="G324" s="32"/>
    </row>
    <row r="325" customFormat="false" ht="15" hidden="false" customHeight="false" outlineLevel="0" collapsed="false">
      <c r="A325" s="19"/>
      <c r="B325" s="3" t="s">
        <v>187</v>
      </c>
      <c r="C325" s="19"/>
      <c r="D325" s="19"/>
      <c r="E325" s="19"/>
      <c r="F325" s="20" t="n">
        <f aca="false">F322+F323+F324</f>
        <v>70753.75</v>
      </c>
      <c r="G325" s="19"/>
    </row>
    <row r="327" customFormat="false" ht="15" hidden="false" customHeight="false" outlineLevel="0" collapsed="false">
      <c r="A327" s="3" t="s">
        <v>152</v>
      </c>
      <c r="B327" s="3" t="s">
        <v>251</v>
      </c>
      <c r="C327" s="3" t="s">
        <v>174</v>
      </c>
      <c r="D327" s="3"/>
      <c r="E327" s="36" t="s">
        <v>175</v>
      </c>
      <c r="F327" s="20" t="n">
        <f aca="false">F335</f>
        <v>162322.5</v>
      </c>
      <c r="G327" s="3"/>
    </row>
    <row r="328" customFormat="false" ht="15" hidden="false" customHeight="false" outlineLevel="0" collapsed="false">
      <c r="A328" s="16" t="s">
        <v>252</v>
      </c>
      <c r="B328" s="29" t="str">
        <f aca="false">IF(LEFT($A328,1)="B",INDEX('Harga Bahan'!$B$5:$B$200,MATCH($A328,'Harga Bahan'!$A$5:$A$200,0)),INDEX('Harga Upah'!$B$5:$B$200,MATCH($A328,'Harga Upah'!$A$5:$A$200,0)))</f>
        <v>Pipa PVC 4"</v>
      </c>
      <c r="C328" s="31" t="str">
        <f aca="false">IF(LEFT($A328,1)="B",INDEX('Harga Bahan'!$C$5:$C$200,MATCH($A328,'Harga Bahan'!$A$5:$A$200,0)),INDEX('Harga Upah'!$C$5:$C$200,MATCH($A328,'Harga Upah'!$A$5:$A$200,0)))</f>
        <v>m'</v>
      </c>
      <c r="D328" s="37" t="n">
        <v>1.1</v>
      </c>
      <c r="E328" s="17" t="n">
        <f aca="false">IF(LEFT($A328,1)="B",INDEX('Harga Bahan'!$D$5:$D$200,MATCH($A328,'Harga Bahan'!$A$5:$A$200,0)),INDEX('Harga Upah'!$D$5:$D$200,MATCH($A328,'Harga Upah'!$A$5:$A$200,0)))</f>
        <v>90000</v>
      </c>
      <c r="F328" s="27" t="n">
        <f aca="false">D328*E328</f>
        <v>99000</v>
      </c>
      <c r="G328" s="23" t="s">
        <v>177</v>
      </c>
    </row>
    <row r="329" customFormat="false" ht="15" hidden="false" customHeight="false" outlineLevel="0" collapsed="false">
      <c r="A329" s="16" t="s">
        <v>180</v>
      </c>
      <c r="B329" s="29" t="str">
        <f aca="false">IF(LEFT($A329,1)="B",INDEX('Harga Bahan'!$B$5:$B$200,MATCH($A329,'Harga Bahan'!$A$5:$A$200,0)),INDEX('Harga Upah'!$B$5:$B$200,MATCH($A329,'Harga Upah'!$A$5:$A$200,0)))</f>
        <v>Pekerja</v>
      </c>
      <c r="C329" s="31" t="str">
        <f aca="false">IF(LEFT($A329,1)="B",INDEX('Harga Bahan'!$C$5:$C$200,MATCH($A329,'Harga Bahan'!$A$5:$A$200,0)),INDEX('Harga Upah'!$C$5:$C$200,MATCH($A329,'Harga Upah'!$A$5:$A$200,0)))</f>
        <v>OH</v>
      </c>
      <c r="D329" s="37" t="n">
        <v>0.12</v>
      </c>
      <c r="E329" s="17" t="n">
        <f aca="false">IF(LEFT($A329,1)="B",INDEX('Harga Bahan'!$D$5:$D$200,MATCH($A329,'Harga Bahan'!$A$5:$A$200,0)),INDEX('Harga Upah'!$D$5:$D$200,MATCH($A329,'Harga Upah'!$A$5:$A$200,0)))</f>
        <v>150000</v>
      </c>
      <c r="F329" s="27" t="n">
        <f aca="false">D329*E329</f>
        <v>18000</v>
      </c>
      <c r="G329" s="23" t="s">
        <v>181</v>
      </c>
    </row>
    <row r="330" customFormat="false" ht="15" hidden="false" customHeight="false" outlineLevel="0" collapsed="false">
      <c r="A330" s="16" t="s">
        <v>246</v>
      </c>
      <c r="B330" s="29" t="str">
        <f aca="false">IF(LEFT($A330,1)="B",INDEX('Harga Bahan'!$B$5:$B$200,MATCH($A330,'Harga Bahan'!$A$5:$A$200,0)),INDEX('Harga Upah'!$B$5:$B$200,MATCH($A330,'Harga Upah'!$A$5:$A$200,0)))</f>
        <v>Tukang pipa</v>
      </c>
      <c r="C330" s="31" t="str">
        <f aca="false">IF(LEFT($A330,1)="B",INDEX('Harga Bahan'!$C$5:$C$200,MATCH($A330,'Harga Bahan'!$A$5:$A$200,0)),INDEX('Harga Upah'!$C$5:$C$200,MATCH($A330,'Harga Upah'!$A$5:$A$200,0)))</f>
        <v>OH</v>
      </c>
      <c r="D330" s="37" t="n">
        <v>0.12</v>
      </c>
      <c r="E330" s="17" t="n">
        <f aca="false">IF(LEFT($A330,1)="B",INDEX('Harga Bahan'!$D$5:$D$200,MATCH($A330,'Harga Bahan'!$A$5:$A$200,0)),INDEX('Harga Upah'!$D$5:$D$200,MATCH($A330,'Harga Upah'!$A$5:$A$200,0)))</f>
        <v>190000</v>
      </c>
      <c r="F330" s="27" t="n">
        <f aca="false">D330*E330</f>
        <v>22800</v>
      </c>
      <c r="G330" s="23" t="s">
        <v>181</v>
      </c>
    </row>
    <row r="331" customFormat="false" ht="15" hidden="false" customHeight="false" outlineLevel="0" collapsed="false">
      <c r="A331" s="16" t="s">
        <v>184</v>
      </c>
      <c r="B331" s="29" t="str">
        <f aca="false">IF(LEFT($A331,1)="B",INDEX('Harga Bahan'!$B$5:$B$200,MATCH($A331,'Harga Bahan'!$A$5:$A$200,0)),INDEX('Harga Upah'!$B$5:$B$200,MATCH($A331,'Harga Upah'!$A$5:$A$200,0)))</f>
        <v>Mandor</v>
      </c>
      <c r="C331" s="31" t="str">
        <f aca="false">IF(LEFT($A331,1)="B",INDEX('Harga Bahan'!$C$5:$C$200,MATCH($A331,'Harga Bahan'!$A$5:$A$200,0)),INDEX('Harga Upah'!$C$5:$C$200,MATCH($A331,'Harga Upah'!$A$5:$A$200,0)))</f>
        <v>OH</v>
      </c>
      <c r="D331" s="37" t="n">
        <v>0.006</v>
      </c>
      <c r="E331" s="17" t="n">
        <f aca="false">IF(LEFT($A331,1)="B",INDEX('Harga Bahan'!$D$5:$D$200,MATCH($A331,'Harga Bahan'!$A$5:$A$200,0)),INDEX('Harga Upah'!$D$5:$D$200,MATCH($A331,'Harga Upah'!$A$5:$A$200,0)))</f>
        <v>225000</v>
      </c>
      <c r="F331" s="27" t="n">
        <f aca="false">D331*E331</f>
        <v>1350</v>
      </c>
      <c r="G331" s="23" t="s">
        <v>181</v>
      </c>
    </row>
    <row r="332" customFormat="false" ht="15" hidden="false" customHeight="false" outlineLevel="0" collapsed="false">
      <c r="A332" s="32"/>
      <c r="B332" s="32" t="s">
        <v>185</v>
      </c>
      <c r="C332" s="32"/>
      <c r="D332" s="32"/>
      <c r="E332" s="32"/>
      <c r="F332" s="38" t="n">
        <f aca="false">SUMIF(G328:G331,"Bahan",F328:F331)</f>
        <v>99000</v>
      </c>
      <c r="G332" s="32"/>
    </row>
    <row r="333" customFormat="false" ht="15" hidden="false" customHeight="false" outlineLevel="0" collapsed="false">
      <c r="A333" s="32"/>
      <c r="B333" s="32" t="s">
        <v>186</v>
      </c>
      <c r="C333" s="32"/>
      <c r="D333" s="32"/>
      <c r="E333" s="32"/>
      <c r="F333" s="38" t="n">
        <f aca="false">SUMIF(G328:G331,"Upah",F328:F331)</f>
        <v>42150</v>
      </c>
      <c r="G333" s="32"/>
    </row>
    <row r="334" customFormat="false" ht="15" hidden="false" customHeight="false" outlineLevel="0" collapsed="false">
      <c r="A334" s="32"/>
      <c r="B334" s="32" t="str">
        <f aca="false">"Overhead &amp; profit ("&amp;TEXT('Informasi Project'!$B$17,"0.0%")&amp;")"</f>
        <v>Overhead &amp; profit (15.0%)</v>
      </c>
      <c r="C334" s="32"/>
      <c r="D334" s="32"/>
      <c r="E334" s="32"/>
      <c r="F334" s="38" t="n">
        <f aca="false">(F332+F333)*'Informasi Project'!$B$17</f>
        <v>21172.5</v>
      </c>
      <c r="G334" s="32"/>
    </row>
    <row r="335" customFormat="false" ht="15" hidden="false" customHeight="false" outlineLevel="0" collapsed="false">
      <c r="A335" s="19"/>
      <c r="B335" s="3" t="s">
        <v>187</v>
      </c>
      <c r="C335" s="19"/>
      <c r="D335" s="19"/>
      <c r="E335" s="19"/>
      <c r="F335" s="20" t="n">
        <f aca="false">F332+F333+F334</f>
        <v>162322.5</v>
      </c>
      <c r="G335" s="19"/>
    </row>
    <row r="337" customFormat="false" ht="15" hidden="false" customHeight="false" outlineLevel="0" collapsed="false">
      <c r="A337" s="3" t="s">
        <v>157</v>
      </c>
      <c r="B337" s="3" t="s">
        <v>253</v>
      </c>
      <c r="C337" s="3" t="s">
        <v>254</v>
      </c>
      <c r="D337" s="3"/>
      <c r="E337" s="36" t="s">
        <v>175</v>
      </c>
      <c r="F337" s="20" t="n">
        <f aca="false">F349</f>
        <v>505252.5</v>
      </c>
      <c r="G337" s="3"/>
    </row>
    <row r="338" customFormat="false" ht="15" hidden="false" customHeight="false" outlineLevel="0" collapsed="false">
      <c r="A338" s="16" t="s">
        <v>255</v>
      </c>
      <c r="B338" s="29" t="str">
        <f aca="false">IF(LEFT($A338,1)="B",INDEX('Harga Bahan'!$B$5:$B$200,MATCH($A338,'Harga Bahan'!$A$5:$A$200,0)),INDEX('Harga Upah'!$B$5:$B$200,MATCH($A338,'Harga Upah'!$A$5:$A$200,0)))</f>
        <v>Kabel NYM 2x1,5 mm²</v>
      </c>
      <c r="C338" s="31" t="str">
        <f aca="false">IF(LEFT($A338,1)="B",INDEX('Harga Bahan'!$C$5:$C$200,MATCH($A338,'Harga Bahan'!$A$5:$A$200,0)),INDEX('Harga Upah'!$C$5:$C$200,MATCH($A338,'Harga Upah'!$A$5:$A$200,0)))</f>
        <v>m'</v>
      </c>
      <c r="D338" s="37" t="n">
        <v>12</v>
      </c>
      <c r="E338" s="17" t="n">
        <f aca="false">IF(LEFT($A338,1)="B",INDEX('Harga Bahan'!$D$5:$D$200,MATCH($A338,'Harga Bahan'!$A$5:$A$200,0)),INDEX('Harga Upah'!$D$5:$D$200,MATCH($A338,'Harga Upah'!$A$5:$A$200,0)))</f>
        <v>11000</v>
      </c>
      <c r="F338" s="27" t="n">
        <f aca="false">D338*E338</f>
        <v>132000</v>
      </c>
      <c r="G338" s="23" t="s">
        <v>177</v>
      </c>
    </row>
    <row r="339" customFormat="false" ht="15" hidden="false" customHeight="false" outlineLevel="0" collapsed="false">
      <c r="A339" s="16" t="s">
        <v>256</v>
      </c>
      <c r="B339" s="29" t="str">
        <f aca="false">IF(LEFT($A339,1)="B",INDEX('Harga Bahan'!$B$5:$B$200,MATCH($A339,'Harga Bahan'!$A$5:$A$200,0)),INDEX('Harga Upah'!$B$5:$B$200,MATCH($A339,'Harga Upah'!$A$5:$A$200,0)))</f>
        <v>Pipa conduit</v>
      </c>
      <c r="C339" s="31" t="str">
        <f aca="false">IF(LEFT($A339,1)="B",INDEX('Harga Bahan'!$C$5:$C$200,MATCH($A339,'Harga Bahan'!$A$5:$A$200,0)),INDEX('Harga Upah'!$C$5:$C$200,MATCH($A339,'Harga Upah'!$A$5:$A$200,0)))</f>
        <v>m'</v>
      </c>
      <c r="D339" s="37" t="n">
        <v>6</v>
      </c>
      <c r="E339" s="17" t="n">
        <f aca="false">IF(LEFT($A339,1)="B",INDEX('Harga Bahan'!$D$5:$D$200,MATCH($A339,'Harga Bahan'!$A$5:$A$200,0)),INDEX('Harga Upah'!$D$5:$D$200,MATCH($A339,'Harga Upah'!$A$5:$A$200,0)))</f>
        <v>6500</v>
      </c>
      <c r="F339" s="27" t="n">
        <f aca="false">D339*E339</f>
        <v>39000</v>
      </c>
      <c r="G339" s="23" t="s">
        <v>177</v>
      </c>
    </row>
    <row r="340" customFormat="false" ht="15" hidden="false" customHeight="false" outlineLevel="0" collapsed="false">
      <c r="A340" s="16" t="s">
        <v>257</v>
      </c>
      <c r="B340" s="29" t="str">
        <f aca="false">IF(LEFT($A340,1)="B",INDEX('Harga Bahan'!$B$5:$B$200,MATCH($A340,'Harga Bahan'!$A$5:$A$200,0)),INDEX('Harga Upah'!$B$5:$B$200,MATCH($A340,'Harga Upah'!$A$5:$A$200,0)))</f>
        <v>Saklar</v>
      </c>
      <c r="C340" s="31" t="str">
        <f aca="false">IF(LEFT($A340,1)="B",INDEX('Harga Bahan'!$C$5:$C$200,MATCH($A340,'Harga Bahan'!$A$5:$A$200,0)),INDEX('Harga Upah'!$C$5:$C$200,MATCH($A340,'Harga Upah'!$A$5:$A$200,0)))</f>
        <v>bh</v>
      </c>
      <c r="D340" s="37" t="n">
        <v>0.5</v>
      </c>
      <c r="E340" s="17" t="n">
        <f aca="false">IF(LEFT($A340,1)="B",INDEX('Harga Bahan'!$D$5:$D$200,MATCH($A340,'Harga Bahan'!$A$5:$A$200,0)),INDEX('Harga Upah'!$D$5:$D$200,MATCH($A340,'Harga Upah'!$A$5:$A$200,0)))</f>
        <v>38000</v>
      </c>
      <c r="F340" s="27" t="n">
        <f aca="false">D340*E340</f>
        <v>19000</v>
      </c>
      <c r="G340" s="23" t="s">
        <v>177</v>
      </c>
    </row>
    <row r="341" customFormat="false" ht="15" hidden="false" customHeight="false" outlineLevel="0" collapsed="false">
      <c r="A341" s="16" t="s">
        <v>258</v>
      </c>
      <c r="B341" s="29" t="str">
        <f aca="false">IF(LEFT($A341,1)="B",INDEX('Harga Bahan'!$B$5:$B$200,MATCH($A341,'Harga Bahan'!$A$5:$A$200,0)),INDEX('Harga Upah'!$B$5:$B$200,MATCH($A341,'Harga Upah'!$A$5:$A$200,0)))</f>
        <v>Lampu LED 12W + fitting</v>
      </c>
      <c r="C341" s="31" t="str">
        <f aca="false">IF(LEFT($A341,1)="B",INDEX('Harga Bahan'!$C$5:$C$200,MATCH($A341,'Harga Bahan'!$A$5:$A$200,0)),INDEX('Harga Upah'!$C$5:$C$200,MATCH($A341,'Harga Upah'!$A$5:$A$200,0)))</f>
        <v>bh</v>
      </c>
      <c r="D341" s="37" t="n">
        <v>1</v>
      </c>
      <c r="E341" s="17" t="n">
        <f aca="false">IF(LEFT($A341,1)="B",INDEX('Harga Bahan'!$D$5:$D$200,MATCH($A341,'Harga Bahan'!$A$5:$A$200,0)),INDEX('Harga Upah'!$D$5:$D$200,MATCH($A341,'Harga Upah'!$A$5:$A$200,0)))</f>
        <v>65000</v>
      </c>
      <c r="F341" s="27" t="n">
        <f aca="false">D341*E341</f>
        <v>65000</v>
      </c>
      <c r="G341" s="23" t="s">
        <v>177</v>
      </c>
    </row>
    <row r="342" customFormat="false" ht="15" hidden="false" customHeight="false" outlineLevel="0" collapsed="false">
      <c r="A342" s="16" t="s">
        <v>180</v>
      </c>
      <c r="B342" s="29" t="str">
        <f aca="false">IF(LEFT($A342,1)="B",INDEX('Harga Bahan'!$B$5:$B$200,MATCH($A342,'Harga Bahan'!$A$5:$A$200,0)),INDEX('Harga Upah'!$B$5:$B$200,MATCH($A342,'Harga Upah'!$A$5:$A$200,0)))</f>
        <v>Pekerja</v>
      </c>
      <c r="C342" s="31" t="str">
        <f aca="false">IF(LEFT($A342,1)="B",INDEX('Harga Bahan'!$C$5:$C$200,MATCH($A342,'Harga Bahan'!$A$5:$A$200,0)),INDEX('Harga Upah'!$C$5:$C$200,MATCH($A342,'Harga Upah'!$A$5:$A$200,0)))</f>
        <v>OH</v>
      </c>
      <c r="D342" s="37" t="n">
        <v>0.3</v>
      </c>
      <c r="E342" s="17" t="n">
        <f aca="false">IF(LEFT($A342,1)="B",INDEX('Harga Bahan'!$D$5:$D$200,MATCH($A342,'Harga Bahan'!$A$5:$A$200,0)),INDEX('Harga Upah'!$D$5:$D$200,MATCH($A342,'Harga Upah'!$A$5:$A$200,0)))</f>
        <v>150000</v>
      </c>
      <c r="F342" s="27" t="n">
        <f aca="false">D342*E342</f>
        <v>45000</v>
      </c>
      <c r="G342" s="23" t="s">
        <v>181</v>
      </c>
    </row>
    <row r="343" customFormat="false" ht="15" hidden="false" customHeight="false" outlineLevel="0" collapsed="false">
      <c r="A343" s="16" t="s">
        <v>259</v>
      </c>
      <c r="B343" s="29" t="str">
        <f aca="false">IF(LEFT($A343,1)="B",INDEX('Harga Bahan'!$B$5:$B$200,MATCH($A343,'Harga Bahan'!$A$5:$A$200,0)),INDEX('Harga Upah'!$B$5:$B$200,MATCH($A343,'Harga Upah'!$A$5:$A$200,0)))</f>
        <v>Tukang listrik</v>
      </c>
      <c r="C343" s="31" t="str">
        <f aca="false">IF(LEFT($A343,1)="B",INDEX('Harga Bahan'!$C$5:$C$200,MATCH($A343,'Harga Bahan'!$A$5:$A$200,0)),INDEX('Harga Upah'!$C$5:$C$200,MATCH($A343,'Harga Upah'!$A$5:$A$200,0)))</f>
        <v>OH</v>
      </c>
      <c r="D343" s="37" t="n">
        <v>0.6</v>
      </c>
      <c r="E343" s="17" t="n">
        <f aca="false">IF(LEFT($A343,1)="B",INDEX('Harga Bahan'!$D$5:$D$200,MATCH($A343,'Harga Bahan'!$A$5:$A$200,0)),INDEX('Harga Upah'!$D$5:$D$200,MATCH($A343,'Harga Upah'!$A$5:$A$200,0)))</f>
        <v>200000</v>
      </c>
      <c r="F343" s="27" t="n">
        <f aca="false">D343*E343</f>
        <v>120000</v>
      </c>
      <c r="G343" s="23" t="s">
        <v>181</v>
      </c>
    </row>
    <row r="344" customFormat="false" ht="15" hidden="false" customHeight="false" outlineLevel="0" collapsed="false">
      <c r="A344" s="16" t="s">
        <v>183</v>
      </c>
      <c r="B344" s="29" t="str">
        <f aca="false">IF(LEFT($A344,1)="B",INDEX('Harga Bahan'!$B$5:$B$200,MATCH($A344,'Harga Bahan'!$A$5:$A$200,0)),INDEX('Harga Upah'!$B$5:$B$200,MATCH($A344,'Harga Upah'!$A$5:$A$200,0)))</f>
        <v>Kepala tukang</v>
      </c>
      <c r="C344" s="31" t="str">
        <f aca="false">IF(LEFT($A344,1)="B",INDEX('Harga Bahan'!$C$5:$C$200,MATCH($A344,'Harga Bahan'!$A$5:$A$200,0)),INDEX('Harga Upah'!$C$5:$C$200,MATCH($A344,'Harga Upah'!$A$5:$A$200,0)))</f>
        <v>OH</v>
      </c>
      <c r="D344" s="37" t="n">
        <v>0.06</v>
      </c>
      <c r="E344" s="17" t="n">
        <f aca="false">IF(LEFT($A344,1)="B",INDEX('Harga Bahan'!$D$5:$D$200,MATCH($A344,'Harga Bahan'!$A$5:$A$200,0)),INDEX('Harga Upah'!$D$5:$D$200,MATCH($A344,'Harga Upah'!$A$5:$A$200,0)))</f>
        <v>210000</v>
      </c>
      <c r="F344" s="27" t="n">
        <f aca="false">D344*E344</f>
        <v>12600</v>
      </c>
      <c r="G344" s="23" t="s">
        <v>181</v>
      </c>
    </row>
    <row r="345" customFormat="false" ht="15" hidden="false" customHeight="false" outlineLevel="0" collapsed="false">
      <c r="A345" s="16" t="s">
        <v>184</v>
      </c>
      <c r="B345" s="29" t="str">
        <f aca="false">IF(LEFT($A345,1)="B",INDEX('Harga Bahan'!$B$5:$B$200,MATCH($A345,'Harga Bahan'!$A$5:$A$200,0)),INDEX('Harga Upah'!$B$5:$B$200,MATCH($A345,'Harga Upah'!$A$5:$A$200,0)))</f>
        <v>Mandor</v>
      </c>
      <c r="C345" s="31" t="str">
        <f aca="false">IF(LEFT($A345,1)="B",INDEX('Harga Bahan'!$C$5:$C$200,MATCH($A345,'Harga Bahan'!$A$5:$A$200,0)),INDEX('Harga Upah'!$C$5:$C$200,MATCH($A345,'Harga Upah'!$A$5:$A$200,0)))</f>
        <v>OH</v>
      </c>
      <c r="D345" s="37" t="n">
        <v>0.03</v>
      </c>
      <c r="E345" s="17" t="n">
        <f aca="false">IF(LEFT($A345,1)="B",INDEX('Harga Bahan'!$D$5:$D$200,MATCH($A345,'Harga Bahan'!$A$5:$A$200,0)),INDEX('Harga Upah'!$D$5:$D$200,MATCH($A345,'Harga Upah'!$A$5:$A$200,0)))</f>
        <v>225000</v>
      </c>
      <c r="F345" s="27" t="n">
        <f aca="false">D345*E345</f>
        <v>6750</v>
      </c>
      <c r="G345" s="23" t="s">
        <v>181</v>
      </c>
    </row>
    <row r="346" customFormat="false" ht="15" hidden="false" customHeight="false" outlineLevel="0" collapsed="false">
      <c r="A346" s="32"/>
      <c r="B346" s="32" t="s">
        <v>185</v>
      </c>
      <c r="C346" s="32"/>
      <c r="D346" s="32"/>
      <c r="E346" s="32"/>
      <c r="F346" s="38" t="n">
        <f aca="false">SUMIF(G338:G345,"Bahan",F338:F345)</f>
        <v>255000</v>
      </c>
      <c r="G346" s="32"/>
    </row>
    <row r="347" customFormat="false" ht="15" hidden="false" customHeight="false" outlineLevel="0" collapsed="false">
      <c r="A347" s="32"/>
      <c r="B347" s="32" t="s">
        <v>186</v>
      </c>
      <c r="C347" s="32"/>
      <c r="D347" s="32"/>
      <c r="E347" s="32"/>
      <c r="F347" s="38" t="n">
        <f aca="false">SUMIF(G338:G345,"Upah",F338:F345)</f>
        <v>184350</v>
      </c>
      <c r="G347" s="32"/>
    </row>
    <row r="348" customFormat="false" ht="15" hidden="false" customHeight="false" outlineLevel="0" collapsed="false">
      <c r="A348" s="32"/>
      <c r="B348" s="32" t="str">
        <f aca="false">"Overhead &amp; profit ("&amp;TEXT('Informasi Project'!$B$17,"0.0%")&amp;")"</f>
        <v>Overhead &amp; profit (15.0%)</v>
      </c>
      <c r="C348" s="32"/>
      <c r="D348" s="32"/>
      <c r="E348" s="32"/>
      <c r="F348" s="38" t="n">
        <f aca="false">(F346+F347)*'Informasi Project'!$B$17</f>
        <v>65902.5</v>
      </c>
      <c r="G348" s="32"/>
    </row>
    <row r="349" customFormat="false" ht="15" hidden="false" customHeight="false" outlineLevel="0" collapsed="false">
      <c r="A349" s="19"/>
      <c r="B349" s="3" t="s">
        <v>187</v>
      </c>
      <c r="C349" s="19"/>
      <c r="D349" s="19"/>
      <c r="E349" s="19"/>
      <c r="F349" s="20" t="n">
        <f aca="false">F346+F347+F348</f>
        <v>505252.5</v>
      </c>
      <c r="G349" s="19"/>
    </row>
    <row r="351" customFormat="false" ht="15" hidden="false" customHeight="false" outlineLevel="0" collapsed="false">
      <c r="A351" s="3" t="s">
        <v>159</v>
      </c>
      <c r="B351" s="3" t="s">
        <v>260</v>
      </c>
      <c r="C351" s="3" t="s">
        <v>254</v>
      </c>
      <c r="D351" s="3"/>
      <c r="E351" s="36" t="s">
        <v>175</v>
      </c>
      <c r="F351" s="20" t="n">
        <f aca="false">F362</f>
        <v>388843.75</v>
      </c>
      <c r="G351" s="3"/>
    </row>
    <row r="352" customFormat="false" ht="15" hidden="false" customHeight="false" outlineLevel="0" collapsed="false">
      <c r="A352" s="16" t="s">
        <v>255</v>
      </c>
      <c r="B352" s="29" t="str">
        <f aca="false">IF(LEFT($A352,1)="B",INDEX('Harga Bahan'!$B$5:$B$200,MATCH($A352,'Harga Bahan'!$A$5:$A$200,0)),INDEX('Harga Upah'!$B$5:$B$200,MATCH($A352,'Harga Upah'!$A$5:$A$200,0)))</f>
        <v>Kabel NYM 2x1,5 mm²</v>
      </c>
      <c r="C352" s="31" t="str">
        <f aca="false">IF(LEFT($A352,1)="B",INDEX('Harga Bahan'!$C$5:$C$200,MATCH($A352,'Harga Bahan'!$A$5:$A$200,0)),INDEX('Harga Upah'!$C$5:$C$200,MATCH($A352,'Harga Upah'!$A$5:$A$200,0)))</f>
        <v>m'</v>
      </c>
      <c r="D352" s="37" t="n">
        <v>10</v>
      </c>
      <c r="E352" s="17" t="n">
        <f aca="false">IF(LEFT($A352,1)="B",INDEX('Harga Bahan'!$D$5:$D$200,MATCH($A352,'Harga Bahan'!$A$5:$A$200,0)),INDEX('Harga Upah'!$D$5:$D$200,MATCH($A352,'Harga Upah'!$A$5:$A$200,0)))</f>
        <v>11000</v>
      </c>
      <c r="F352" s="27" t="n">
        <f aca="false">D352*E352</f>
        <v>110000</v>
      </c>
      <c r="G352" s="23" t="s">
        <v>177</v>
      </c>
    </row>
    <row r="353" customFormat="false" ht="15" hidden="false" customHeight="false" outlineLevel="0" collapsed="false">
      <c r="A353" s="16" t="s">
        <v>256</v>
      </c>
      <c r="B353" s="29" t="str">
        <f aca="false">IF(LEFT($A353,1)="B",INDEX('Harga Bahan'!$B$5:$B$200,MATCH($A353,'Harga Bahan'!$A$5:$A$200,0)),INDEX('Harga Upah'!$B$5:$B$200,MATCH($A353,'Harga Upah'!$A$5:$A$200,0)))</f>
        <v>Pipa conduit</v>
      </c>
      <c r="C353" s="31" t="str">
        <f aca="false">IF(LEFT($A353,1)="B",INDEX('Harga Bahan'!$C$5:$C$200,MATCH($A353,'Harga Bahan'!$A$5:$A$200,0)),INDEX('Harga Upah'!$C$5:$C$200,MATCH($A353,'Harga Upah'!$A$5:$A$200,0)))</f>
        <v>m'</v>
      </c>
      <c r="D353" s="37" t="n">
        <v>5</v>
      </c>
      <c r="E353" s="17" t="n">
        <f aca="false">IF(LEFT($A353,1)="B",INDEX('Harga Bahan'!$D$5:$D$200,MATCH($A353,'Harga Bahan'!$A$5:$A$200,0)),INDEX('Harga Upah'!$D$5:$D$200,MATCH($A353,'Harga Upah'!$A$5:$A$200,0)))</f>
        <v>6500</v>
      </c>
      <c r="F353" s="27" t="n">
        <f aca="false">D353*E353</f>
        <v>32500</v>
      </c>
      <c r="G353" s="23" t="s">
        <v>177</v>
      </c>
    </row>
    <row r="354" customFormat="false" ht="15" hidden="false" customHeight="false" outlineLevel="0" collapsed="false">
      <c r="A354" s="16" t="s">
        <v>261</v>
      </c>
      <c r="B354" s="29" t="str">
        <f aca="false">IF(LEFT($A354,1)="B",INDEX('Harga Bahan'!$B$5:$B$200,MATCH($A354,'Harga Bahan'!$A$5:$A$200,0)),INDEX('Harga Upah'!$B$5:$B$200,MATCH($A354,'Harga Upah'!$A$5:$A$200,0)))</f>
        <v>Stop kontak</v>
      </c>
      <c r="C354" s="31" t="str">
        <f aca="false">IF(LEFT($A354,1)="B",INDEX('Harga Bahan'!$C$5:$C$200,MATCH($A354,'Harga Bahan'!$A$5:$A$200,0)),INDEX('Harga Upah'!$C$5:$C$200,MATCH($A354,'Harga Upah'!$A$5:$A$200,0)))</f>
        <v>bh</v>
      </c>
      <c r="D354" s="37" t="n">
        <v>1</v>
      </c>
      <c r="E354" s="17" t="n">
        <f aca="false">IF(LEFT($A354,1)="B",INDEX('Harga Bahan'!$D$5:$D$200,MATCH($A354,'Harga Bahan'!$A$5:$A$200,0)),INDEX('Harga Upah'!$D$5:$D$200,MATCH($A354,'Harga Upah'!$A$5:$A$200,0)))</f>
        <v>42000</v>
      </c>
      <c r="F354" s="27" t="n">
        <f aca="false">D354*E354</f>
        <v>42000</v>
      </c>
      <c r="G354" s="23" t="s">
        <v>177</v>
      </c>
    </row>
    <row r="355" customFormat="false" ht="15" hidden="false" customHeight="false" outlineLevel="0" collapsed="false">
      <c r="A355" s="16" t="s">
        <v>180</v>
      </c>
      <c r="B355" s="29" t="str">
        <f aca="false">IF(LEFT($A355,1)="B",INDEX('Harga Bahan'!$B$5:$B$200,MATCH($A355,'Harga Bahan'!$A$5:$A$200,0)),INDEX('Harga Upah'!$B$5:$B$200,MATCH($A355,'Harga Upah'!$A$5:$A$200,0)))</f>
        <v>Pekerja</v>
      </c>
      <c r="C355" s="31" t="str">
        <f aca="false">IF(LEFT($A355,1)="B",INDEX('Harga Bahan'!$C$5:$C$200,MATCH($A355,'Harga Bahan'!$A$5:$A$200,0)),INDEX('Harga Upah'!$C$5:$C$200,MATCH($A355,'Harga Upah'!$A$5:$A$200,0)))</f>
        <v>OH</v>
      </c>
      <c r="D355" s="37" t="n">
        <v>0.25</v>
      </c>
      <c r="E355" s="17" t="n">
        <f aca="false">IF(LEFT($A355,1)="B",INDEX('Harga Bahan'!$D$5:$D$200,MATCH($A355,'Harga Bahan'!$A$5:$A$200,0)),INDEX('Harga Upah'!$D$5:$D$200,MATCH($A355,'Harga Upah'!$A$5:$A$200,0)))</f>
        <v>150000</v>
      </c>
      <c r="F355" s="27" t="n">
        <f aca="false">D355*E355</f>
        <v>37500</v>
      </c>
      <c r="G355" s="23" t="s">
        <v>181</v>
      </c>
    </row>
    <row r="356" customFormat="false" ht="15" hidden="false" customHeight="false" outlineLevel="0" collapsed="false">
      <c r="A356" s="16" t="s">
        <v>259</v>
      </c>
      <c r="B356" s="29" t="str">
        <f aca="false">IF(LEFT($A356,1)="B",INDEX('Harga Bahan'!$B$5:$B$200,MATCH($A356,'Harga Bahan'!$A$5:$A$200,0)),INDEX('Harga Upah'!$B$5:$B$200,MATCH($A356,'Harga Upah'!$A$5:$A$200,0)))</f>
        <v>Tukang listrik</v>
      </c>
      <c r="C356" s="31" t="str">
        <f aca="false">IF(LEFT($A356,1)="B",INDEX('Harga Bahan'!$C$5:$C$200,MATCH($A356,'Harga Bahan'!$A$5:$A$200,0)),INDEX('Harga Upah'!$C$5:$C$200,MATCH($A356,'Harga Upah'!$A$5:$A$200,0)))</f>
        <v>OH</v>
      </c>
      <c r="D356" s="37" t="n">
        <v>0.5</v>
      </c>
      <c r="E356" s="17" t="n">
        <f aca="false">IF(LEFT($A356,1)="B",INDEX('Harga Bahan'!$D$5:$D$200,MATCH($A356,'Harga Bahan'!$A$5:$A$200,0)),INDEX('Harga Upah'!$D$5:$D$200,MATCH($A356,'Harga Upah'!$A$5:$A$200,0)))</f>
        <v>200000</v>
      </c>
      <c r="F356" s="27" t="n">
        <f aca="false">D356*E356</f>
        <v>100000</v>
      </c>
      <c r="G356" s="23" t="s">
        <v>181</v>
      </c>
    </row>
    <row r="357" customFormat="false" ht="15" hidden="false" customHeight="false" outlineLevel="0" collapsed="false">
      <c r="A357" s="16" t="s">
        <v>183</v>
      </c>
      <c r="B357" s="29" t="str">
        <f aca="false">IF(LEFT($A357,1)="B",INDEX('Harga Bahan'!$B$5:$B$200,MATCH($A357,'Harga Bahan'!$A$5:$A$200,0)),INDEX('Harga Upah'!$B$5:$B$200,MATCH($A357,'Harga Upah'!$A$5:$A$200,0)))</f>
        <v>Kepala tukang</v>
      </c>
      <c r="C357" s="31" t="str">
        <f aca="false">IF(LEFT($A357,1)="B",INDEX('Harga Bahan'!$C$5:$C$200,MATCH($A357,'Harga Bahan'!$A$5:$A$200,0)),INDEX('Harga Upah'!$C$5:$C$200,MATCH($A357,'Harga Upah'!$A$5:$A$200,0)))</f>
        <v>OH</v>
      </c>
      <c r="D357" s="37" t="n">
        <v>0.05</v>
      </c>
      <c r="E357" s="17" t="n">
        <f aca="false">IF(LEFT($A357,1)="B",INDEX('Harga Bahan'!$D$5:$D$200,MATCH($A357,'Harga Bahan'!$A$5:$A$200,0)),INDEX('Harga Upah'!$D$5:$D$200,MATCH($A357,'Harga Upah'!$A$5:$A$200,0)))</f>
        <v>210000</v>
      </c>
      <c r="F357" s="27" t="n">
        <f aca="false">D357*E357</f>
        <v>10500</v>
      </c>
      <c r="G357" s="23" t="s">
        <v>181</v>
      </c>
    </row>
    <row r="358" customFormat="false" ht="15" hidden="false" customHeight="false" outlineLevel="0" collapsed="false">
      <c r="A358" s="16" t="s">
        <v>184</v>
      </c>
      <c r="B358" s="29" t="str">
        <f aca="false">IF(LEFT($A358,1)="B",INDEX('Harga Bahan'!$B$5:$B$200,MATCH($A358,'Harga Bahan'!$A$5:$A$200,0)),INDEX('Harga Upah'!$B$5:$B$200,MATCH($A358,'Harga Upah'!$A$5:$A$200,0)))</f>
        <v>Mandor</v>
      </c>
      <c r="C358" s="31" t="str">
        <f aca="false">IF(LEFT($A358,1)="B",INDEX('Harga Bahan'!$C$5:$C$200,MATCH($A358,'Harga Bahan'!$A$5:$A$200,0)),INDEX('Harga Upah'!$C$5:$C$200,MATCH($A358,'Harga Upah'!$A$5:$A$200,0)))</f>
        <v>OH</v>
      </c>
      <c r="D358" s="37" t="n">
        <v>0.025</v>
      </c>
      <c r="E358" s="17" t="n">
        <f aca="false">IF(LEFT($A358,1)="B",INDEX('Harga Bahan'!$D$5:$D$200,MATCH($A358,'Harga Bahan'!$A$5:$A$200,0)),INDEX('Harga Upah'!$D$5:$D$200,MATCH($A358,'Harga Upah'!$A$5:$A$200,0)))</f>
        <v>225000</v>
      </c>
      <c r="F358" s="27" t="n">
        <f aca="false">D358*E358</f>
        <v>5625</v>
      </c>
      <c r="G358" s="23" t="s">
        <v>181</v>
      </c>
    </row>
    <row r="359" customFormat="false" ht="15" hidden="false" customHeight="false" outlineLevel="0" collapsed="false">
      <c r="A359" s="32"/>
      <c r="B359" s="32" t="s">
        <v>185</v>
      </c>
      <c r="C359" s="32"/>
      <c r="D359" s="32"/>
      <c r="E359" s="32"/>
      <c r="F359" s="38" t="n">
        <f aca="false">SUMIF(G352:G358,"Bahan",F352:F358)</f>
        <v>184500</v>
      </c>
      <c r="G359" s="32"/>
    </row>
    <row r="360" customFormat="false" ht="15" hidden="false" customHeight="false" outlineLevel="0" collapsed="false">
      <c r="A360" s="32"/>
      <c r="B360" s="32" t="s">
        <v>186</v>
      </c>
      <c r="C360" s="32"/>
      <c r="D360" s="32"/>
      <c r="E360" s="32"/>
      <c r="F360" s="38" t="n">
        <f aca="false">SUMIF(G352:G358,"Upah",F352:F358)</f>
        <v>153625</v>
      </c>
      <c r="G360" s="32"/>
    </row>
    <row r="361" customFormat="false" ht="15" hidden="false" customHeight="false" outlineLevel="0" collapsed="false">
      <c r="A361" s="32"/>
      <c r="B361" s="32" t="str">
        <f aca="false">"Overhead &amp; profit ("&amp;TEXT('Informasi Project'!$B$17,"0.0%")&amp;")"</f>
        <v>Overhead &amp; profit (15.0%)</v>
      </c>
      <c r="C361" s="32"/>
      <c r="D361" s="32"/>
      <c r="E361" s="32"/>
      <c r="F361" s="38" t="n">
        <f aca="false">(F359+F360)*'Informasi Project'!$B$17</f>
        <v>50718.75</v>
      </c>
      <c r="G361" s="32"/>
    </row>
    <row r="362" customFormat="false" ht="15" hidden="false" customHeight="false" outlineLevel="0" collapsed="false">
      <c r="A362" s="19"/>
      <c r="B362" s="3" t="s">
        <v>187</v>
      </c>
      <c r="C362" s="19"/>
      <c r="D362" s="19"/>
      <c r="E362" s="19"/>
      <c r="F362" s="20" t="n">
        <f aca="false">F359+F360+F361</f>
        <v>388843.75</v>
      </c>
      <c r="G362" s="19"/>
    </row>
    <row r="364" customFormat="false" ht="15" hidden="false" customHeight="false" outlineLevel="0" collapsed="false">
      <c r="A364" s="3" t="s">
        <v>163</v>
      </c>
      <c r="B364" s="3" t="s">
        <v>262</v>
      </c>
      <c r="C364" s="3" t="s">
        <v>189</v>
      </c>
      <c r="D364" s="3"/>
      <c r="E364" s="36" t="s">
        <v>175</v>
      </c>
      <c r="F364" s="20" t="n">
        <f aca="false">F370</f>
        <v>9271.875</v>
      </c>
      <c r="G364" s="3"/>
    </row>
    <row r="365" customFormat="false" ht="15" hidden="false" customHeight="false" outlineLevel="0" collapsed="false">
      <c r="A365" s="16" t="s">
        <v>180</v>
      </c>
      <c r="B365" s="29" t="str">
        <f aca="false">IF(LEFT($A365,1)="B",INDEX('Harga Bahan'!$B$5:$B$200,MATCH($A365,'Harga Bahan'!$A$5:$A$200,0)),INDEX('Harga Upah'!$B$5:$B$200,MATCH($A365,'Harga Upah'!$A$5:$A$200,0)))</f>
        <v>Pekerja</v>
      </c>
      <c r="C365" s="31" t="str">
        <f aca="false">IF(LEFT($A365,1)="B",INDEX('Harga Bahan'!$C$5:$C$200,MATCH($A365,'Harga Bahan'!$A$5:$A$200,0)),INDEX('Harga Upah'!$C$5:$C$200,MATCH($A365,'Harga Upah'!$A$5:$A$200,0)))</f>
        <v>OH</v>
      </c>
      <c r="D365" s="37" t="n">
        <v>0.05</v>
      </c>
      <c r="E365" s="17" t="n">
        <f aca="false">IF(LEFT($A365,1)="B",INDEX('Harga Bahan'!$D$5:$D$200,MATCH($A365,'Harga Bahan'!$A$5:$A$200,0)),INDEX('Harga Upah'!$D$5:$D$200,MATCH($A365,'Harga Upah'!$A$5:$A$200,0)))</f>
        <v>150000</v>
      </c>
      <c r="F365" s="27" t="n">
        <f aca="false">D365*E365</f>
        <v>7500</v>
      </c>
      <c r="G365" s="23" t="s">
        <v>181</v>
      </c>
    </row>
    <row r="366" customFormat="false" ht="15" hidden="false" customHeight="false" outlineLevel="0" collapsed="false">
      <c r="A366" s="16" t="s">
        <v>184</v>
      </c>
      <c r="B366" s="29" t="str">
        <f aca="false">IF(LEFT($A366,1)="B",INDEX('Harga Bahan'!$B$5:$B$200,MATCH($A366,'Harga Bahan'!$A$5:$A$200,0)),INDEX('Harga Upah'!$B$5:$B$200,MATCH($A366,'Harga Upah'!$A$5:$A$200,0)))</f>
        <v>Mandor</v>
      </c>
      <c r="C366" s="31" t="str">
        <f aca="false">IF(LEFT($A366,1)="B",INDEX('Harga Bahan'!$C$5:$C$200,MATCH($A366,'Harga Bahan'!$A$5:$A$200,0)),INDEX('Harga Upah'!$C$5:$C$200,MATCH($A366,'Harga Upah'!$A$5:$A$200,0)))</f>
        <v>OH</v>
      </c>
      <c r="D366" s="37" t="n">
        <v>0.0025</v>
      </c>
      <c r="E366" s="17" t="n">
        <f aca="false">IF(LEFT($A366,1)="B",INDEX('Harga Bahan'!$D$5:$D$200,MATCH($A366,'Harga Bahan'!$A$5:$A$200,0)),INDEX('Harga Upah'!$D$5:$D$200,MATCH($A366,'Harga Upah'!$A$5:$A$200,0)))</f>
        <v>225000</v>
      </c>
      <c r="F366" s="27" t="n">
        <f aca="false">D366*E366</f>
        <v>562.5</v>
      </c>
      <c r="G366" s="23" t="s">
        <v>181</v>
      </c>
    </row>
    <row r="367" customFormat="false" ht="15" hidden="false" customHeight="false" outlineLevel="0" collapsed="false">
      <c r="A367" s="32"/>
      <c r="B367" s="32" t="s">
        <v>185</v>
      </c>
      <c r="C367" s="32"/>
      <c r="D367" s="32"/>
      <c r="E367" s="32"/>
      <c r="F367" s="38" t="n">
        <f aca="false">SUMIF(G365:G366,"Bahan",F365:F366)</f>
        <v>0</v>
      </c>
      <c r="G367" s="32"/>
    </row>
    <row r="368" customFormat="false" ht="15" hidden="false" customHeight="false" outlineLevel="0" collapsed="false">
      <c r="A368" s="32"/>
      <c r="B368" s="32" t="s">
        <v>186</v>
      </c>
      <c r="C368" s="32"/>
      <c r="D368" s="32"/>
      <c r="E368" s="32"/>
      <c r="F368" s="38" t="n">
        <f aca="false">SUMIF(G365:G366,"Upah",F365:F366)</f>
        <v>8062.5</v>
      </c>
      <c r="G368" s="32"/>
    </row>
    <row r="369" customFormat="false" ht="15" hidden="false" customHeight="false" outlineLevel="0" collapsed="false">
      <c r="A369" s="32"/>
      <c r="B369" s="32" t="str">
        <f aca="false">"Overhead &amp; profit ("&amp;TEXT('Informasi Project'!$B$17,"0.0%")&amp;")"</f>
        <v>Overhead &amp; profit (15.0%)</v>
      </c>
      <c r="C369" s="32"/>
      <c r="D369" s="32"/>
      <c r="E369" s="32"/>
      <c r="F369" s="38" t="n">
        <f aca="false">(F367+F368)*'Informasi Project'!$B$17</f>
        <v>1209.375</v>
      </c>
      <c r="G369" s="32"/>
    </row>
    <row r="370" customFormat="false" ht="15" hidden="false" customHeight="false" outlineLevel="0" collapsed="false">
      <c r="A370" s="19"/>
      <c r="B370" s="3" t="s">
        <v>187</v>
      </c>
      <c r="C370" s="19"/>
      <c r="D370" s="19"/>
      <c r="E370" s="19"/>
      <c r="F370" s="20" t="n">
        <f aca="false">F367+F368+F369</f>
        <v>9271.875</v>
      </c>
      <c r="G37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5" t="s">
        <v>263</v>
      </c>
    </row>
    <row r="2" customFormat="false" ht="15" hidden="false" customHeight="false" outlineLevel="0" collapsed="false">
      <c r="A2" s="2" t="s">
        <v>264</v>
      </c>
    </row>
    <row r="4" customFormat="false" ht="15" hidden="false" customHeight="false" outlineLevel="0" collapsed="false">
      <c r="A4" s="14" t="s">
        <v>169</v>
      </c>
      <c r="B4" s="14" t="s">
        <v>170</v>
      </c>
      <c r="C4" s="14" t="s">
        <v>74</v>
      </c>
      <c r="D4" s="14" t="s">
        <v>76</v>
      </c>
    </row>
    <row r="5" customFormat="false" ht="15" hidden="false" customHeight="false" outlineLevel="0" collapsed="false">
      <c r="A5" s="16" t="s">
        <v>199</v>
      </c>
      <c r="B5" s="16" t="s">
        <v>265</v>
      </c>
      <c r="C5" s="23" t="s">
        <v>209</v>
      </c>
      <c r="D5" s="26" t="n">
        <v>1900</v>
      </c>
    </row>
    <row r="6" customFormat="false" ht="15" hidden="false" customHeight="false" outlineLevel="0" collapsed="false">
      <c r="A6" s="16" t="s">
        <v>193</v>
      </c>
      <c r="B6" s="16" t="s">
        <v>266</v>
      </c>
      <c r="C6" s="23" t="s">
        <v>191</v>
      </c>
      <c r="D6" s="26" t="n">
        <v>300000</v>
      </c>
    </row>
    <row r="7" customFormat="false" ht="15" hidden="false" customHeight="false" outlineLevel="0" collapsed="false">
      <c r="A7" s="16" t="s">
        <v>204</v>
      </c>
      <c r="B7" s="16" t="s">
        <v>267</v>
      </c>
      <c r="C7" s="23" t="s">
        <v>191</v>
      </c>
      <c r="D7" s="26" t="n">
        <v>330000</v>
      </c>
    </row>
    <row r="8" customFormat="false" ht="15" hidden="false" customHeight="false" outlineLevel="0" collapsed="false">
      <c r="A8" s="16" t="s">
        <v>205</v>
      </c>
      <c r="B8" s="16" t="s">
        <v>268</v>
      </c>
      <c r="C8" s="23" t="s">
        <v>191</v>
      </c>
      <c r="D8" s="26" t="n">
        <v>450000</v>
      </c>
    </row>
    <row r="9" customFormat="false" ht="15" hidden="false" customHeight="false" outlineLevel="0" collapsed="false">
      <c r="A9" s="16" t="s">
        <v>198</v>
      </c>
      <c r="B9" s="16" t="s">
        <v>269</v>
      </c>
      <c r="C9" s="23" t="s">
        <v>191</v>
      </c>
      <c r="D9" s="26" t="n">
        <v>350000</v>
      </c>
    </row>
    <row r="10" customFormat="false" ht="15" hidden="false" customHeight="false" outlineLevel="0" collapsed="false">
      <c r="A10" s="16" t="s">
        <v>195</v>
      </c>
      <c r="B10" s="16" t="s">
        <v>270</v>
      </c>
      <c r="C10" s="23" t="s">
        <v>191</v>
      </c>
      <c r="D10" s="26" t="n">
        <v>330000</v>
      </c>
    </row>
    <row r="11" customFormat="false" ht="15" hidden="false" customHeight="false" outlineLevel="0" collapsed="false">
      <c r="A11" s="16" t="s">
        <v>217</v>
      </c>
      <c r="B11" s="16" t="s">
        <v>271</v>
      </c>
      <c r="C11" s="23" t="s">
        <v>272</v>
      </c>
      <c r="D11" s="26" t="n">
        <v>1200</v>
      </c>
    </row>
    <row r="12" customFormat="false" ht="15" hidden="false" customHeight="false" outlineLevel="0" collapsed="false">
      <c r="A12" s="16" t="s">
        <v>210</v>
      </c>
      <c r="B12" s="16" t="s">
        <v>273</v>
      </c>
      <c r="C12" s="23" t="s">
        <v>209</v>
      </c>
      <c r="D12" s="26" t="n">
        <v>17500</v>
      </c>
    </row>
    <row r="13" customFormat="false" ht="15" hidden="false" customHeight="false" outlineLevel="0" collapsed="false">
      <c r="A13" s="16" t="s">
        <v>211</v>
      </c>
      <c r="B13" s="16" t="s">
        <v>274</v>
      </c>
      <c r="C13" s="23" t="s">
        <v>209</v>
      </c>
      <c r="D13" s="26" t="n">
        <v>28000</v>
      </c>
    </row>
    <row r="14" customFormat="false" ht="15" hidden="false" customHeight="false" outlineLevel="0" collapsed="false">
      <c r="A14" s="16" t="s">
        <v>178</v>
      </c>
      <c r="B14" s="16" t="s">
        <v>275</v>
      </c>
      <c r="C14" s="23" t="s">
        <v>191</v>
      </c>
      <c r="D14" s="26" t="n">
        <v>6500000</v>
      </c>
    </row>
    <row r="15" customFormat="false" ht="15" hidden="false" customHeight="false" outlineLevel="0" collapsed="false">
      <c r="A15" s="16" t="s">
        <v>176</v>
      </c>
      <c r="B15" s="16" t="s">
        <v>276</v>
      </c>
      <c r="C15" s="23" t="s">
        <v>191</v>
      </c>
      <c r="D15" s="26" t="n">
        <v>4500000</v>
      </c>
    </row>
    <row r="16" customFormat="false" ht="15" hidden="false" customHeight="false" outlineLevel="0" collapsed="false">
      <c r="A16" s="16" t="s">
        <v>214</v>
      </c>
      <c r="B16" s="16" t="s">
        <v>277</v>
      </c>
      <c r="C16" s="23" t="s">
        <v>278</v>
      </c>
      <c r="D16" s="26" t="n">
        <v>285000</v>
      </c>
    </row>
    <row r="17" customFormat="false" ht="15" hidden="false" customHeight="false" outlineLevel="0" collapsed="false">
      <c r="A17" s="16" t="s">
        <v>179</v>
      </c>
      <c r="B17" s="16" t="s">
        <v>279</v>
      </c>
      <c r="C17" s="23" t="s">
        <v>209</v>
      </c>
      <c r="D17" s="26" t="n">
        <v>28000</v>
      </c>
    </row>
    <row r="18" customFormat="false" ht="15" hidden="false" customHeight="false" outlineLevel="0" collapsed="false">
      <c r="A18" s="16" t="s">
        <v>206</v>
      </c>
      <c r="B18" s="16" t="s">
        <v>280</v>
      </c>
      <c r="C18" s="23" t="s">
        <v>281</v>
      </c>
      <c r="D18" s="26" t="n">
        <v>60</v>
      </c>
    </row>
    <row r="19" customFormat="false" ht="15" hidden="false" customHeight="false" outlineLevel="0" collapsed="false">
      <c r="A19" s="16" t="s">
        <v>202</v>
      </c>
      <c r="B19" s="16" t="s">
        <v>282</v>
      </c>
      <c r="C19" s="23" t="s">
        <v>191</v>
      </c>
      <c r="D19" s="26" t="n">
        <v>110000</v>
      </c>
    </row>
    <row r="20" customFormat="false" ht="15" hidden="false" customHeight="false" outlineLevel="0" collapsed="false">
      <c r="A20" s="16" t="s">
        <v>221</v>
      </c>
      <c r="B20" s="16" t="s">
        <v>283</v>
      </c>
      <c r="C20" s="23" t="s">
        <v>189</v>
      </c>
      <c r="D20" s="26" t="n">
        <v>285000</v>
      </c>
    </row>
    <row r="21" customFormat="false" ht="15" hidden="false" customHeight="false" outlineLevel="0" collapsed="false">
      <c r="A21" s="16" t="s">
        <v>222</v>
      </c>
      <c r="B21" s="16" t="s">
        <v>284</v>
      </c>
      <c r="C21" s="23" t="s">
        <v>189</v>
      </c>
      <c r="D21" s="26" t="n">
        <v>98000</v>
      </c>
    </row>
    <row r="22" customFormat="false" ht="15" hidden="false" customHeight="false" outlineLevel="0" collapsed="false">
      <c r="A22" s="16" t="s">
        <v>225</v>
      </c>
      <c r="B22" s="16" t="s">
        <v>224</v>
      </c>
      <c r="C22" s="23" t="s">
        <v>174</v>
      </c>
      <c r="D22" s="26" t="n">
        <v>65000</v>
      </c>
    </row>
    <row r="23" customFormat="false" ht="15" hidden="false" customHeight="false" outlineLevel="0" collapsed="false">
      <c r="A23" s="16" t="s">
        <v>227</v>
      </c>
      <c r="B23" s="16" t="s">
        <v>285</v>
      </c>
      <c r="C23" s="23" t="s">
        <v>278</v>
      </c>
      <c r="D23" s="26" t="n">
        <v>95000</v>
      </c>
    </row>
    <row r="24" customFormat="false" ht="15" hidden="false" customHeight="false" outlineLevel="0" collapsed="false">
      <c r="A24" s="16" t="s">
        <v>228</v>
      </c>
      <c r="B24" s="16" t="s">
        <v>286</v>
      </c>
      <c r="C24" s="23" t="s">
        <v>189</v>
      </c>
      <c r="D24" s="26" t="n">
        <v>45000</v>
      </c>
    </row>
    <row r="25" customFormat="false" ht="15" hidden="false" customHeight="false" outlineLevel="0" collapsed="false">
      <c r="A25" s="16" t="s">
        <v>230</v>
      </c>
      <c r="B25" s="16" t="s">
        <v>287</v>
      </c>
      <c r="C25" s="23" t="s">
        <v>189</v>
      </c>
      <c r="D25" s="26" t="n">
        <v>105000</v>
      </c>
    </row>
    <row r="26" customFormat="false" ht="15" hidden="false" customHeight="false" outlineLevel="0" collapsed="false">
      <c r="A26" s="16" t="s">
        <v>232</v>
      </c>
      <c r="B26" s="16" t="s">
        <v>288</v>
      </c>
      <c r="C26" s="23" t="s">
        <v>189</v>
      </c>
      <c r="D26" s="26" t="n">
        <v>115000</v>
      </c>
    </row>
    <row r="27" customFormat="false" ht="15" hidden="false" customHeight="false" outlineLevel="0" collapsed="false">
      <c r="A27" s="16" t="s">
        <v>239</v>
      </c>
      <c r="B27" s="16" t="s">
        <v>289</v>
      </c>
      <c r="C27" s="23" t="s">
        <v>209</v>
      </c>
      <c r="D27" s="26" t="n">
        <v>28000</v>
      </c>
    </row>
    <row r="28" customFormat="false" ht="15" hidden="false" customHeight="false" outlineLevel="0" collapsed="false">
      <c r="A28" s="16" t="s">
        <v>241</v>
      </c>
      <c r="B28" s="16" t="s">
        <v>290</v>
      </c>
      <c r="C28" s="23" t="s">
        <v>209</v>
      </c>
      <c r="D28" s="26" t="n">
        <v>55000</v>
      </c>
    </row>
    <row r="29" customFormat="false" ht="15" hidden="false" customHeight="false" outlineLevel="0" collapsed="false">
      <c r="A29" s="16" t="s">
        <v>240</v>
      </c>
      <c r="B29" s="16" t="s">
        <v>291</v>
      </c>
      <c r="C29" s="23" t="s">
        <v>209</v>
      </c>
      <c r="D29" s="26" t="n">
        <v>48000</v>
      </c>
    </row>
    <row r="30" customFormat="false" ht="15" hidden="false" customHeight="false" outlineLevel="0" collapsed="false">
      <c r="A30" s="16" t="s">
        <v>235</v>
      </c>
      <c r="B30" s="16" t="s">
        <v>292</v>
      </c>
      <c r="C30" s="23" t="s">
        <v>234</v>
      </c>
      <c r="D30" s="26" t="n">
        <v>2100000</v>
      </c>
    </row>
    <row r="31" customFormat="false" ht="15" hidden="false" customHeight="false" outlineLevel="0" collapsed="false">
      <c r="A31" s="16" t="s">
        <v>237</v>
      </c>
      <c r="B31" s="16" t="s">
        <v>236</v>
      </c>
      <c r="C31" s="23" t="s">
        <v>189</v>
      </c>
      <c r="D31" s="26" t="n">
        <v>950000</v>
      </c>
    </row>
    <row r="32" customFormat="false" ht="15" hidden="false" customHeight="false" outlineLevel="0" collapsed="false">
      <c r="A32" s="16" t="s">
        <v>245</v>
      </c>
      <c r="B32" s="16" t="s">
        <v>293</v>
      </c>
      <c r="C32" s="23" t="s">
        <v>272</v>
      </c>
      <c r="D32" s="26" t="n">
        <v>480000</v>
      </c>
    </row>
    <row r="33" customFormat="false" ht="15" hidden="false" customHeight="false" outlineLevel="0" collapsed="false">
      <c r="A33" s="16" t="s">
        <v>248</v>
      </c>
      <c r="B33" s="16" t="s">
        <v>294</v>
      </c>
      <c r="C33" s="23" t="s">
        <v>272</v>
      </c>
      <c r="D33" s="26" t="n">
        <v>55000</v>
      </c>
    </row>
    <row r="34" customFormat="false" ht="15" hidden="false" customHeight="false" outlineLevel="0" collapsed="false">
      <c r="A34" s="16" t="s">
        <v>250</v>
      </c>
      <c r="B34" s="16" t="s">
        <v>295</v>
      </c>
      <c r="C34" s="23" t="s">
        <v>174</v>
      </c>
      <c r="D34" s="26" t="n">
        <v>24000</v>
      </c>
    </row>
    <row r="35" customFormat="false" ht="15" hidden="false" customHeight="false" outlineLevel="0" collapsed="false">
      <c r="A35" s="16" t="s">
        <v>252</v>
      </c>
      <c r="B35" s="16" t="s">
        <v>296</v>
      </c>
      <c r="C35" s="23" t="s">
        <v>174</v>
      </c>
      <c r="D35" s="26" t="n">
        <v>90000</v>
      </c>
    </row>
    <row r="36" customFormat="false" ht="15" hidden="false" customHeight="false" outlineLevel="0" collapsed="false">
      <c r="A36" s="16" t="s">
        <v>255</v>
      </c>
      <c r="B36" s="16" t="s">
        <v>297</v>
      </c>
      <c r="C36" s="23" t="s">
        <v>174</v>
      </c>
      <c r="D36" s="26" t="n">
        <v>11000</v>
      </c>
    </row>
    <row r="37" customFormat="false" ht="15" hidden="false" customHeight="false" outlineLevel="0" collapsed="false">
      <c r="A37" s="16" t="s">
        <v>257</v>
      </c>
      <c r="B37" s="16" t="s">
        <v>298</v>
      </c>
      <c r="C37" s="23" t="s">
        <v>272</v>
      </c>
      <c r="D37" s="26" t="n">
        <v>38000</v>
      </c>
    </row>
    <row r="38" customFormat="false" ht="15" hidden="false" customHeight="false" outlineLevel="0" collapsed="false">
      <c r="A38" s="16" t="s">
        <v>261</v>
      </c>
      <c r="B38" s="16" t="s">
        <v>299</v>
      </c>
      <c r="C38" s="23" t="s">
        <v>272</v>
      </c>
      <c r="D38" s="26" t="n">
        <v>42000</v>
      </c>
    </row>
    <row r="39" customFormat="false" ht="15" hidden="false" customHeight="false" outlineLevel="0" collapsed="false">
      <c r="A39" s="16" t="s">
        <v>258</v>
      </c>
      <c r="B39" s="16" t="s">
        <v>300</v>
      </c>
      <c r="C39" s="23" t="s">
        <v>272</v>
      </c>
      <c r="D39" s="26" t="n">
        <v>65000</v>
      </c>
    </row>
    <row r="40" customFormat="false" ht="15" hidden="false" customHeight="false" outlineLevel="0" collapsed="false">
      <c r="A40" s="16" t="s">
        <v>256</v>
      </c>
      <c r="B40" s="16" t="s">
        <v>301</v>
      </c>
      <c r="C40" s="23" t="s">
        <v>174</v>
      </c>
      <c r="D40" s="26" t="n"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5" t="s">
        <v>302</v>
      </c>
    </row>
    <row r="2" customFormat="false" ht="15" hidden="false" customHeight="false" outlineLevel="0" collapsed="false">
      <c r="A2" s="2" t="s">
        <v>264</v>
      </c>
    </row>
    <row r="4" customFormat="false" ht="15" hidden="false" customHeight="false" outlineLevel="0" collapsed="false">
      <c r="A4" s="14" t="s">
        <v>169</v>
      </c>
      <c r="B4" s="14" t="s">
        <v>170</v>
      </c>
      <c r="C4" s="14" t="s">
        <v>74</v>
      </c>
      <c r="D4" s="14" t="s">
        <v>76</v>
      </c>
    </row>
    <row r="5" customFormat="false" ht="15" hidden="false" customHeight="false" outlineLevel="0" collapsed="false">
      <c r="A5" s="16" t="s">
        <v>180</v>
      </c>
      <c r="B5" s="16" t="s">
        <v>303</v>
      </c>
      <c r="C5" s="23" t="s">
        <v>304</v>
      </c>
      <c r="D5" s="26" t="n">
        <v>150000</v>
      </c>
    </row>
    <row r="6" customFormat="false" ht="15" hidden="false" customHeight="false" outlineLevel="0" collapsed="false">
      <c r="A6" s="16" t="s">
        <v>196</v>
      </c>
      <c r="B6" s="16" t="s">
        <v>305</v>
      </c>
      <c r="C6" s="23" t="s">
        <v>304</v>
      </c>
      <c r="D6" s="26" t="n">
        <v>190000</v>
      </c>
    </row>
    <row r="7" customFormat="false" ht="15" hidden="false" customHeight="false" outlineLevel="0" collapsed="false">
      <c r="A7" s="16" t="s">
        <v>182</v>
      </c>
      <c r="B7" s="16" t="s">
        <v>306</v>
      </c>
      <c r="C7" s="23" t="s">
        <v>304</v>
      </c>
      <c r="D7" s="26" t="n">
        <v>190000</v>
      </c>
    </row>
    <row r="8" customFormat="false" ht="15" hidden="false" customHeight="false" outlineLevel="0" collapsed="false">
      <c r="A8" s="16" t="s">
        <v>212</v>
      </c>
      <c r="B8" s="16" t="s">
        <v>307</v>
      </c>
      <c r="C8" s="23" t="s">
        <v>304</v>
      </c>
      <c r="D8" s="26" t="n">
        <v>190000</v>
      </c>
    </row>
    <row r="9" customFormat="false" ht="15" hidden="false" customHeight="false" outlineLevel="0" collapsed="false">
      <c r="A9" s="16" t="s">
        <v>242</v>
      </c>
      <c r="B9" s="16" t="s">
        <v>308</v>
      </c>
      <c r="C9" s="23" t="s">
        <v>304</v>
      </c>
      <c r="D9" s="26" t="n">
        <v>190000</v>
      </c>
    </row>
    <row r="10" customFormat="false" ht="15" hidden="false" customHeight="false" outlineLevel="0" collapsed="false">
      <c r="A10" s="16" t="s">
        <v>259</v>
      </c>
      <c r="B10" s="16" t="s">
        <v>309</v>
      </c>
      <c r="C10" s="23" t="s">
        <v>304</v>
      </c>
      <c r="D10" s="26" t="n">
        <v>200000</v>
      </c>
    </row>
    <row r="11" customFormat="false" ht="15" hidden="false" customHeight="false" outlineLevel="0" collapsed="false">
      <c r="A11" s="16" t="s">
        <v>246</v>
      </c>
      <c r="B11" s="16" t="s">
        <v>310</v>
      </c>
      <c r="C11" s="23" t="s">
        <v>304</v>
      </c>
      <c r="D11" s="26" t="n">
        <v>190000</v>
      </c>
    </row>
    <row r="12" customFormat="false" ht="15" hidden="false" customHeight="false" outlineLevel="0" collapsed="false">
      <c r="A12" s="16" t="s">
        <v>183</v>
      </c>
      <c r="B12" s="16" t="s">
        <v>311</v>
      </c>
      <c r="C12" s="23" t="s">
        <v>304</v>
      </c>
      <c r="D12" s="26" t="n">
        <v>210000</v>
      </c>
    </row>
    <row r="13" customFormat="false" ht="15" hidden="false" customHeight="false" outlineLevel="0" collapsed="false">
      <c r="A13" s="16" t="s">
        <v>184</v>
      </c>
      <c r="B13" s="16" t="s">
        <v>312</v>
      </c>
      <c r="C13" s="23" t="s">
        <v>304</v>
      </c>
      <c r="D13" s="26" t="n">
        <v>225000</v>
      </c>
    </row>
    <row r="14" customFormat="false" ht="15" hidden="false" customHeight="false" outlineLevel="0" collapsed="false">
      <c r="A14" s="16" t="s">
        <v>223</v>
      </c>
      <c r="B14" s="16" t="s">
        <v>313</v>
      </c>
      <c r="C14" s="23" t="s">
        <v>304</v>
      </c>
      <c r="D14" s="26" t="n">
        <v>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30" min="7" style="0" width="7.5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23.85" hidden="false" customHeight="false" outlineLevel="0" collapsed="false">
      <c r="A4" s="14" t="s">
        <v>37</v>
      </c>
      <c r="B4" s="14" t="s">
        <v>38</v>
      </c>
      <c r="C4" s="14" t="s">
        <v>40</v>
      </c>
      <c r="D4" s="14" t="s">
        <v>316</v>
      </c>
      <c r="E4" s="14" t="s">
        <v>317</v>
      </c>
      <c r="F4" s="14" t="s">
        <v>318</v>
      </c>
      <c r="G4" s="14" t="s">
        <v>319</v>
      </c>
      <c r="H4" s="14" t="s">
        <v>320</v>
      </c>
      <c r="I4" s="14" t="s">
        <v>321</v>
      </c>
      <c r="J4" s="14" t="s">
        <v>322</v>
      </c>
      <c r="K4" s="14" t="s">
        <v>323</v>
      </c>
      <c r="L4" s="14" t="s">
        <v>324</v>
      </c>
      <c r="M4" s="14" t="s">
        <v>325</v>
      </c>
      <c r="N4" s="14" t="s">
        <v>326</v>
      </c>
      <c r="O4" s="14" t="s">
        <v>327</v>
      </c>
      <c r="P4" s="14" t="s">
        <v>328</v>
      </c>
      <c r="Q4" s="14" t="s">
        <v>329</v>
      </c>
      <c r="R4" s="14" t="s">
        <v>330</v>
      </c>
      <c r="S4" s="14" t="s">
        <v>331</v>
      </c>
      <c r="T4" s="14" t="s">
        <v>332</v>
      </c>
      <c r="U4" s="14" t="s">
        <v>333</v>
      </c>
      <c r="V4" s="14" t="s">
        <v>334</v>
      </c>
      <c r="W4" s="14" t="s">
        <v>335</v>
      </c>
      <c r="X4" s="14" t="s">
        <v>336</v>
      </c>
      <c r="Y4" s="14" t="s">
        <v>337</v>
      </c>
      <c r="Z4" s="14" t="s">
        <v>338</v>
      </c>
      <c r="AA4" s="14" t="s">
        <v>339</v>
      </c>
      <c r="AB4" s="14" t="s">
        <v>340</v>
      </c>
      <c r="AC4" s="14" t="s">
        <v>341</v>
      </c>
      <c r="AD4" s="14" t="s">
        <v>342</v>
      </c>
    </row>
    <row r="5" customFormat="false" ht="15" hidden="false" customHeight="false" outlineLevel="0" collapsed="false">
      <c r="A5" s="15" t="s">
        <v>41</v>
      </c>
      <c r="B5" s="16" t="s">
        <v>42</v>
      </c>
      <c r="C5" s="39" t="n">
        <f aca="false">'Rekap RAB'!D7</f>
        <v>0.0590917378451205</v>
      </c>
      <c r="D5" s="40" t="n">
        <v>1</v>
      </c>
      <c r="E5" s="40" t="n">
        <v>2</v>
      </c>
      <c r="F5" s="41" t="n">
        <f aca="false">E5-D5+1</f>
        <v>2</v>
      </c>
      <c r="G5" s="42" t="n">
        <f aca="false">IF(AND(1&gt;=$D5,1&lt;=$E5),$C5/$F5,0)</f>
        <v>0.0295458689225602</v>
      </c>
      <c r="H5" s="42" t="n">
        <f aca="false">IF(AND(2&gt;=$D5,2&lt;=$E5),$C5/$F5,0)</f>
        <v>0.0295458689225602</v>
      </c>
      <c r="I5" s="42" t="n">
        <f aca="false">IF(AND(3&gt;=$D5,3&lt;=$E5),$C5/$F5,0)</f>
        <v>0</v>
      </c>
      <c r="J5" s="42" t="n">
        <f aca="false">IF(AND(4&gt;=$D5,4&lt;=$E5),$C5/$F5,0)</f>
        <v>0</v>
      </c>
      <c r="K5" s="42" t="n">
        <f aca="false">IF(AND(5&gt;=$D5,5&lt;=$E5),$C5/$F5,0)</f>
        <v>0</v>
      </c>
      <c r="L5" s="42" t="n">
        <f aca="false">IF(AND(6&gt;=$D5,6&lt;=$E5),$C5/$F5,0)</f>
        <v>0</v>
      </c>
      <c r="M5" s="42" t="n">
        <f aca="false">IF(AND(7&gt;=$D5,7&lt;=$E5),$C5/$F5,0)</f>
        <v>0</v>
      </c>
      <c r="N5" s="42" t="n">
        <f aca="false">IF(AND(8&gt;=$D5,8&lt;=$E5),$C5/$F5,0)</f>
        <v>0</v>
      </c>
      <c r="O5" s="42" t="n">
        <f aca="false">IF(AND(9&gt;=$D5,9&lt;=$E5),$C5/$F5,0)</f>
        <v>0</v>
      </c>
      <c r="P5" s="42" t="n">
        <f aca="false">IF(AND(10&gt;=$D5,10&lt;=$E5),$C5/$F5,0)</f>
        <v>0</v>
      </c>
      <c r="Q5" s="42" t="n">
        <f aca="false">IF(AND(11&gt;=$D5,11&lt;=$E5),$C5/$F5,0)</f>
        <v>0</v>
      </c>
      <c r="R5" s="42" t="n">
        <f aca="false">IF(AND(12&gt;=$D5,12&lt;=$E5),$C5/$F5,0)</f>
        <v>0</v>
      </c>
      <c r="S5" s="42" t="n">
        <f aca="false">IF(AND(13&gt;=$D5,13&lt;=$E5),$C5/$F5,0)</f>
        <v>0</v>
      </c>
      <c r="T5" s="42" t="n">
        <f aca="false">IF(AND(14&gt;=$D5,14&lt;=$E5),$C5/$F5,0)</f>
        <v>0</v>
      </c>
      <c r="U5" s="42" t="n">
        <f aca="false">IF(AND(15&gt;=$D5,15&lt;=$E5),$C5/$F5,0)</f>
        <v>0</v>
      </c>
      <c r="V5" s="42" t="n">
        <f aca="false">IF(AND(16&gt;=$D5,16&lt;=$E5),$C5/$F5,0)</f>
        <v>0</v>
      </c>
      <c r="W5" s="42" t="n">
        <f aca="false">IF(AND(17&gt;=$D5,17&lt;=$E5),$C5/$F5,0)</f>
        <v>0</v>
      </c>
      <c r="X5" s="42" t="n">
        <f aca="false">IF(AND(18&gt;=$D5,18&lt;=$E5),$C5/$F5,0)</f>
        <v>0</v>
      </c>
      <c r="Y5" s="42" t="n">
        <f aca="false">IF(AND(19&gt;=$D5,19&lt;=$E5),$C5/$F5,0)</f>
        <v>0</v>
      </c>
      <c r="Z5" s="42" t="n">
        <f aca="false">IF(AND(20&gt;=$D5,20&lt;=$E5),$C5/$F5,0)</f>
        <v>0</v>
      </c>
      <c r="AA5" s="42" t="n">
        <f aca="false">IF(AND(21&gt;=$D5,21&lt;=$E5),$C5/$F5,0)</f>
        <v>0</v>
      </c>
      <c r="AB5" s="42" t="n">
        <f aca="false">IF(AND(22&gt;=$D5,22&lt;=$E5),$C5/$F5,0)</f>
        <v>0</v>
      </c>
      <c r="AC5" s="42" t="n">
        <f aca="false">IF(AND(23&gt;=$D5,23&lt;=$E5),$C5/$F5,0)</f>
        <v>0</v>
      </c>
      <c r="AD5" s="42" t="n">
        <f aca="false">IF(AND(24&gt;=$D5,24&lt;=$E5),$C5/$F5,0)</f>
        <v>0</v>
      </c>
    </row>
    <row r="6" customFormat="false" ht="15" hidden="false" customHeight="false" outlineLevel="0" collapsed="false">
      <c r="A6" s="15" t="s">
        <v>43</v>
      </c>
      <c r="B6" s="16" t="s">
        <v>44</v>
      </c>
      <c r="C6" s="39" t="n">
        <f aca="false">'Rekap RAB'!D8</f>
        <v>0.107626037670852</v>
      </c>
      <c r="D6" s="40" t="n">
        <v>2</v>
      </c>
      <c r="E6" s="40" t="n">
        <v>5</v>
      </c>
      <c r="F6" s="41" t="n">
        <f aca="false">E6-D6+1</f>
        <v>4</v>
      </c>
      <c r="G6" s="42" t="n">
        <f aca="false">IF(AND(1&gt;=$D6,1&lt;=$E6),$C6/$F6,0)</f>
        <v>0</v>
      </c>
      <c r="H6" s="42" t="n">
        <f aca="false">IF(AND(2&gt;=$D6,2&lt;=$E6),$C6/$F6,0)</f>
        <v>0.026906509417713</v>
      </c>
      <c r="I6" s="42" t="n">
        <f aca="false">IF(AND(3&gt;=$D6,3&lt;=$E6),$C6/$F6,0)</f>
        <v>0.026906509417713</v>
      </c>
      <c r="J6" s="42" t="n">
        <f aca="false">IF(AND(4&gt;=$D6,4&lt;=$E6),$C6/$F6,0)</f>
        <v>0.026906509417713</v>
      </c>
      <c r="K6" s="42" t="n">
        <f aca="false">IF(AND(5&gt;=$D6,5&lt;=$E6),$C6/$F6,0)</f>
        <v>0.026906509417713</v>
      </c>
      <c r="L6" s="42" t="n">
        <f aca="false">IF(AND(6&gt;=$D6,6&lt;=$E6),$C6/$F6,0)</f>
        <v>0</v>
      </c>
      <c r="M6" s="42" t="n">
        <f aca="false">IF(AND(7&gt;=$D6,7&lt;=$E6),$C6/$F6,0)</f>
        <v>0</v>
      </c>
      <c r="N6" s="42" t="n">
        <f aca="false">IF(AND(8&gt;=$D6,8&lt;=$E6),$C6/$F6,0)</f>
        <v>0</v>
      </c>
      <c r="O6" s="42" t="n">
        <f aca="false">IF(AND(9&gt;=$D6,9&lt;=$E6),$C6/$F6,0)</f>
        <v>0</v>
      </c>
      <c r="P6" s="42" t="n">
        <f aca="false">IF(AND(10&gt;=$D6,10&lt;=$E6),$C6/$F6,0)</f>
        <v>0</v>
      </c>
      <c r="Q6" s="42" t="n">
        <f aca="false">IF(AND(11&gt;=$D6,11&lt;=$E6),$C6/$F6,0)</f>
        <v>0</v>
      </c>
      <c r="R6" s="42" t="n">
        <f aca="false">IF(AND(12&gt;=$D6,12&lt;=$E6),$C6/$F6,0)</f>
        <v>0</v>
      </c>
      <c r="S6" s="42" t="n">
        <f aca="false">IF(AND(13&gt;=$D6,13&lt;=$E6),$C6/$F6,0)</f>
        <v>0</v>
      </c>
      <c r="T6" s="42" t="n">
        <f aca="false">IF(AND(14&gt;=$D6,14&lt;=$E6),$C6/$F6,0)</f>
        <v>0</v>
      </c>
      <c r="U6" s="42" t="n">
        <f aca="false">IF(AND(15&gt;=$D6,15&lt;=$E6),$C6/$F6,0)</f>
        <v>0</v>
      </c>
      <c r="V6" s="42" t="n">
        <f aca="false">IF(AND(16&gt;=$D6,16&lt;=$E6),$C6/$F6,0)</f>
        <v>0</v>
      </c>
      <c r="W6" s="42" t="n">
        <f aca="false">IF(AND(17&gt;=$D6,17&lt;=$E6),$C6/$F6,0)</f>
        <v>0</v>
      </c>
      <c r="X6" s="42" t="n">
        <f aca="false">IF(AND(18&gt;=$D6,18&lt;=$E6),$C6/$F6,0)</f>
        <v>0</v>
      </c>
      <c r="Y6" s="42" t="n">
        <f aca="false">IF(AND(19&gt;=$D6,19&lt;=$E6),$C6/$F6,0)</f>
        <v>0</v>
      </c>
      <c r="Z6" s="42" t="n">
        <f aca="false">IF(AND(20&gt;=$D6,20&lt;=$E6),$C6/$F6,0)</f>
        <v>0</v>
      </c>
      <c r="AA6" s="42" t="n">
        <f aca="false">IF(AND(21&gt;=$D6,21&lt;=$E6),$C6/$F6,0)</f>
        <v>0</v>
      </c>
      <c r="AB6" s="42" t="n">
        <f aca="false">IF(AND(22&gt;=$D6,22&lt;=$E6),$C6/$F6,0)</f>
        <v>0</v>
      </c>
      <c r="AC6" s="42" t="n">
        <f aca="false">IF(AND(23&gt;=$D6,23&lt;=$E6),$C6/$F6,0)</f>
        <v>0</v>
      </c>
      <c r="AD6" s="42" t="n">
        <f aca="false">IF(AND(24&gt;=$D6,24&lt;=$E6),$C6/$F6,0)</f>
        <v>0</v>
      </c>
    </row>
    <row r="7" customFormat="false" ht="15" hidden="false" customHeight="false" outlineLevel="0" collapsed="false">
      <c r="A7" s="15" t="s">
        <v>45</v>
      </c>
      <c r="B7" s="16" t="s">
        <v>46</v>
      </c>
      <c r="C7" s="39" t="n">
        <f aca="false">'Rekap RAB'!D9</f>
        <v>0.200339286678832</v>
      </c>
      <c r="D7" s="40" t="n">
        <v>4</v>
      </c>
      <c r="E7" s="40" t="n">
        <v>10</v>
      </c>
      <c r="F7" s="41" t="n">
        <f aca="false">E7-D7+1</f>
        <v>7</v>
      </c>
      <c r="G7" s="42" t="n">
        <f aca="false">IF(AND(1&gt;=$D7,1&lt;=$E7),$C7/$F7,0)</f>
        <v>0</v>
      </c>
      <c r="H7" s="42" t="n">
        <f aca="false">IF(AND(2&gt;=$D7,2&lt;=$E7),$C7/$F7,0)</f>
        <v>0</v>
      </c>
      <c r="I7" s="42" t="n">
        <f aca="false">IF(AND(3&gt;=$D7,3&lt;=$E7),$C7/$F7,0)</f>
        <v>0</v>
      </c>
      <c r="J7" s="42" t="n">
        <f aca="false">IF(AND(4&gt;=$D7,4&lt;=$E7),$C7/$F7,0)</f>
        <v>0.028619898096976</v>
      </c>
      <c r="K7" s="42" t="n">
        <f aca="false">IF(AND(5&gt;=$D7,5&lt;=$E7),$C7/$F7,0)</f>
        <v>0.028619898096976</v>
      </c>
      <c r="L7" s="42" t="n">
        <f aca="false">IF(AND(6&gt;=$D7,6&lt;=$E7),$C7/$F7,0)</f>
        <v>0.028619898096976</v>
      </c>
      <c r="M7" s="42" t="n">
        <f aca="false">IF(AND(7&gt;=$D7,7&lt;=$E7),$C7/$F7,0)</f>
        <v>0.028619898096976</v>
      </c>
      <c r="N7" s="42" t="n">
        <f aca="false">IF(AND(8&gt;=$D7,8&lt;=$E7),$C7/$F7,0)</f>
        <v>0.028619898096976</v>
      </c>
      <c r="O7" s="42" t="n">
        <f aca="false">IF(AND(9&gt;=$D7,9&lt;=$E7),$C7/$F7,0)</f>
        <v>0.028619898096976</v>
      </c>
      <c r="P7" s="42" t="n">
        <f aca="false">IF(AND(10&gt;=$D7,10&lt;=$E7),$C7/$F7,0)</f>
        <v>0.028619898096976</v>
      </c>
      <c r="Q7" s="42" t="n">
        <f aca="false">IF(AND(11&gt;=$D7,11&lt;=$E7),$C7/$F7,0)</f>
        <v>0</v>
      </c>
      <c r="R7" s="42" t="n">
        <f aca="false">IF(AND(12&gt;=$D7,12&lt;=$E7),$C7/$F7,0)</f>
        <v>0</v>
      </c>
      <c r="S7" s="42" t="n">
        <f aca="false">IF(AND(13&gt;=$D7,13&lt;=$E7),$C7/$F7,0)</f>
        <v>0</v>
      </c>
      <c r="T7" s="42" t="n">
        <f aca="false">IF(AND(14&gt;=$D7,14&lt;=$E7),$C7/$F7,0)</f>
        <v>0</v>
      </c>
      <c r="U7" s="42" t="n">
        <f aca="false">IF(AND(15&gt;=$D7,15&lt;=$E7),$C7/$F7,0)</f>
        <v>0</v>
      </c>
      <c r="V7" s="42" t="n">
        <f aca="false">IF(AND(16&gt;=$D7,16&lt;=$E7),$C7/$F7,0)</f>
        <v>0</v>
      </c>
      <c r="W7" s="42" t="n">
        <f aca="false">IF(AND(17&gt;=$D7,17&lt;=$E7),$C7/$F7,0)</f>
        <v>0</v>
      </c>
      <c r="X7" s="42" t="n">
        <f aca="false">IF(AND(18&gt;=$D7,18&lt;=$E7),$C7/$F7,0)</f>
        <v>0</v>
      </c>
      <c r="Y7" s="42" t="n">
        <f aca="false">IF(AND(19&gt;=$D7,19&lt;=$E7),$C7/$F7,0)</f>
        <v>0</v>
      </c>
      <c r="Z7" s="42" t="n">
        <f aca="false">IF(AND(20&gt;=$D7,20&lt;=$E7),$C7/$F7,0)</f>
        <v>0</v>
      </c>
      <c r="AA7" s="42" t="n">
        <f aca="false">IF(AND(21&gt;=$D7,21&lt;=$E7),$C7/$F7,0)</f>
        <v>0</v>
      </c>
      <c r="AB7" s="42" t="n">
        <f aca="false">IF(AND(22&gt;=$D7,22&lt;=$E7),$C7/$F7,0)</f>
        <v>0</v>
      </c>
      <c r="AC7" s="42" t="n">
        <f aca="false">IF(AND(23&gt;=$D7,23&lt;=$E7),$C7/$F7,0)</f>
        <v>0</v>
      </c>
      <c r="AD7" s="42" t="n">
        <f aca="false">IF(AND(24&gt;=$D7,24&lt;=$E7),$C7/$F7,0)</f>
        <v>0</v>
      </c>
    </row>
    <row r="8" customFormat="false" ht="15" hidden="false" customHeight="false" outlineLevel="0" collapsed="false">
      <c r="A8" s="15" t="s">
        <v>47</v>
      </c>
      <c r="B8" s="16" t="s">
        <v>48</v>
      </c>
      <c r="C8" s="39" t="n">
        <f aca="false">'Rekap RAB'!D10</f>
        <v>0.19041022033804</v>
      </c>
      <c r="D8" s="40" t="n">
        <v>9</v>
      </c>
      <c r="E8" s="40" t="n">
        <v>14</v>
      </c>
      <c r="F8" s="41" t="n">
        <f aca="false">E8-D8+1</f>
        <v>6</v>
      </c>
      <c r="G8" s="42" t="n">
        <f aca="false">IF(AND(1&gt;=$D8,1&lt;=$E8),$C8/$F8,0)</f>
        <v>0</v>
      </c>
      <c r="H8" s="42" t="n">
        <f aca="false">IF(AND(2&gt;=$D8,2&lt;=$E8),$C8/$F8,0)</f>
        <v>0</v>
      </c>
      <c r="I8" s="42" t="n">
        <f aca="false">IF(AND(3&gt;=$D8,3&lt;=$E8),$C8/$F8,0)</f>
        <v>0</v>
      </c>
      <c r="J8" s="42" t="n">
        <f aca="false">IF(AND(4&gt;=$D8,4&lt;=$E8),$C8/$F8,0)</f>
        <v>0</v>
      </c>
      <c r="K8" s="42" t="n">
        <f aca="false">IF(AND(5&gt;=$D8,5&lt;=$E8),$C8/$F8,0)</f>
        <v>0</v>
      </c>
      <c r="L8" s="42" t="n">
        <f aca="false">IF(AND(6&gt;=$D8,6&lt;=$E8),$C8/$F8,0)</f>
        <v>0</v>
      </c>
      <c r="M8" s="42" t="n">
        <f aca="false">IF(AND(7&gt;=$D8,7&lt;=$E8),$C8/$F8,0)</f>
        <v>0</v>
      </c>
      <c r="N8" s="42" t="n">
        <f aca="false">IF(AND(8&gt;=$D8,8&lt;=$E8),$C8/$F8,0)</f>
        <v>0</v>
      </c>
      <c r="O8" s="42" t="n">
        <f aca="false">IF(AND(9&gt;=$D8,9&lt;=$E8),$C8/$F8,0)</f>
        <v>0.0317350367230066</v>
      </c>
      <c r="P8" s="42" t="n">
        <f aca="false">IF(AND(10&gt;=$D8,10&lt;=$E8),$C8/$F8,0)</f>
        <v>0.0317350367230066</v>
      </c>
      <c r="Q8" s="42" t="n">
        <f aca="false">IF(AND(11&gt;=$D8,11&lt;=$E8),$C8/$F8,0)</f>
        <v>0.0317350367230066</v>
      </c>
      <c r="R8" s="42" t="n">
        <f aca="false">IF(AND(12&gt;=$D8,12&lt;=$E8),$C8/$F8,0)</f>
        <v>0.0317350367230066</v>
      </c>
      <c r="S8" s="42" t="n">
        <f aca="false">IF(AND(13&gt;=$D8,13&lt;=$E8),$C8/$F8,0)</f>
        <v>0.0317350367230066</v>
      </c>
      <c r="T8" s="42" t="n">
        <f aca="false">IF(AND(14&gt;=$D8,14&lt;=$E8),$C8/$F8,0)</f>
        <v>0.0317350367230066</v>
      </c>
      <c r="U8" s="42" t="n">
        <f aca="false">IF(AND(15&gt;=$D8,15&lt;=$E8),$C8/$F8,0)</f>
        <v>0</v>
      </c>
      <c r="V8" s="42" t="n">
        <f aca="false">IF(AND(16&gt;=$D8,16&lt;=$E8),$C8/$F8,0)</f>
        <v>0</v>
      </c>
      <c r="W8" s="42" t="n">
        <f aca="false">IF(AND(17&gt;=$D8,17&lt;=$E8),$C8/$F8,0)</f>
        <v>0</v>
      </c>
      <c r="X8" s="42" t="n">
        <f aca="false">IF(AND(18&gt;=$D8,18&lt;=$E8),$C8/$F8,0)</f>
        <v>0</v>
      </c>
      <c r="Y8" s="42" t="n">
        <f aca="false">IF(AND(19&gt;=$D8,19&lt;=$E8),$C8/$F8,0)</f>
        <v>0</v>
      </c>
      <c r="Z8" s="42" t="n">
        <f aca="false">IF(AND(20&gt;=$D8,20&lt;=$E8),$C8/$F8,0)</f>
        <v>0</v>
      </c>
      <c r="AA8" s="42" t="n">
        <f aca="false">IF(AND(21&gt;=$D8,21&lt;=$E8),$C8/$F8,0)</f>
        <v>0</v>
      </c>
      <c r="AB8" s="42" t="n">
        <f aca="false">IF(AND(22&gt;=$D8,22&lt;=$E8),$C8/$F8,0)</f>
        <v>0</v>
      </c>
      <c r="AC8" s="42" t="n">
        <f aca="false">IF(AND(23&gt;=$D8,23&lt;=$E8),$C8/$F8,0)</f>
        <v>0</v>
      </c>
      <c r="AD8" s="42" t="n">
        <f aca="false">IF(AND(24&gt;=$D8,24&lt;=$E8),$C8/$F8,0)</f>
        <v>0</v>
      </c>
    </row>
    <row r="9" customFormat="false" ht="15" hidden="false" customHeight="false" outlineLevel="0" collapsed="false">
      <c r="A9" s="15" t="s">
        <v>49</v>
      </c>
      <c r="B9" s="16" t="s">
        <v>50</v>
      </c>
      <c r="C9" s="39" t="n">
        <f aca="false">'Rekap RAB'!D11</f>
        <v>0.195721364203828</v>
      </c>
      <c r="D9" s="40" t="n">
        <v>12</v>
      </c>
      <c r="E9" s="40" t="n">
        <v>18</v>
      </c>
      <c r="F9" s="41" t="n">
        <f aca="false">E9-D9+1</f>
        <v>7</v>
      </c>
      <c r="G9" s="42" t="n">
        <f aca="false">IF(AND(1&gt;=$D9,1&lt;=$E9),$C9/$F9,0)</f>
        <v>0</v>
      </c>
      <c r="H9" s="42" t="n">
        <f aca="false">IF(AND(2&gt;=$D9,2&lt;=$E9),$C9/$F9,0)</f>
        <v>0</v>
      </c>
      <c r="I9" s="42" t="n">
        <f aca="false">IF(AND(3&gt;=$D9,3&lt;=$E9),$C9/$F9,0)</f>
        <v>0</v>
      </c>
      <c r="J9" s="42" t="n">
        <f aca="false">IF(AND(4&gt;=$D9,4&lt;=$E9),$C9/$F9,0)</f>
        <v>0</v>
      </c>
      <c r="K9" s="42" t="n">
        <f aca="false">IF(AND(5&gt;=$D9,5&lt;=$E9),$C9/$F9,0)</f>
        <v>0</v>
      </c>
      <c r="L9" s="42" t="n">
        <f aca="false">IF(AND(6&gt;=$D9,6&lt;=$E9),$C9/$F9,0)</f>
        <v>0</v>
      </c>
      <c r="M9" s="42" t="n">
        <f aca="false">IF(AND(7&gt;=$D9,7&lt;=$E9),$C9/$F9,0)</f>
        <v>0</v>
      </c>
      <c r="N9" s="42" t="n">
        <f aca="false">IF(AND(8&gt;=$D9,8&lt;=$E9),$C9/$F9,0)</f>
        <v>0</v>
      </c>
      <c r="O9" s="42" t="n">
        <f aca="false">IF(AND(9&gt;=$D9,9&lt;=$E9),$C9/$F9,0)</f>
        <v>0</v>
      </c>
      <c r="P9" s="42" t="n">
        <f aca="false">IF(AND(10&gt;=$D9,10&lt;=$E9),$C9/$F9,0)</f>
        <v>0</v>
      </c>
      <c r="Q9" s="42" t="n">
        <f aca="false">IF(AND(11&gt;=$D9,11&lt;=$E9),$C9/$F9,0)</f>
        <v>0</v>
      </c>
      <c r="R9" s="42" t="n">
        <f aca="false">IF(AND(12&gt;=$D9,12&lt;=$E9),$C9/$F9,0)</f>
        <v>0.0279601948862612</v>
      </c>
      <c r="S9" s="42" t="n">
        <f aca="false">IF(AND(13&gt;=$D9,13&lt;=$E9),$C9/$F9,0)</f>
        <v>0.0279601948862612</v>
      </c>
      <c r="T9" s="42" t="n">
        <f aca="false">IF(AND(14&gt;=$D9,14&lt;=$E9),$C9/$F9,0)</f>
        <v>0.0279601948862612</v>
      </c>
      <c r="U9" s="42" t="n">
        <f aca="false">IF(AND(15&gt;=$D9,15&lt;=$E9),$C9/$F9,0)</f>
        <v>0.0279601948862612</v>
      </c>
      <c r="V9" s="42" t="n">
        <f aca="false">IF(AND(16&gt;=$D9,16&lt;=$E9),$C9/$F9,0)</f>
        <v>0.0279601948862612</v>
      </c>
      <c r="W9" s="42" t="n">
        <f aca="false">IF(AND(17&gt;=$D9,17&lt;=$E9),$C9/$F9,0)</f>
        <v>0.0279601948862612</v>
      </c>
      <c r="X9" s="42" t="n">
        <f aca="false">IF(AND(18&gt;=$D9,18&lt;=$E9),$C9/$F9,0)</f>
        <v>0.0279601948862612</v>
      </c>
      <c r="Y9" s="42" t="n">
        <f aca="false">IF(AND(19&gt;=$D9,19&lt;=$E9),$C9/$F9,0)</f>
        <v>0</v>
      </c>
      <c r="Z9" s="42" t="n">
        <f aca="false">IF(AND(20&gt;=$D9,20&lt;=$E9),$C9/$F9,0)</f>
        <v>0</v>
      </c>
      <c r="AA9" s="42" t="n">
        <f aca="false">IF(AND(21&gt;=$D9,21&lt;=$E9),$C9/$F9,0)</f>
        <v>0</v>
      </c>
      <c r="AB9" s="42" t="n">
        <f aca="false">IF(AND(22&gt;=$D9,22&lt;=$E9),$C9/$F9,0)</f>
        <v>0</v>
      </c>
      <c r="AC9" s="42" t="n">
        <f aca="false">IF(AND(23&gt;=$D9,23&lt;=$E9),$C9/$F9,0)</f>
        <v>0</v>
      </c>
      <c r="AD9" s="42" t="n">
        <f aca="false">IF(AND(24&gt;=$D9,24&lt;=$E9),$C9/$F9,0)</f>
        <v>0</v>
      </c>
    </row>
    <row r="10" customFormat="false" ht="15" hidden="false" customHeight="false" outlineLevel="0" collapsed="false">
      <c r="A10" s="15" t="s">
        <v>51</v>
      </c>
      <c r="B10" s="16" t="s">
        <v>52</v>
      </c>
      <c r="C10" s="39" t="n">
        <f aca="false">'Rekap RAB'!D12</f>
        <v>0.0844092154863513</v>
      </c>
      <c r="D10" s="40" t="n">
        <v>15</v>
      </c>
      <c r="E10" s="40" t="n">
        <v>19</v>
      </c>
      <c r="F10" s="41" t="n">
        <f aca="false">E10-D10+1</f>
        <v>5</v>
      </c>
      <c r="G10" s="42" t="n">
        <f aca="false">IF(AND(1&gt;=$D10,1&lt;=$E10),$C10/$F10,0)</f>
        <v>0</v>
      </c>
      <c r="H10" s="42" t="n">
        <f aca="false">IF(AND(2&gt;=$D10,2&lt;=$E10),$C10/$F10,0)</f>
        <v>0</v>
      </c>
      <c r="I10" s="42" t="n">
        <f aca="false">IF(AND(3&gt;=$D10,3&lt;=$E10),$C10/$F10,0)</f>
        <v>0</v>
      </c>
      <c r="J10" s="42" t="n">
        <f aca="false">IF(AND(4&gt;=$D10,4&lt;=$E10),$C10/$F10,0)</f>
        <v>0</v>
      </c>
      <c r="K10" s="42" t="n">
        <f aca="false">IF(AND(5&gt;=$D10,5&lt;=$E10),$C10/$F10,0)</f>
        <v>0</v>
      </c>
      <c r="L10" s="42" t="n">
        <f aca="false">IF(AND(6&gt;=$D10,6&lt;=$E10),$C10/$F10,0)</f>
        <v>0</v>
      </c>
      <c r="M10" s="42" t="n">
        <f aca="false">IF(AND(7&gt;=$D10,7&lt;=$E10),$C10/$F10,0)</f>
        <v>0</v>
      </c>
      <c r="N10" s="42" t="n">
        <f aca="false">IF(AND(8&gt;=$D10,8&lt;=$E10),$C10/$F10,0)</f>
        <v>0</v>
      </c>
      <c r="O10" s="42" t="n">
        <f aca="false">IF(AND(9&gt;=$D10,9&lt;=$E10),$C10/$F10,0)</f>
        <v>0</v>
      </c>
      <c r="P10" s="42" t="n">
        <f aca="false">IF(AND(10&gt;=$D10,10&lt;=$E10),$C10/$F10,0)</f>
        <v>0</v>
      </c>
      <c r="Q10" s="42" t="n">
        <f aca="false">IF(AND(11&gt;=$D10,11&lt;=$E10),$C10/$F10,0)</f>
        <v>0</v>
      </c>
      <c r="R10" s="42" t="n">
        <f aca="false">IF(AND(12&gt;=$D10,12&lt;=$E10),$C10/$F10,0)</f>
        <v>0</v>
      </c>
      <c r="S10" s="42" t="n">
        <f aca="false">IF(AND(13&gt;=$D10,13&lt;=$E10),$C10/$F10,0)</f>
        <v>0</v>
      </c>
      <c r="T10" s="42" t="n">
        <f aca="false">IF(AND(14&gt;=$D10,14&lt;=$E10),$C10/$F10,0)</f>
        <v>0</v>
      </c>
      <c r="U10" s="42" t="n">
        <f aca="false">IF(AND(15&gt;=$D10,15&lt;=$E10),$C10/$F10,0)</f>
        <v>0.0168818430972703</v>
      </c>
      <c r="V10" s="42" t="n">
        <f aca="false">IF(AND(16&gt;=$D10,16&lt;=$E10),$C10/$F10,0)</f>
        <v>0.0168818430972703</v>
      </c>
      <c r="W10" s="42" t="n">
        <f aca="false">IF(AND(17&gt;=$D10,17&lt;=$E10),$C10/$F10,0)</f>
        <v>0.0168818430972703</v>
      </c>
      <c r="X10" s="42" t="n">
        <f aca="false">IF(AND(18&gt;=$D10,18&lt;=$E10),$C10/$F10,0)</f>
        <v>0.0168818430972703</v>
      </c>
      <c r="Y10" s="42" t="n">
        <f aca="false">IF(AND(19&gt;=$D10,19&lt;=$E10),$C10/$F10,0)</f>
        <v>0.0168818430972703</v>
      </c>
      <c r="Z10" s="42" t="n">
        <f aca="false">IF(AND(20&gt;=$D10,20&lt;=$E10),$C10/$F10,0)</f>
        <v>0</v>
      </c>
      <c r="AA10" s="42" t="n">
        <f aca="false">IF(AND(21&gt;=$D10,21&lt;=$E10),$C10/$F10,0)</f>
        <v>0</v>
      </c>
      <c r="AB10" s="42" t="n">
        <f aca="false">IF(AND(22&gt;=$D10,22&lt;=$E10),$C10/$F10,0)</f>
        <v>0</v>
      </c>
      <c r="AC10" s="42" t="n">
        <f aca="false">IF(AND(23&gt;=$D10,23&lt;=$E10),$C10/$F10,0)</f>
        <v>0</v>
      </c>
      <c r="AD10" s="42" t="n">
        <f aca="false">IF(AND(24&gt;=$D10,24&lt;=$E10),$C10/$F10,0)</f>
        <v>0</v>
      </c>
    </row>
    <row r="11" customFormat="false" ht="15" hidden="false" customHeight="false" outlineLevel="0" collapsed="false">
      <c r="A11" s="15" t="s">
        <v>53</v>
      </c>
      <c r="B11" s="16" t="s">
        <v>54</v>
      </c>
      <c r="C11" s="39" t="n">
        <f aca="false">'Rekap RAB'!D13</f>
        <v>0.0595428339599765</v>
      </c>
      <c r="D11" s="40" t="n">
        <v>13</v>
      </c>
      <c r="E11" s="40" t="n">
        <v>17</v>
      </c>
      <c r="F11" s="41" t="n">
        <f aca="false">E11-D11+1</f>
        <v>5</v>
      </c>
      <c r="G11" s="42" t="n">
        <f aca="false">IF(AND(1&gt;=$D11,1&lt;=$E11),$C11/$F11,0)</f>
        <v>0</v>
      </c>
      <c r="H11" s="42" t="n">
        <f aca="false">IF(AND(2&gt;=$D11,2&lt;=$E11),$C11/$F11,0)</f>
        <v>0</v>
      </c>
      <c r="I11" s="42" t="n">
        <f aca="false">IF(AND(3&gt;=$D11,3&lt;=$E11),$C11/$F11,0)</f>
        <v>0</v>
      </c>
      <c r="J11" s="42" t="n">
        <f aca="false">IF(AND(4&gt;=$D11,4&lt;=$E11),$C11/$F11,0)</f>
        <v>0</v>
      </c>
      <c r="K11" s="42" t="n">
        <f aca="false">IF(AND(5&gt;=$D11,5&lt;=$E11),$C11/$F11,0)</f>
        <v>0</v>
      </c>
      <c r="L11" s="42" t="n">
        <f aca="false">IF(AND(6&gt;=$D11,6&lt;=$E11),$C11/$F11,0)</f>
        <v>0</v>
      </c>
      <c r="M11" s="42" t="n">
        <f aca="false">IF(AND(7&gt;=$D11,7&lt;=$E11),$C11/$F11,0)</f>
        <v>0</v>
      </c>
      <c r="N11" s="42" t="n">
        <f aca="false">IF(AND(8&gt;=$D11,8&lt;=$E11),$C11/$F11,0)</f>
        <v>0</v>
      </c>
      <c r="O11" s="42" t="n">
        <f aca="false">IF(AND(9&gt;=$D11,9&lt;=$E11),$C11/$F11,0)</f>
        <v>0</v>
      </c>
      <c r="P11" s="42" t="n">
        <f aca="false">IF(AND(10&gt;=$D11,10&lt;=$E11),$C11/$F11,0)</f>
        <v>0</v>
      </c>
      <c r="Q11" s="42" t="n">
        <f aca="false">IF(AND(11&gt;=$D11,11&lt;=$E11),$C11/$F11,0)</f>
        <v>0</v>
      </c>
      <c r="R11" s="42" t="n">
        <f aca="false">IF(AND(12&gt;=$D11,12&lt;=$E11),$C11/$F11,0)</f>
        <v>0</v>
      </c>
      <c r="S11" s="42" t="n">
        <f aca="false">IF(AND(13&gt;=$D11,13&lt;=$E11),$C11/$F11,0)</f>
        <v>0.0119085667919953</v>
      </c>
      <c r="T11" s="42" t="n">
        <f aca="false">IF(AND(14&gt;=$D11,14&lt;=$E11),$C11/$F11,0)</f>
        <v>0.0119085667919953</v>
      </c>
      <c r="U11" s="42" t="n">
        <f aca="false">IF(AND(15&gt;=$D11,15&lt;=$E11),$C11/$F11,0)</f>
        <v>0.0119085667919953</v>
      </c>
      <c r="V11" s="42" t="n">
        <f aca="false">IF(AND(16&gt;=$D11,16&lt;=$E11),$C11/$F11,0)</f>
        <v>0.0119085667919953</v>
      </c>
      <c r="W11" s="42" t="n">
        <f aca="false">IF(AND(17&gt;=$D11,17&lt;=$E11),$C11/$F11,0)</f>
        <v>0.0119085667919953</v>
      </c>
      <c r="X11" s="42" t="n">
        <f aca="false">IF(AND(18&gt;=$D11,18&lt;=$E11),$C11/$F11,0)</f>
        <v>0</v>
      </c>
      <c r="Y11" s="42" t="n">
        <f aca="false">IF(AND(19&gt;=$D11,19&lt;=$E11),$C11/$F11,0)</f>
        <v>0</v>
      </c>
      <c r="Z11" s="42" t="n">
        <f aca="false">IF(AND(20&gt;=$D11,20&lt;=$E11),$C11/$F11,0)</f>
        <v>0</v>
      </c>
      <c r="AA11" s="42" t="n">
        <f aca="false">IF(AND(21&gt;=$D11,21&lt;=$E11),$C11/$F11,0)</f>
        <v>0</v>
      </c>
      <c r="AB11" s="42" t="n">
        <f aca="false">IF(AND(22&gt;=$D11,22&lt;=$E11),$C11/$F11,0)</f>
        <v>0</v>
      </c>
      <c r="AC11" s="42" t="n">
        <f aca="false">IF(AND(23&gt;=$D11,23&lt;=$E11),$C11/$F11,0)</f>
        <v>0</v>
      </c>
      <c r="AD11" s="42" t="n">
        <f aca="false">IF(AND(24&gt;=$D11,24&lt;=$E11),$C11/$F11,0)</f>
        <v>0</v>
      </c>
    </row>
    <row r="12" customFormat="false" ht="15" hidden="false" customHeight="false" outlineLevel="0" collapsed="false">
      <c r="A12" s="15" t="s">
        <v>55</v>
      </c>
      <c r="B12" s="16" t="s">
        <v>56</v>
      </c>
      <c r="C12" s="39" t="n">
        <f aca="false">'Rekap RAB'!D14</f>
        <v>0.0389833937772271</v>
      </c>
      <c r="D12" s="40" t="n">
        <v>17</v>
      </c>
      <c r="E12" s="40" t="n">
        <v>21</v>
      </c>
      <c r="F12" s="41" t="n">
        <f aca="false">E12-D12+1</f>
        <v>5</v>
      </c>
      <c r="G12" s="42" t="n">
        <f aca="false">IF(AND(1&gt;=$D12,1&lt;=$E12),$C12/$F12,0)</f>
        <v>0</v>
      </c>
      <c r="H12" s="42" t="n">
        <f aca="false">IF(AND(2&gt;=$D12,2&lt;=$E12),$C12/$F12,0)</f>
        <v>0</v>
      </c>
      <c r="I12" s="42" t="n">
        <f aca="false">IF(AND(3&gt;=$D12,3&lt;=$E12),$C12/$F12,0)</f>
        <v>0</v>
      </c>
      <c r="J12" s="42" t="n">
        <f aca="false">IF(AND(4&gt;=$D12,4&lt;=$E12),$C12/$F12,0)</f>
        <v>0</v>
      </c>
      <c r="K12" s="42" t="n">
        <f aca="false">IF(AND(5&gt;=$D12,5&lt;=$E12),$C12/$F12,0)</f>
        <v>0</v>
      </c>
      <c r="L12" s="42" t="n">
        <f aca="false">IF(AND(6&gt;=$D12,6&lt;=$E12),$C12/$F12,0)</f>
        <v>0</v>
      </c>
      <c r="M12" s="42" t="n">
        <f aca="false">IF(AND(7&gt;=$D12,7&lt;=$E12),$C12/$F12,0)</f>
        <v>0</v>
      </c>
      <c r="N12" s="42" t="n">
        <f aca="false">IF(AND(8&gt;=$D12,8&lt;=$E12),$C12/$F12,0)</f>
        <v>0</v>
      </c>
      <c r="O12" s="42" t="n">
        <f aca="false">IF(AND(9&gt;=$D12,9&lt;=$E12),$C12/$F12,0)</f>
        <v>0</v>
      </c>
      <c r="P12" s="42" t="n">
        <f aca="false">IF(AND(10&gt;=$D12,10&lt;=$E12),$C12/$F12,0)</f>
        <v>0</v>
      </c>
      <c r="Q12" s="42" t="n">
        <f aca="false">IF(AND(11&gt;=$D12,11&lt;=$E12),$C12/$F12,0)</f>
        <v>0</v>
      </c>
      <c r="R12" s="42" t="n">
        <f aca="false">IF(AND(12&gt;=$D12,12&lt;=$E12),$C12/$F12,0)</f>
        <v>0</v>
      </c>
      <c r="S12" s="42" t="n">
        <f aca="false">IF(AND(13&gt;=$D12,13&lt;=$E12),$C12/$F12,0)</f>
        <v>0</v>
      </c>
      <c r="T12" s="42" t="n">
        <f aca="false">IF(AND(14&gt;=$D12,14&lt;=$E12),$C12/$F12,0)</f>
        <v>0</v>
      </c>
      <c r="U12" s="42" t="n">
        <f aca="false">IF(AND(15&gt;=$D12,15&lt;=$E12),$C12/$F12,0)</f>
        <v>0</v>
      </c>
      <c r="V12" s="42" t="n">
        <f aca="false">IF(AND(16&gt;=$D12,16&lt;=$E12),$C12/$F12,0)</f>
        <v>0</v>
      </c>
      <c r="W12" s="42" t="n">
        <f aca="false">IF(AND(17&gt;=$D12,17&lt;=$E12),$C12/$F12,0)</f>
        <v>0.00779667875544543</v>
      </c>
      <c r="X12" s="42" t="n">
        <f aca="false">IF(AND(18&gt;=$D12,18&lt;=$E12),$C12/$F12,0)</f>
        <v>0.00779667875544543</v>
      </c>
      <c r="Y12" s="42" t="n">
        <f aca="false">IF(AND(19&gt;=$D12,19&lt;=$E12),$C12/$F12,0)</f>
        <v>0.00779667875544543</v>
      </c>
      <c r="Z12" s="42" t="n">
        <f aca="false">IF(AND(20&gt;=$D12,20&lt;=$E12),$C12/$F12,0)</f>
        <v>0.00779667875544543</v>
      </c>
      <c r="AA12" s="42" t="n">
        <f aca="false">IF(AND(21&gt;=$D12,21&lt;=$E12),$C12/$F12,0)</f>
        <v>0.00779667875544543</v>
      </c>
      <c r="AB12" s="42" t="n">
        <f aca="false">IF(AND(22&gt;=$D12,22&lt;=$E12),$C12/$F12,0)</f>
        <v>0</v>
      </c>
      <c r="AC12" s="42" t="n">
        <f aca="false">IF(AND(23&gt;=$D12,23&lt;=$E12),$C12/$F12,0)</f>
        <v>0</v>
      </c>
      <c r="AD12" s="42" t="n">
        <f aca="false">IF(AND(24&gt;=$D12,24&lt;=$E12),$C12/$F12,0)</f>
        <v>0</v>
      </c>
    </row>
    <row r="13" customFormat="false" ht="15" hidden="false" customHeight="false" outlineLevel="0" collapsed="false">
      <c r="A13" s="15" t="s">
        <v>57</v>
      </c>
      <c r="B13" s="16" t="s">
        <v>58</v>
      </c>
      <c r="C13" s="39" t="n">
        <f aca="false">'Rekap RAB'!D15</f>
        <v>0.0347808860827721</v>
      </c>
      <c r="D13" s="40" t="n">
        <v>14</v>
      </c>
      <c r="E13" s="40" t="n">
        <v>19</v>
      </c>
      <c r="F13" s="41" t="n">
        <f aca="false">E13-D13+1</f>
        <v>6</v>
      </c>
      <c r="G13" s="42" t="n">
        <f aca="false">IF(AND(1&gt;=$D13,1&lt;=$E13),$C13/$F13,0)</f>
        <v>0</v>
      </c>
      <c r="H13" s="42" t="n">
        <f aca="false">IF(AND(2&gt;=$D13,2&lt;=$E13),$C13/$F13,0)</f>
        <v>0</v>
      </c>
      <c r="I13" s="42" t="n">
        <f aca="false">IF(AND(3&gt;=$D13,3&lt;=$E13),$C13/$F13,0)</f>
        <v>0</v>
      </c>
      <c r="J13" s="42" t="n">
        <f aca="false">IF(AND(4&gt;=$D13,4&lt;=$E13),$C13/$F13,0)</f>
        <v>0</v>
      </c>
      <c r="K13" s="42" t="n">
        <f aca="false">IF(AND(5&gt;=$D13,5&lt;=$E13),$C13/$F13,0)</f>
        <v>0</v>
      </c>
      <c r="L13" s="42" t="n">
        <f aca="false">IF(AND(6&gt;=$D13,6&lt;=$E13),$C13/$F13,0)</f>
        <v>0</v>
      </c>
      <c r="M13" s="42" t="n">
        <f aca="false">IF(AND(7&gt;=$D13,7&lt;=$E13),$C13/$F13,0)</f>
        <v>0</v>
      </c>
      <c r="N13" s="42" t="n">
        <f aca="false">IF(AND(8&gt;=$D13,8&lt;=$E13),$C13/$F13,0)</f>
        <v>0</v>
      </c>
      <c r="O13" s="42" t="n">
        <f aca="false">IF(AND(9&gt;=$D13,9&lt;=$E13),$C13/$F13,0)</f>
        <v>0</v>
      </c>
      <c r="P13" s="42" t="n">
        <f aca="false">IF(AND(10&gt;=$D13,10&lt;=$E13),$C13/$F13,0)</f>
        <v>0</v>
      </c>
      <c r="Q13" s="42" t="n">
        <f aca="false">IF(AND(11&gt;=$D13,11&lt;=$E13),$C13/$F13,0)</f>
        <v>0</v>
      </c>
      <c r="R13" s="42" t="n">
        <f aca="false">IF(AND(12&gt;=$D13,12&lt;=$E13),$C13/$F13,0)</f>
        <v>0</v>
      </c>
      <c r="S13" s="42" t="n">
        <f aca="false">IF(AND(13&gt;=$D13,13&lt;=$E13),$C13/$F13,0)</f>
        <v>0</v>
      </c>
      <c r="T13" s="42" t="n">
        <f aca="false">IF(AND(14&gt;=$D13,14&lt;=$E13),$C13/$F13,0)</f>
        <v>0.00579681434712868</v>
      </c>
      <c r="U13" s="42" t="n">
        <f aca="false">IF(AND(15&gt;=$D13,15&lt;=$E13),$C13/$F13,0)</f>
        <v>0.00579681434712868</v>
      </c>
      <c r="V13" s="42" t="n">
        <f aca="false">IF(AND(16&gt;=$D13,16&lt;=$E13),$C13/$F13,0)</f>
        <v>0.00579681434712868</v>
      </c>
      <c r="W13" s="42" t="n">
        <f aca="false">IF(AND(17&gt;=$D13,17&lt;=$E13),$C13/$F13,0)</f>
        <v>0.00579681434712868</v>
      </c>
      <c r="X13" s="42" t="n">
        <f aca="false">IF(AND(18&gt;=$D13,18&lt;=$E13),$C13/$F13,0)</f>
        <v>0.00579681434712868</v>
      </c>
      <c r="Y13" s="42" t="n">
        <f aca="false">IF(AND(19&gt;=$D13,19&lt;=$E13),$C13/$F13,0)</f>
        <v>0.00579681434712868</v>
      </c>
      <c r="Z13" s="42" t="n">
        <f aca="false">IF(AND(20&gt;=$D13,20&lt;=$E13),$C13/$F13,0)</f>
        <v>0</v>
      </c>
      <c r="AA13" s="42" t="n">
        <f aca="false">IF(AND(21&gt;=$D13,21&lt;=$E13),$C13/$F13,0)</f>
        <v>0</v>
      </c>
      <c r="AB13" s="42" t="n">
        <f aca="false">IF(AND(22&gt;=$D13,22&lt;=$E13),$C13/$F13,0)</f>
        <v>0</v>
      </c>
      <c r="AC13" s="42" t="n">
        <f aca="false">IF(AND(23&gt;=$D13,23&lt;=$E13),$C13/$F13,0)</f>
        <v>0</v>
      </c>
      <c r="AD13" s="42" t="n">
        <f aca="false">IF(AND(24&gt;=$D13,24&lt;=$E13),$C13/$F13,0)</f>
        <v>0</v>
      </c>
    </row>
    <row r="14" customFormat="false" ht="15" hidden="false" customHeight="false" outlineLevel="0" collapsed="false">
      <c r="A14" s="15" t="s">
        <v>59</v>
      </c>
      <c r="B14" s="16" t="s">
        <v>60</v>
      </c>
      <c r="C14" s="39" t="n">
        <f aca="false">'Rekap RAB'!D16</f>
        <v>0.0269254976694578</v>
      </c>
      <c r="D14" s="40" t="n">
        <v>15</v>
      </c>
      <c r="E14" s="40" t="n">
        <v>20</v>
      </c>
      <c r="F14" s="41" t="n">
        <f aca="false">E14-D14+1</f>
        <v>6</v>
      </c>
      <c r="G14" s="42" t="n">
        <f aca="false">IF(AND(1&gt;=$D14,1&lt;=$E14),$C14/$F14,0)</f>
        <v>0</v>
      </c>
      <c r="H14" s="42" t="n">
        <f aca="false">IF(AND(2&gt;=$D14,2&lt;=$E14),$C14/$F14,0)</f>
        <v>0</v>
      </c>
      <c r="I14" s="42" t="n">
        <f aca="false">IF(AND(3&gt;=$D14,3&lt;=$E14),$C14/$F14,0)</f>
        <v>0</v>
      </c>
      <c r="J14" s="42" t="n">
        <f aca="false">IF(AND(4&gt;=$D14,4&lt;=$E14),$C14/$F14,0)</f>
        <v>0</v>
      </c>
      <c r="K14" s="42" t="n">
        <f aca="false">IF(AND(5&gt;=$D14,5&lt;=$E14),$C14/$F14,0)</f>
        <v>0</v>
      </c>
      <c r="L14" s="42" t="n">
        <f aca="false">IF(AND(6&gt;=$D14,6&lt;=$E14),$C14/$F14,0)</f>
        <v>0</v>
      </c>
      <c r="M14" s="42" t="n">
        <f aca="false">IF(AND(7&gt;=$D14,7&lt;=$E14),$C14/$F14,0)</f>
        <v>0</v>
      </c>
      <c r="N14" s="42" t="n">
        <f aca="false">IF(AND(8&gt;=$D14,8&lt;=$E14),$C14/$F14,0)</f>
        <v>0</v>
      </c>
      <c r="O14" s="42" t="n">
        <f aca="false">IF(AND(9&gt;=$D14,9&lt;=$E14),$C14/$F14,0)</f>
        <v>0</v>
      </c>
      <c r="P14" s="42" t="n">
        <f aca="false">IF(AND(10&gt;=$D14,10&lt;=$E14),$C14/$F14,0)</f>
        <v>0</v>
      </c>
      <c r="Q14" s="42" t="n">
        <f aca="false">IF(AND(11&gt;=$D14,11&lt;=$E14),$C14/$F14,0)</f>
        <v>0</v>
      </c>
      <c r="R14" s="42" t="n">
        <f aca="false">IF(AND(12&gt;=$D14,12&lt;=$E14),$C14/$F14,0)</f>
        <v>0</v>
      </c>
      <c r="S14" s="42" t="n">
        <f aca="false">IF(AND(13&gt;=$D14,13&lt;=$E14),$C14/$F14,0)</f>
        <v>0</v>
      </c>
      <c r="T14" s="42" t="n">
        <f aca="false">IF(AND(14&gt;=$D14,14&lt;=$E14),$C14/$F14,0)</f>
        <v>0</v>
      </c>
      <c r="U14" s="42" t="n">
        <f aca="false">IF(AND(15&gt;=$D14,15&lt;=$E14),$C14/$F14,0)</f>
        <v>0.00448758294490963</v>
      </c>
      <c r="V14" s="42" t="n">
        <f aca="false">IF(AND(16&gt;=$D14,16&lt;=$E14),$C14/$F14,0)</f>
        <v>0.00448758294490963</v>
      </c>
      <c r="W14" s="42" t="n">
        <f aca="false">IF(AND(17&gt;=$D14,17&lt;=$E14),$C14/$F14,0)</f>
        <v>0.00448758294490963</v>
      </c>
      <c r="X14" s="42" t="n">
        <f aca="false">IF(AND(18&gt;=$D14,18&lt;=$E14),$C14/$F14,0)</f>
        <v>0.00448758294490963</v>
      </c>
      <c r="Y14" s="42" t="n">
        <f aca="false">IF(AND(19&gt;=$D14,19&lt;=$E14),$C14/$F14,0)</f>
        <v>0.00448758294490963</v>
      </c>
      <c r="Z14" s="42" t="n">
        <f aca="false">IF(AND(20&gt;=$D14,20&lt;=$E14),$C14/$F14,0)</f>
        <v>0.00448758294490963</v>
      </c>
      <c r="AA14" s="42" t="n">
        <f aca="false">IF(AND(21&gt;=$D14,21&lt;=$E14),$C14/$F14,0)</f>
        <v>0</v>
      </c>
      <c r="AB14" s="42" t="n">
        <f aca="false">IF(AND(22&gt;=$D14,22&lt;=$E14),$C14/$F14,0)</f>
        <v>0</v>
      </c>
      <c r="AC14" s="42" t="n">
        <f aca="false">IF(AND(23&gt;=$D14,23&lt;=$E14),$C14/$F14,0)</f>
        <v>0</v>
      </c>
      <c r="AD14" s="42" t="n">
        <f aca="false">IF(AND(24&gt;=$D14,24&lt;=$E14),$C14/$F14,0)</f>
        <v>0</v>
      </c>
    </row>
    <row r="15" customFormat="false" ht="15" hidden="false" customHeight="false" outlineLevel="0" collapsed="false">
      <c r="A15" s="15" t="s">
        <v>61</v>
      </c>
      <c r="B15" s="16" t="s">
        <v>62</v>
      </c>
      <c r="C15" s="39" t="n">
        <f aca="false">'Rekap RAB'!D17</f>
        <v>0.00216952628754275</v>
      </c>
      <c r="D15" s="40" t="n">
        <v>21</v>
      </c>
      <c r="E15" s="40" t="n">
        <v>22</v>
      </c>
      <c r="F15" s="41" t="n">
        <f aca="false">E15-D15+1</f>
        <v>2</v>
      </c>
      <c r="G15" s="42" t="n">
        <f aca="false">IF(AND(1&gt;=$D15,1&lt;=$E15),$C15/$F15,0)</f>
        <v>0</v>
      </c>
      <c r="H15" s="42" t="n">
        <f aca="false">IF(AND(2&gt;=$D15,2&lt;=$E15),$C15/$F15,0)</f>
        <v>0</v>
      </c>
      <c r="I15" s="42" t="n">
        <f aca="false">IF(AND(3&gt;=$D15,3&lt;=$E15),$C15/$F15,0)</f>
        <v>0</v>
      </c>
      <c r="J15" s="42" t="n">
        <f aca="false">IF(AND(4&gt;=$D15,4&lt;=$E15),$C15/$F15,0)</f>
        <v>0</v>
      </c>
      <c r="K15" s="42" t="n">
        <f aca="false">IF(AND(5&gt;=$D15,5&lt;=$E15),$C15/$F15,0)</f>
        <v>0</v>
      </c>
      <c r="L15" s="42" t="n">
        <f aca="false">IF(AND(6&gt;=$D15,6&lt;=$E15),$C15/$F15,0)</f>
        <v>0</v>
      </c>
      <c r="M15" s="42" t="n">
        <f aca="false">IF(AND(7&gt;=$D15,7&lt;=$E15),$C15/$F15,0)</f>
        <v>0</v>
      </c>
      <c r="N15" s="42" t="n">
        <f aca="false">IF(AND(8&gt;=$D15,8&lt;=$E15),$C15/$F15,0)</f>
        <v>0</v>
      </c>
      <c r="O15" s="42" t="n">
        <f aca="false">IF(AND(9&gt;=$D15,9&lt;=$E15),$C15/$F15,0)</f>
        <v>0</v>
      </c>
      <c r="P15" s="42" t="n">
        <f aca="false">IF(AND(10&gt;=$D15,10&lt;=$E15),$C15/$F15,0)</f>
        <v>0</v>
      </c>
      <c r="Q15" s="42" t="n">
        <f aca="false">IF(AND(11&gt;=$D15,11&lt;=$E15),$C15/$F15,0)</f>
        <v>0</v>
      </c>
      <c r="R15" s="42" t="n">
        <f aca="false">IF(AND(12&gt;=$D15,12&lt;=$E15),$C15/$F15,0)</f>
        <v>0</v>
      </c>
      <c r="S15" s="42" t="n">
        <f aca="false">IF(AND(13&gt;=$D15,13&lt;=$E15),$C15/$F15,0)</f>
        <v>0</v>
      </c>
      <c r="T15" s="42" t="n">
        <f aca="false">IF(AND(14&gt;=$D15,14&lt;=$E15),$C15/$F15,0)</f>
        <v>0</v>
      </c>
      <c r="U15" s="42" t="n">
        <f aca="false">IF(AND(15&gt;=$D15,15&lt;=$E15),$C15/$F15,0)</f>
        <v>0</v>
      </c>
      <c r="V15" s="42" t="n">
        <f aca="false">IF(AND(16&gt;=$D15,16&lt;=$E15),$C15/$F15,0)</f>
        <v>0</v>
      </c>
      <c r="W15" s="42" t="n">
        <f aca="false">IF(AND(17&gt;=$D15,17&lt;=$E15),$C15/$F15,0)</f>
        <v>0</v>
      </c>
      <c r="X15" s="42" t="n">
        <f aca="false">IF(AND(18&gt;=$D15,18&lt;=$E15),$C15/$F15,0)</f>
        <v>0</v>
      </c>
      <c r="Y15" s="42" t="n">
        <f aca="false">IF(AND(19&gt;=$D15,19&lt;=$E15),$C15/$F15,0)</f>
        <v>0</v>
      </c>
      <c r="Z15" s="42" t="n">
        <f aca="false">IF(AND(20&gt;=$D15,20&lt;=$E15),$C15/$F15,0)</f>
        <v>0</v>
      </c>
      <c r="AA15" s="42" t="n">
        <f aca="false">IF(AND(21&gt;=$D15,21&lt;=$E15),$C15/$F15,0)</f>
        <v>0.00108476314377138</v>
      </c>
      <c r="AB15" s="42" t="n">
        <f aca="false">IF(AND(22&gt;=$D15,22&lt;=$E15),$C15/$F15,0)</f>
        <v>0.00108476314377138</v>
      </c>
      <c r="AC15" s="42" t="n">
        <f aca="false">IF(AND(23&gt;=$D15,23&lt;=$E15),$C15/$F15,0)</f>
        <v>0</v>
      </c>
      <c r="AD15" s="42" t="n">
        <f aca="false">IF(AND(24&gt;=$D15,24&lt;=$E15),$C15/$F15,0)</f>
        <v>0</v>
      </c>
    </row>
    <row r="16" customFormat="false" ht="15" hidden="false" customHeight="false" outlineLevel="0" collapsed="false">
      <c r="A16" s="19"/>
      <c r="B16" s="3" t="s">
        <v>343</v>
      </c>
      <c r="C16" s="21" t="n">
        <f aca="false">SUM(C5:C15)</f>
        <v>1</v>
      </c>
      <c r="D16" s="19"/>
      <c r="E16" s="19"/>
      <c r="F16" s="19"/>
      <c r="G16" s="43" t="n">
        <f aca="false">SUM(G5:G15)</f>
        <v>0.0295458689225602</v>
      </c>
      <c r="H16" s="43" t="n">
        <f aca="false">SUM(H5:H15)</f>
        <v>0.0564523783402732</v>
      </c>
      <c r="I16" s="43" t="n">
        <f aca="false">SUM(I5:I15)</f>
        <v>0.026906509417713</v>
      </c>
      <c r="J16" s="43" t="n">
        <f aca="false">SUM(J5:J15)</f>
        <v>0.055526407514689</v>
      </c>
      <c r="K16" s="43" t="n">
        <f aca="false">SUM(K5:K15)</f>
        <v>0.055526407514689</v>
      </c>
      <c r="L16" s="43" t="n">
        <f aca="false">SUM(L5:L15)</f>
        <v>0.028619898096976</v>
      </c>
      <c r="M16" s="43" t="n">
        <f aca="false">SUM(M5:M15)</f>
        <v>0.028619898096976</v>
      </c>
      <c r="N16" s="43" t="n">
        <f aca="false">SUM(N5:N15)</f>
        <v>0.028619898096976</v>
      </c>
      <c r="O16" s="43" t="n">
        <f aca="false">SUM(O5:O15)</f>
        <v>0.0603549348199827</v>
      </c>
      <c r="P16" s="43" t="n">
        <f aca="false">SUM(P5:P15)</f>
        <v>0.0603549348199827</v>
      </c>
      <c r="Q16" s="43" t="n">
        <f aca="false">SUM(Q5:Q15)</f>
        <v>0.0317350367230066</v>
      </c>
      <c r="R16" s="43" t="n">
        <f aca="false">SUM(R5:R15)</f>
        <v>0.0596952316092678</v>
      </c>
      <c r="S16" s="43" t="n">
        <f aca="false">SUM(S5:S15)</f>
        <v>0.0716037984012631</v>
      </c>
      <c r="T16" s="43" t="n">
        <f aca="false">SUM(T5:T15)</f>
        <v>0.0774006127483918</v>
      </c>
      <c r="U16" s="43" t="n">
        <f aca="false">SUM(U5:U15)</f>
        <v>0.067035002067565</v>
      </c>
      <c r="V16" s="43" t="n">
        <f aca="false">SUM(V5:V15)</f>
        <v>0.067035002067565</v>
      </c>
      <c r="W16" s="43" t="n">
        <f aca="false">SUM(W5:W15)</f>
        <v>0.0748316808230104</v>
      </c>
      <c r="X16" s="43" t="n">
        <f aca="false">SUM(X5:X15)</f>
        <v>0.0629231140310151</v>
      </c>
      <c r="Y16" s="43" t="n">
        <f aca="false">SUM(Y5:Y15)</f>
        <v>0.034962919144754</v>
      </c>
      <c r="Z16" s="43" t="n">
        <f aca="false">SUM(Z5:Z15)</f>
        <v>0.0122842617003551</v>
      </c>
      <c r="AA16" s="43" t="n">
        <f aca="false">SUM(AA5:AA15)</f>
        <v>0.00888144189921681</v>
      </c>
      <c r="AB16" s="43" t="n">
        <f aca="false">SUM(AB5:AB15)</f>
        <v>0.00108476314377138</v>
      </c>
      <c r="AC16" s="43" t="n">
        <f aca="false">SUM(AC5:AC15)</f>
        <v>0</v>
      </c>
      <c r="AD16" s="43" t="n">
        <f aca="false">SUM(AD5:AD15)</f>
        <v>0</v>
      </c>
    </row>
    <row r="17" customFormat="false" ht="15" hidden="false" customHeight="false" outlineLevel="0" collapsed="false">
      <c r="A17" s="19"/>
      <c r="B17" s="3" t="s">
        <v>344</v>
      </c>
      <c r="C17" s="19"/>
      <c r="D17" s="19"/>
      <c r="E17" s="19"/>
      <c r="F17" s="19"/>
      <c r="G17" s="44" t="n">
        <f aca="false">G16</f>
        <v>0.0295458689225602</v>
      </c>
      <c r="H17" s="44" t="n">
        <f aca="false">G17+H16</f>
        <v>0.0859982472628334</v>
      </c>
      <c r="I17" s="44" t="n">
        <f aca="false">H17+I16</f>
        <v>0.112904756680546</v>
      </c>
      <c r="J17" s="44" t="n">
        <f aca="false">I17+J16</f>
        <v>0.168431164195235</v>
      </c>
      <c r="K17" s="44" t="n">
        <f aca="false">J17+K16</f>
        <v>0.223957571709924</v>
      </c>
      <c r="L17" s="44" t="n">
        <f aca="false">K17+L16</f>
        <v>0.2525774698069</v>
      </c>
      <c r="M17" s="44" t="n">
        <f aca="false">L17+M16</f>
        <v>0.281197367903877</v>
      </c>
      <c r="N17" s="44" t="n">
        <f aca="false">M17+N16</f>
        <v>0.309817266000853</v>
      </c>
      <c r="O17" s="44" t="n">
        <f aca="false">N17+O16</f>
        <v>0.370172200820835</v>
      </c>
      <c r="P17" s="44" t="n">
        <f aca="false">O17+P16</f>
        <v>0.430527135640818</v>
      </c>
      <c r="Q17" s="44" t="n">
        <f aca="false">P17+Q16</f>
        <v>0.462262172363825</v>
      </c>
      <c r="R17" s="44" t="n">
        <f aca="false">Q17+R16</f>
        <v>0.521957403973092</v>
      </c>
      <c r="S17" s="44" t="n">
        <f aca="false">R17+S16</f>
        <v>0.593561202374355</v>
      </c>
      <c r="T17" s="44" t="n">
        <f aca="false">S17+T16</f>
        <v>0.670961815122747</v>
      </c>
      <c r="U17" s="44" t="n">
        <f aca="false">T17+U16</f>
        <v>0.737996817190312</v>
      </c>
      <c r="V17" s="44" t="n">
        <f aca="false">U17+V16</f>
        <v>0.805031819257877</v>
      </c>
      <c r="W17" s="44" t="n">
        <f aca="false">V17+W16</f>
        <v>0.879863500080887</v>
      </c>
      <c r="X17" s="44" t="n">
        <f aca="false">W17+X16</f>
        <v>0.942786614111903</v>
      </c>
      <c r="Y17" s="44" t="n">
        <f aca="false">X17+Y16</f>
        <v>0.977749533256657</v>
      </c>
      <c r="Z17" s="44" t="n">
        <f aca="false">Y17+Z16</f>
        <v>0.990033794957012</v>
      </c>
      <c r="AA17" s="44" t="n">
        <f aca="false">Z17+AA16</f>
        <v>0.998915236856228</v>
      </c>
      <c r="AB17" s="44" t="n">
        <f aca="false">AA17+AB16</f>
        <v>1</v>
      </c>
      <c r="AC17" s="44" t="n">
        <f aca="false">AB17+AC16</f>
        <v>1</v>
      </c>
      <c r="AD17" s="44" t="n">
        <f aca="false">AC17+AD16</f>
        <v>1</v>
      </c>
    </row>
    <row r="18" customFormat="false" ht="15" hidden="false" customHeight="false" outlineLevel="0" collapsed="false">
      <c r="B18" s="16" t="s">
        <v>345</v>
      </c>
      <c r="C18" s="45" t="n">
        <f aca="false">AD17</f>
        <v>1</v>
      </c>
      <c r="D18" s="15" t="str">
        <f aca="false">IF(ROUND(AD17,6)=1,"OK","CEK")</f>
        <v>OK</v>
      </c>
    </row>
    <row r="19" customFormat="false" ht="15" hidden="false" customHeight="false" outlineLevel="0" collapsed="false">
      <c r="B19" s="16" t="s">
        <v>346</v>
      </c>
      <c r="G19" s="46" t="n">
        <f aca="false">'Informasi Project'!$B$20+1*7-1</f>
        <v>46033</v>
      </c>
      <c r="H19" s="46" t="n">
        <f aca="false">'Informasi Project'!$B$20+2*7-1</f>
        <v>46040</v>
      </c>
      <c r="I19" s="46" t="n">
        <f aca="false">'Informasi Project'!$B$20+3*7-1</f>
        <v>46047</v>
      </c>
      <c r="J19" s="46" t="n">
        <f aca="false">'Informasi Project'!$B$20+4*7-1</f>
        <v>46054</v>
      </c>
      <c r="K19" s="46" t="n">
        <f aca="false">'Informasi Project'!$B$20+5*7-1</f>
        <v>46061</v>
      </c>
      <c r="L19" s="46" t="n">
        <f aca="false">'Informasi Project'!$B$20+6*7-1</f>
        <v>46068</v>
      </c>
      <c r="M19" s="46" t="n">
        <f aca="false">'Informasi Project'!$B$20+7*7-1</f>
        <v>46075</v>
      </c>
      <c r="N19" s="46" t="n">
        <f aca="false">'Informasi Project'!$B$20+8*7-1</f>
        <v>46082</v>
      </c>
      <c r="O19" s="46" t="n">
        <f aca="false">'Informasi Project'!$B$20+9*7-1</f>
        <v>46089</v>
      </c>
      <c r="P19" s="46" t="n">
        <f aca="false">'Informasi Project'!$B$20+10*7-1</f>
        <v>46096</v>
      </c>
      <c r="Q19" s="46" t="n">
        <f aca="false">'Informasi Project'!$B$20+11*7-1</f>
        <v>46103</v>
      </c>
      <c r="R19" s="46" t="n">
        <f aca="false">'Informasi Project'!$B$20+12*7-1</f>
        <v>46110</v>
      </c>
      <c r="S19" s="46" t="n">
        <f aca="false">'Informasi Project'!$B$20+13*7-1</f>
        <v>46117</v>
      </c>
      <c r="T19" s="46" t="n">
        <f aca="false">'Informasi Project'!$B$20+14*7-1</f>
        <v>46124</v>
      </c>
      <c r="U19" s="46" t="n">
        <f aca="false">'Informasi Project'!$B$20+15*7-1</f>
        <v>46131</v>
      </c>
      <c r="V19" s="46" t="n">
        <f aca="false">'Informasi Project'!$B$20+16*7-1</f>
        <v>46138</v>
      </c>
      <c r="W19" s="46" t="n">
        <f aca="false">'Informasi Project'!$B$20+17*7-1</f>
        <v>46145</v>
      </c>
      <c r="X19" s="46" t="n">
        <f aca="false">'Informasi Project'!$B$20+18*7-1</f>
        <v>46152</v>
      </c>
      <c r="Y19" s="46" t="n">
        <f aca="false">'Informasi Project'!$B$20+19*7-1</f>
        <v>46159</v>
      </c>
      <c r="Z19" s="46" t="n">
        <f aca="false">'Informasi Project'!$B$20+20*7-1</f>
        <v>46166</v>
      </c>
      <c r="AA19" s="46" t="n">
        <f aca="false">'Informasi Project'!$B$20+21*7-1</f>
        <v>46173</v>
      </c>
      <c r="AB19" s="46" t="n">
        <f aca="false">'Informasi Project'!$B$20+22*7-1</f>
        <v>46180</v>
      </c>
      <c r="AC19" s="46" t="n">
        <f aca="false">'Informasi Project'!$B$20+23*7-1</f>
        <v>46187</v>
      </c>
      <c r="AD19" s="46" t="n">
        <f aca="false">'Informasi Project'!$B$20+24*7-1</f>
        <v>46194</v>
      </c>
    </row>
  </sheetData>
  <conditionalFormatting sqref="G5:AD1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2026-10-15T05:33:36Z</dcterms:created>
  <dc:creator>openpyxl</dc:creator>
  <dc:description/>
  <dc:language>en-US</dc:language>
  <cp:lastModifiedBy/>
  <dcterms:modified xsi:type="dcterms:W3CDTF">2026-10-15T05:33:38Z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