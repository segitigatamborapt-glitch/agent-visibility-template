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rmasi Project" sheetId="1" state="visible" r:id="rId3"/>
    <sheet name="Rekap RAB" sheetId="2" state="visible" r:id="rId4"/>
    <sheet name="Analisa Harga Satuan" sheetId="3" state="visible" r:id="rId5"/>
    <sheet name="Harga Bahan" sheetId="4" state="visible" r:id="rId6"/>
    <sheet name="Harga Upah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<sst xmlns="http://schemas.openxmlformats.org/spreadsheetml/2006/main" count="416" uniqueCount="165">
  <si>
    <t xml:space="preserve">RENCANA ANGGARAN BIAYA (RAB)</t>
  </si>
  <si>
    <t xml:space="preserve">Sheet ini adalah pusat input. Sel BIRU = diisi/diubah pengguna; sel hitam = rumus. Seluruh data di bawah adalah CONTOH — ganti sesuai proyek.</t>
  </si>
  <si>
    <t xml:space="preserve">Nama Proyek</t>
  </si>
  <si>
    <t xml:space="preserve">Pembangunan Rumah Tinggal Tipe 36</t>
  </si>
  <si>
    <t xml:space="preserve">Lokasi Proyek</t>
  </si>
  <si>
    <t xml:space="preserve">Jl. Contoh No. 1, Kota Contoh</t>
  </si>
  <si>
    <t xml:space="preserve">Pemilik / Owner</t>
  </si>
  <si>
    <t xml:space="preserve">Bapak/Ibu Contoh</t>
  </si>
  <si>
    <t xml:space="preserve">Project Manager</t>
  </si>
  <si>
    <t xml:space="preserve">(isi nama PM)</t>
  </si>
  <si>
    <t xml:space="preserve">Konsultan Perencana</t>
  </si>
  <si>
    <t xml:space="preserve">(isi nama konsultan)</t>
  </si>
  <si>
    <t xml:space="preserve">Kontraktor Pelaksana</t>
  </si>
  <si>
    <t xml:space="preserve">(isi nama kontraktor)</t>
  </si>
  <si>
    <t xml:space="preserve">Jenis Pekerjaan</t>
  </si>
  <si>
    <t xml:space="preserve">Gedung / Bangunan Rumah Tinggal 1 Lantai</t>
  </si>
  <si>
    <t xml:space="preserve">Tahun Anggaran</t>
  </si>
  <si>
    <t xml:space="preserve">Tanggal Penyusunan</t>
  </si>
  <si>
    <t xml:space="preserve">2026-10-15</t>
  </si>
  <si>
    <t xml:space="preserve">Luas Bangunan (m²)</t>
  </si>
  <si>
    <t xml:space="preserve">Durasi Pelaksanaan (hari kalender)</t>
  </si>
  <si>
    <t xml:space="preserve">Sumber Dana</t>
  </si>
  <si>
    <t xml:space="preserve">Pribadi / Swadana</t>
  </si>
  <si>
    <t xml:space="preserve">Overhead &amp; Profit (%)</t>
  </si>
  <si>
    <t xml:space="preserve">PPN (%)</t>
  </si>
  <si>
    <t xml:space="preserve">Pembulatan ke kelipatan (Rp)</t>
  </si>
  <si>
    <t xml:space="preserve">CATATAN &amp; ASUMSI</t>
  </si>
  <si>
    <t xml:space="preserve">1. Koefisien analisa (AHSP) bersifat indikatif mengacu pola SNI/Permen PUPR; verifikasi dengan standar &amp; kondisi lapangan proyek.</t>
  </si>
  <si>
    <t xml:space="preserve">2. Harga bahan &amp; upah adalah asumsi contoh (Rp, estimasi 2026) — WAJIB diganti dengan harga survei/pasar lokasi proyek.</t>
  </si>
  <si>
    <t xml:space="preserve">3. Overhead &amp; Profit (kuning) ditambahkan di atas jumlah bahan + upah pada setiap analisa harga satuan.</t>
  </si>
  <si>
    <t xml:space="preserve">4. Alur data: Harga Bahan &amp; Harga Upah -&gt; Analisa Harga Satuan -&gt; Rekap RAB (volume diinput di Rekap RAB).</t>
  </si>
  <si>
    <t xml:space="preserve">5. Volume pekerjaan pada Rekap RAB adalah contoh; ganti dengan hasil perhitungan quantity take-off dari gambar kerja.</t>
  </si>
  <si>
    <t xml:space="preserve">REKAPITULASI RENCANA ANGGARAN BIAYA</t>
  </si>
  <si>
    <t xml:space="preserve">No</t>
  </si>
  <si>
    <t xml:space="preserve">Uraian Pekerjaan</t>
  </si>
  <si>
    <t xml:space="preserve">Kode AHSP</t>
  </si>
  <si>
    <t xml:space="preserve">Satuan</t>
  </si>
  <si>
    <t xml:space="preserve">Volume</t>
  </si>
  <si>
    <t xml:space="preserve">Harga Satuan (Rp)</t>
  </si>
  <si>
    <t xml:space="preserve">Jumlah Harga (Rp)</t>
  </si>
  <si>
    <t xml:space="preserve">Bobot (%)</t>
  </si>
  <si>
    <t xml:space="preserve">A</t>
  </si>
  <si>
    <t xml:space="preserve">PEKERJAAN PERSIAPAN &amp; TANAH</t>
  </si>
  <si>
    <t xml:space="preserve">A.1</t>
  </si>
  <si>
    <t xml:space="preserve">A.2</t>
  </si>
  <si>
    <t xml:space="preserve">A.3</t>
  </si>
  <si>
    <t xml:space="preserve">Sub Total A</t>
  </si>
  <si>
    <t xml:space="preserve">B</t>
  </si>
  <si>
    <t xml:space="preserve">PEKERJAAN STRUKTUR</t>
  </si>
  <si>
    <t xml:space="preserve">B.1</t>
  </si>
  <si>
    <t xml:space="preserve">B.2</t>
  </si>
  <si>
    <t xml:space="preserve">B.3</t>
  </si>
  <si>
    <t xml:space="preserve">B.4</t>
  </si>
  <si>
    <t xml:space="preserve">Sub Total B</t>
  </si>
  <si>
    <t xml:space="preserve">C</t>
  </si>
  <si>
    <t xml:space="preserve">PEKERJAAN DINDING</t>
  </si>
  <si>
    <t xml:space="preserve">C.1</t>
  </si>
  <si>
    <t xml:space="preserve">C.2</t>
  </si>
  <si>
    <t xml:space="preserve">Sub Total C</t>
  </si>
  <si>
    <t xml:space="preserve">D</t>
  </si>
  <si>
    <t xml:space="preserve">PEKERJAAN ATAP</t>
  </si>
  <si>
    <t xml:space="preserve">D.1</t>
  </si>
  <si>
    <t xml:space="preserve">Sub Total D</t>
  </si>
  <si>
    <t xml:space="preserve">E</t>
  </si>
  <si>
    <t xml:space="preserve">PEKERJAAN LANTAI &amp; PLAFON</t>
  </si>
  <si>
    <t xml:space="preserve">E.1</t>
  </si>
  <si>
    <t xml:space="preserve">E.2</t>
  </si>
  <si>
    <t xml:space="preserve">Sub Total E</t>
  </si>
  <si>
    <t xml:space="preserve">F</t>
  </si>
  <si>
    <t xml:space="preserve">PEKERJAAN FINISHING</t>
  </si>
  <si>
    <t xml:space="preserve">F.1</t>
  </si>
  <si>
    <t xml:space="preserve">Sub Total F</t>
  </si>
  <si>
    <t xml:space="preserve">JUMLAH TOTAL (A+B+C+D+E+F)</t>
  </si>
  <si>
    <t xml:space="preserve">PPN</t>
  </si>
  <si>
    <t xml:space="preserve">TOTAL SETELAH PPN</t>
  </si>
  <si>
    <t xml:space="preserve">TOTAL RAB (DIBULATKAN)</t>
  </si>
  <si>
    <t xml:space="preserve">Biaya per m² bangunan</t>
  </si>
  <si>
    <t xml:space="preserve">Catatan: Kode AHSP &amp; Volume (biru) adalah input. Volume contoh — ganti dengan hasil quantity take-off. Harga satuan terhubung otomatis ke sheet Analisa Harga Satuan.</t>
  </si>
  <si>
    <t xml:space="preserve">Disusun oleh,</t>
  </si>
  <si>
    <t xml:space="preserve">Disetujui oleh,</t>
  </si>
  <si>
    <t xml:space="preserve">( ............................ )</t>
  </si>
  <si>
    <t xml:space="preserve">Pemilik Proyek</t>
  </si>
  <si>
    <t xml:space="preserve">ANALISA HARGA SATUAN PEKERJAAN (AHSP)</t>
  </si>
  <si>
    <t xml:space="preserve">Koefisien (biru) = input, indikatif mengacu pola SNI. Uraian, satuan &amp; harga komponen diambil otomatis dari sheet Harga Bahan / Harga Upah berdasarkan kode.</t>
  </si>
  <si>
    <t xml:space="preserve">Kode</t>
  </si>
  <si>
    <t xml:space="preserve">Uraian</t>
  </si>
  <si>
    <t xml:space="preserve">Koefisien</t>
  </si>
  <si>
    <t xml:space="preserve">Kategori</t>
  </si>
  <si>
    <t xml:space="preserve">Pembersihan lahan &amp; perataan</t>
  </si>
  <si>
    <t xml:space="preserve">m²</t>
  </si>
  <si>
    <t xml:space="preserve">Harga satuan:</t>
  </si>
  <si>
    <t xml:space="preserve">U-01</t>
  </si>
  <si>
    <t xml:space="preserve">Upah</t>
  </si>
  <si>
    <t xml:space="preserve">U-07</t>
  </si>
  <si>
    <t xml:space="preserve">Jumlah harga bahan</t>
  </si>
  <si>
    <t xml:space="preserve">Jumlah harga upah</t>
  </si>
  <si>
    <t xml:space="preserve">HARGA SATUAN PEKERJAAN</t>
  </si>
  <si>
    <t xml:space="preserve">Galian tanah pondasi</t>
  </si>
  <si>
    <t xml:space="preserve">m³</t>
  </si>
  <si>
    <t xml:space="preserve">Urugan pasir bawah pondasi</t>
  </si>
  <si>
    <t xml:space="preserve">B-02</t>
  </si>
  <si>
    <t xml:space="preserve">Bahan</t>
  </si>
  <si>
    <t xml:space="preserve">Pondasi batu kali campuran 1 PC : 5 PS</t>
  </si>
  <si>
    <t xml:space="preserve">B-05</t>
  </si>
  <si>
    <t xml:space="preserve">B-01</t>
  </si>
  <si>
    <t xml:space="preserve">U-02</t>
  </si>
  <si>
    <t xml:space="preserve">U-06</t>
  </si>
  <si>
    <t xml:space="preserve">Beton K-175 (1:2:3) sloof/kolom/ring balk</t>
  </si>
  <si>
    <t xml:space="preserve">B-03</t>
  </si>
  <si>
    <t xml:space="preserve">B-04</t>
  </si>
  <si>
    <t xml:space="preserve">B-11</t>
  </si>
  <si>
    <t xml:space="preserve">Pembesian dengan besi polos/ulir</t>
  </si>
  <si>
    <t xml:space="preserve">kg</t>
  </si>
  <si>
    <t xml:space="preserve">B-07</t>
  </si>
  <si>
    <t xml:space="preserve">B-08</t>
  </si>
  <si>
    <t xml:space="preserve">U-04</t>
  </si>
  <si>
    <t xml:space="preserve">Bekisting kolom/sloof (kayu)</t>
  </si>
  <si>
    <t xml:space="preserve">B-09</t>
  </si>
  <si>
    <t xml:space="preserve">B-10</t>
  </si>
  <si>
    <t xml:space="preserve">U-03</t>
  </si>
  <si>
    <t xml:space="preserve">Pasangan dinding bata merah 1 PC : 4 PS</t>
  </si>
  <si>
    <t xml:space="preserve">B-06</t>
  </si>
  <si>
    <t xml:space="preserve">Plesteran 1 PC : 4 PS tebal 15 mm</t>
  </si>
  <si>
    <t xml:space="preserve">Rangka atap kayu &amp; penutup genteng beton</t>
  </si>
  <si>
    <t xml:space="preserve">B-12</t>
  </si>
  <si>
    <t xml:space="preserve">Pasang lantai keramik 40x40</t>
  </si>
  <si>
    <t xml:space="preserve">B-13</t>
  </si>
  <si>
    <t xml:space="preserve">Plafon gypsum rangka kayu</t>
  </si>
  <si>
    <t xml:space="preserve">B-14</t>
  </si>
  <si>
    <t xml:space="preserve">Pengecatan dinding (plamir + cat 1 lapis)</t>
  </si>
  <si>
    <t xml:space="preserve">B-15</t>
  </si>
  <si>
    <t xml:space="preserve">B-16</t>
  </si>
  <si>
    <t xml:space="preserve">U-05</t>
  </si>
  <si>
    <t xml:space="preserve">DAFTAR HARGA SATUAN BAHAN</t>
  </si>
  <si>
    <t xml:space="preserve">Sel biru = harga input (asumsi contoh, ganti dengan harga survei). Tambah baris baru di bawah bila perlu (rentang rumus lookup sampai baris 200).</t>
  </si>
  <si>
    <t xml:space="preserve">Semen Portland (PC)</t>
  </si>
  <si>
    <t xml:space="preserve">Pasir pasang</t>
  </si>
  <si>
    <t xml:space="preserve">Pasir beton</t>
  </si>
  <si>
    <t xml:space="preserve">Batu split / kerikil 2/3</t>
  </si>
  <si>
    <t xml:space="preserve">Batu kali belah</t>
  </si>
  <si>
    <t xml:space="preserve">Batu bata merah</t>
  </si>
  <si>
    <t xml:space="preserve">bh</t>
  </si>
  <si>
    <t xml:space="preserve">Besi beton polos/ulir</t>
  </si>
  <si>
    <t xml:space="preserve">Kawat beton (bendrat)</t>
  </si>
  <si>
    <t xml:space="preserve">Kayu kelas II/III (balok, usuk, reng)</t>
  </si>
  <si>
    <t xml:space="preserve">Paku campuran</t>
  </si>
  <si>
    <t xml:space="preserve">Air kerja</t>
  </si>
  <si>
    <t xml:space="preserve">liter</t>
  </si>
  <si>
    <t xml:space="preserve">Genteng beton</t>
  </si>
  <si>
    <t xml:space="preserve">Keramik lantai 40x40</t>
  </si>
  <si>
    <t xml:space="preserve">Plafon gypsum 9mm (120x240)</t>
  </si>
  <si>
    <t xml:space="preserve">lembar</t>
  </si>
  <si>
    <t xml:space="preserve">Cat tembok interior/eksterior</t>
  </si>
  <si>
    <t xml:space="preserve">Plamir tembok</t>
  </si>
  <si>
    <t xml:space="preserve">B-17</t>
  </si>
  <si>
    <t xml:space="preserve">Tanah urug</t>
  </si>
  <si>
    <t xml:space="preserve">DAFTAR HARGA SATUAN UPAH TENAGA KERJA</t>
  </si>
  <si>
    <t xml:space="preserve">Pekerja</t>
  </si>
  <si>
    <t xml:space="preserve">OH</t>
  </si>
  <si>
    <t xml:space="preserve">Tukang batu</t>
  </si>
  <si>
    <t xml:space="preserve">Tukang kayu</t>
  </si>
  <si>
    <t xml:space="preserve">Tukang besi</t>
  </si>
  <si>
    <t xml:space="preserve">Tukang cat</t>
  </si>
  <si>
    <t xml:space="preserve">Kepala tukang</t>
  </si>
  <si>
    <t xml:space="preserve">Mandor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</si>
</sst>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#,##0.00"/>
    <numFmt numFmtId="167" formatCode="#,##0"/>
    <numFmt numFmtId="168" formatCode="0.0%"/>
    <numFmt numFmtId="169" formatCode="#,##0;\(#,##0\);\-"/>
    <numFmt numFmtId="170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5" t="n">
        <v>2026</v>
      </c>
    </row>
    <row r="12" customFormat="false" ht="15" hidden="false" customHeight="false" outlineLevel="0" collapsed="false">
      <c r="A12" s="3" t="s">
        <v>17</v>
      </c>
      <c r="B12" s="6" t="s">
        <v>18</v>
      </c>
    </row>
    <row r="13" customFormat="false" ht="15" hidden="false" customHeight="false" outlineLevel="0" collapsed="false">
      <c r="A13" s="3" t="s">
        <v>19</v>
      </c>
      <c r="B13" s="7" t="n">
        <v>36</v>
      </c>
    </row>
    <row r="14" customFormat="false" ht="15" hidden="false" customHeight="false" outlineLevel="0" collapsed="false">
      <c r="A14" s="3" t="s">
        <v>20</v>
      </c>
      <c r="B14" s="8" t="n">
        <v>90</v>
      </c>
    </row>
    <row r="15" customFormat="false" ht="15" hidden="false" customHeight="false" outlineLevel="0" collapsed="false">
      <c r="A15" s="3" t="s">
        <v>21</v>
      </c>
      <c r="B15" s="4" t="s">
        <v>22</v>
      </c>
    </row>
    <row r="16" customFormat="false" ht="15" hidden="false" customHeight="false" outlineLevel="0" collapsed="false">
      <c r="A16" s="3" t="s">
        <v>23</v>
      </c>
      <c r="B16" s="9" t="n">
        <v>0.15</v>
      </c>
    </row>
    <row r="17" customFormat="false" ht="15" hidden="false" customHeight="false" outlineLevel="0" collapsed="false">
      <c r="A17" s="3" t="s">
        <v>24</v>
      </c>
      <c r="B17" s="9" t="n">
        <v>0.11</v>
      </c>
    </row>
    <row r="18" customFormat="false" ht="15" hidden="false" customHeight="false" outlineLevel="0" collapsed="false">
      <c r="A18" s="3" t="s">
        <v>25</v>
      </c>
      <c r="B18" s="8" t="n">
        <v>1000</v>
      </c>
    </row>
    <row r="21" customFormat="false" ht="15" hidden="false" customHeight="false" outlineLevel="0" collapsed="false">
      <c r="A21" s="10" t="s">
        <v>26</v>
      </c>
    </row>
    <row r="22" customFormat="false" ht="15" hidden="false" customHeight="false" outlineLevel="0" collapsed="false">
      <c r="A22" s="11" t="s">
        <v>27</v>
      </c>
    </row>
    <row r="23" customFormat="false" ht="15" hidden="false" customHeight="false" outlineLevel="0" collapsed="false">
      <c r="A23" s="11" t="s">
        <v>28</v>
      </c>
    </row>
    <row r="24" customFormat="false" ht="15" hidden="false" customHeight="false" outlineLevel="0" collapsed="false">
      <c r="A24" s="11" t="s">
        <v>29</v>
      </c>
    </row>
    <row r="25" customFormat="false" ht="15" hidden="false" customHeight="false" outlineLevel="0" collapsed="false">
      <c r="A25" s="11" t="s">
        <v>30</v>
      </c>
    </row>
    <row r="26" customFormat="false" ht="15" hidden="false" customHeight="false" outlineLevel="0" collapsed="false">
      <c r="A26" s="11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10" t="str">
        <f aca="false">"Proyek: "&amp;'Informasi Project'!B4</f>
        <v>Proyek: Pembangunan Rumah Tinggal Tipe 36</v>
      </c>
    </row>
    <row r="3" customFormat="false" ht="15" hidden="false" customHeight="false" outlineLevel="0" collapsed="false">
      <c r="A3" s="12" t="str">
        <f aca="false">"Lokasi: "&amp;'Informasi Project'!B5</f>
        <v>Lokasi: Jl. Contoh No. 1, Kota Contoh</v>
      </c>
    </row>
    <row r="5" customFormat="false" ht="15" hidden="false" customHeight="false" outlineLevel="0" collapsed="false">
      <c r="A5" s="13" t="s">
        <v>33</v>
      </c>
      <c r="B5" s="13" t="s">
        <v>34</v>
      </c>
      <c r="C5" s="13" t="s">
        <v>35</v>
      </c>
      <c r="D5" s="13" t="s">
        <v>36</v>
      </c>
      <c r="E5" s="13" t="s">
        <v>37</v>
      </c>
      <c r="F5" s="13" t="s">
        <v>38</v>
      </c>
      <c r="G5" s="13" t="s">
        <v>39</v>
      </c>
      <c r="H5" s="13" t="s">
        <v>40</v>
      </c>
    </row>
    <row r="6" customFormat="false" ht="15" hidden="false" customHeight="false" outlineLevel="0" collapsed="false">
      <c r="A6" s="3" t="s">
        <v>41</v>
      </c>
      <c r="B6" s="3" t="s">
        <v>42</v>
      </c>
      <c r="C6" s="14"/>
      <c r="D6" s="14"/>
      <c r="E6" s="14"/>
      <c r="F6" s="14"/>
      <c r="G6" s="14"/>
      <c r="H6" s="14"/>
    </row>
    <row r="7" customFormat="false" ht="15" hidden="false" customHeight="false" outlineLevel="0" collapsed="false">
      <c r="A7" s="15" t="n">
        <v>1</v>
      </c>
      <c r="B7" s="16" t="str">
        <f aca="false">INDEX('Analisa Harga Satuan'!$B$5:$B$157,MATCH(C7,'Analisa Harga Satuan'!$A$5:$A$157,0))</f>
        <v>Pembersihan lahan &amp; perataan</v>
      </c>
      <c r="C7" s="17" t="s">
        <v>43</v>
      </c>
      <c r="D7" s="18" t="str">
        <f aca="false">INDEX('Analisa Harga Satuan'!$C$5:$C$157,MATCH(C7,'Analisa Harga Satuan'!$A$5:$A$157,0))</f>
        <v>m²</v>
      </c>
      <c r="E7" s="19" t="n">
        <v>54</v>
      </c>
      <c r="F7" s="20" t="n">
        <f aca="false">INDEX('Analisa Harga Satuan'!$F$5:$F$157,MATCH(C7,'Analisa Harga Satuan'!$A$5:$A$157,0))</f>
        <v>8021.25</v>
      </c>
      <c r="G7" s="21" t="n">
        <f aca="false">E7*F7</f>
        <v>433147.5</v>
      </c>
      <c r="H7" s="22" t="n">
        <f aca="false">IF($G$37=0,0,G7/$G$37)</f>
        <v>0.00396155096282096</v>
      </c>
    </row>
    <row r="8" customFormat="false" ht="15" hidden="false" customHeight="false" outlineLevel="0" collapsed="false">
      <c r="A8" s="15" t="n">
        <v>2</v>
      </c>
      <c r="B8" s="16" t="str">
        <f aca="false">INDEX('Analisa Harga Satuan'!$B$5:$B$157,MATCH(C8,'Analisa Harga Satuan'!$A$5:$A$157,0))</f>
        <v>Galian tanah pondasi</v>
      </c>
      <c r="C8" s="17" t="s">
        <v>44</v>
      </c>
      <c r="D8" s="18" t="str">
        <f aca="false">INDEX('Analisa Harga Satuan'!$C$5:$C$157,MATCH(C8,'Analisa Harga Satuan'!$A$5:$A$157,0))</f>
        <v>m³</v>
      </c>
      <c r="E8" s="19" t="n">
        <v>14</v>
      </c>
      <c r="F8" s="20" t="n">
        <f aca="false">INDEX('Analisa Harga Satuan'!$F$5:$F$157,MATCH(C8,'Analisa Harga Satuan'!$A$5:$A$157,0))</f>
        <v>117587.5</v>
      </c>
      <c r="G8" s="21" t="n">
        <f aca="false">E8*F8</f>
        <v>1646225</v>
      </c>
      <c r="H8" s="22" t="n">
        <f aca="false">IF($G$37=0,0,G8/$G$37)</f>
        <v>0.0150563127659052</v>
      </c>
    </row>
    <row r="9" customFormat="false" ht="15" hidden="false" customHeight="false" outlineLevel="0" collapsed="false">
      <c r="A9" s="15" t="n">
        <v>3</v>
      </c>
      <c r="B9" s="16" t="str">
        <f aca="false">INDEX('Analisa Harga Satuan'!$B$5:$B$157,MATCH(C9,'Analisa Harga Satuan'!$A$5:$A$157,0))</f>
        <v>Urugan pasir bawah pondasi</v>
      </c>
      <c r="C9" s="17" t="s">
        <v>45</v>
      </c>
      <c r="D9" s="18" t="str">
        <f aca="false">INDEX('Analisa Harga Satuan'!$C$5:$C$157,MATCH(C9,'Analisa Harga Satuan'!$A$5:$A$157,0))</f>
        <v>m³</v>
      </c>
      <c r="E9" s="19" t="n">
        <v>5</v>
      </c>
      <c r="F9" s="20" t="n">
        <f aca="false">INDEX('Analisa Harga Satuan'!$F$5:$F$157,MATCH(C9,'Analisa Harga Satuan'!$A$5:$A$157,0))</f>
        <v>405835</v>
      </c>
      <c r="G9" s="21" t="n">
        <f aca="false">E9*F9</f>
        <v>2029175</v>
      </c>
      <c r="H9" s="22" t="n">
        <f aca="false">IF($G$37=0,0,G9/$G$37)</f>
        <v>0.0185587592563324</v>
      </c>
    </row>
    <row r="10" customFormat="false" ht="15" hidden="false" customHeight="false" outlineLevel="0" collapsed="false">
      <c r="A10" s="23"/>
      <c r="B10" s="24" t="s">
        <v>46</v>
      </c>
      <c r="C10" s="23"/>
      <c r="D10" s="23"/>
      <c r="E10" s="23"/>
      <c r="F10" s="23"/>
      <c r="G10" s="25" t="n">
        <f aca="false">SUM(G7:G9)</f>
        <v>4108547.5</v>
      </c>
      <c r="H10" s="26" t="n">
        <f aca="false">IF($G$37=0,0,G10/$G$37)</f>
        <v>0.0375766229850586</v>
      </c>
    </row>
    <row r="12" customFormat="false" ht="15" hidden="false" customHeight="false" outlineLevel="0" collapsed="false">
      <c r="A12" s="3" t="s">
        <v>47</v>
      </c>
      <c r="B12" s="3" t="s">
        <v>48</v>
      </c>
      <c r="C12" s="14"/>
      <c r="D12" s="14"/>
      <c r="E12" s="14"/>
      <c r="F12" s="14"/>
      <c r="G12" s="14"/>
      <c r="H12" s="14"/>
    </row>
    <row r="13" customFormat="false" ht="15" hidden="false" customHeight="false" outlineLevel="0" collapsed="false">
      <c r="A13" s="15" t="n">
        <v>1</v>
      </c>
      <c r="B13" s="16" t="str">
        <f aca="false">INDEX('Analisa Harga Satuan'!$B$5:$B$157,MATCH(C13,'Analisa Harga Satuan'!$A$5:$A$157,0))</f>
        <v>Pondasi batu kali campuran 1 PC : 5 PS</v>
      </c>
      <c r="C13" s="17" t="s">
        <v>49</v>
      </c>
      <c r="D13" s="18" t="str">
        <f aca="false">INDEX('Analisa Harga Satuan'!$C$5:$C$157,MATCH(C13,'Analisa Harga Satuan'!$A$5:$A$157,0))</f>
        <v>m³</v>
      </c>
      <c r="E13" s="19" t="n">
        <v>14</v>
      </c>
      <c r="F13" s="20" t="n">
        <f aca="false">INDEX('Analisa Harga Satuan'!$F$5:$F$157,MATCH(C13,'Analisa Harga Satuan'!$A$5:$A$157,0))</f>
        <v>1207413.75</v>
      </c>
      <c r="G13" s="21" t="n">
        <f aca="false">E13*F13</f>
        <v>16903792.5</v>
      </c>
      <c r="H13" s="22" t="n">
        <f aca="false">IF($G$37=0,0,G13/$G$37)</f>
        <v>0.154601458980372</v>
      </c>
    </row>
    <row r="14" customFormat="false" ht="15" hidden="false" customHeight="false" outlineLevel="0" collapsed="false">
      <c r="A14" s="15" t="n">
        <v>2</v>
      </c>
      <c r="B14" s="16" t="str">
        <f aca="false">INDEX('Analisa Harga Satuan'!$B$5:$B$157,MATCH(C14,'Analisa Harga Satuan'!$A$5:$A$157,0))</f>
        <v>Beton K-175 (1:2:3) sloof/kolom/ring balk</v>
      </c>
      <c r="C14" s="17" t="s">
        <v>50</v>
      </c>
      <c r="D14" s="18" t="str">
        <f aca="false">INDEX('Analisa Harga Satuan'!$C$5:$C$157,MATCH(C14,'Analisa Harga Satuan'!$A$5:$A$157,0))</f>
        <v>m³</v>
      </c>
      <c r="E14" s="19" t="n">
        <v>3.2</v>
      </c>
      <c r="F14" s="20" t="n">
        <f aca="false">INDEX('Analisa Harga Satuan'!$F$5:$F$157,MATCH(C14,'Analisa Harga Satuan'!$A$5:$A$157,0))</f>
        <v>1364383</v>
      </c>
      <c r="G14" s="21" t="n">
        <f aca="false">E14*F14</f>
        <v>4366025.6</v>
      </c>
      <c r="H14" s="22" t="n">
        <f aca="false">IF($G$37=0,0,G14/$G$37)</f>
        <v>0.0399315081337904</v>
      </c>
    </row>
    <row r="15" customFormat="false" ht="15" hidden="false" customHeight="false" outlineLevel="0" collapsed="false">
      <c r="A15" s="15" t="n">
        <v>3</v>
      </c>
      <c r="B15" s="16" t="str">
        <f aca="false">INDEX('Analisa Harga Satuan'!$B$5:$B$157,MATCH(C15,'Analisa Harga Satuan'!$A$5:$A$157,0))</f>
        <v>Pembesian dengan besi polos/ulir</v>
      </c>
      <c r="C15" s="17" t="s">
        <v>51</v>
      </c>
      <c r="D15" s="18" t="str">
        <f aca="false">INDEX('Analisa Harga Satuan'!$C$5:$C$157,MATCH(C15,'Analisa Harga Satuan'!$A$5:$A$157,0))</f>
        <v>kg</v>
      </c>
      <c r="E15" s="19" t="n">
        <v>320</v>
      </c>
      <c r="F15" s="20" t="n">
        <f aca="false">INDEX('Analisa Harga Satuan'!$F$5:$F$157,MATCH(C15,'Analisa Harga Satuan'!$A$5:$A$157,0))</f>
        <v>20416.525</v>
      </c>
      <c r="G15" s="21" t="n">
        <f aca="false">E15*F15</f>
        <v>6533288</v>
      </c>
      <c r="H15" s="22" t="n">
        <f aca="false">IF($G$37=0,0,G15/$G$37)</f>
        <v>0.0597532096267129</v>
      </c>
    </row>
    <row r="16" customFormat="false" ht="15" hidden="false" customHeight="false" outlineLevel="0" collapsed="false">
      <c r="A16" s="15" t="n">
        <v>4</v>
      </c>
      <c r="B16" s="16" t="str">
        <f aca="false">INDEX('Analisa Harga Satuan'!$B$5:$B$157,MATCH(C16,'Analisa Harga Satuan'!$A$5:$A$157,0))</f>
        <v>Bekisting kolom/sloof (kayu)</v>
      </c>
      <c r="C16" s="17" t="s">
        <v>52</v>
      </c>
      <c r="D16" s="18" t="str">
        <f aca="false">INDEX('Analisa Harga Satuan'!$C$5:$C$157,MATCH(C16,'Analisa Harga Satuan'!$A$5:$A$157,0))</f>
        <v>m²</v>
      </c>
      <c r="E16" s="19" t="n">
        <v>28</v>
      </c>
      <c r="F16" s="20" t="n">
        <f aca="false">INDEX('Analisa Harga Satuan'!$F$5:$F$157,MATCH(C16,'Analisa Harga Satuan'!$A$5:$A$157,0))</f>
        <v>321413.5</v>
      </c>
      <c r="G16" s="21" t="n">
        <f aca="false">E16*F16</f>
        <v>8999578</v>
      </c>
      <c r="H16" s="22" t="n">
        <f aca="false">IF($G$37=0,0,G16/$G$37)</f>
        <v>0.08230980645365</v>
      </c>
    </row>
    <row r="17" customFormat="false" ht="15" hidden="false" customHeight="false" outlineLevel="0" collapsed="false">
      <c r="A17" s="23"/>
      <c r="B17" s="24" t="s">
        <v>53</v>
      </c>
      <c r="C17" s="23"/>
      <c r="D17" s="23"/>
      <c r="E17" s="23"/>
      <c r="F17" s="23"/>
      <c r="G17" s="25" t="n">
        <f aca="false">SUM(G13:G16)</f>
        <v>36802684.1</v>
      </c>
      <c r="H17" s="26" t="n">
        <f aca="false">IF($G$37=0,0,G17/$G$37)</f>
        <v>0.336595983194526</v>
      </c>
    </row>
    <row r="19" customFormat="false" ht="15" hidden="false" customHeight="false" outlineLevel="0" collapsed="false">
      <c r="A19" s="3" t="s">
        <v>54</v>
      </c>
      <c r="B19" s="3" t="s">
        <v>55</v>
      </c>
      <c r="C19" s="14"/>
      <c r="D19" s="14"/>
      <c r="E19" s="14"/>
      <c r="F19" s="14"/>
      <c r="G19" s="14"/>
      <c r="H19" s="14"/>
    </row>
    <row r="20" customFormat="false" ht="15" hidden="false" customHeight="false" outlineLevel="0" collapsed="false">
      <c r="A20" s="15" t="n">
        <v>1</v>
      </c>
      <c r="B20" s="16" t="str">
        <f aca="false">INDEX('Analisa Harga Satuan'!$B$5:$B$157,MATCH(C20,'Analisa Harga Satuan'!$A$5:$A$157,0))</f>
        <v>Pasangan dinding bata merah 1 PC : 4 PS</v>
      </c>
      <c r="C20" s="17" t="s">
        <v>56</v>
      </c>
      <c r="D20" s="18" t="str">
        <f aca="false">INDEX('Analisa Harga Satuan'!$C$5:$C$157,MATCH(C20,'Analisa Harga Satuan'!$A$5:$A$157,0))</f>
        <v>m²</v>
      </c>
      <c r="E20" s="19" t="n">
        <v>95</v>
      </c>
      <c r="F20" s="20" t="n">
        <f aca="false">INDEX('Analisa Harga Satuan'!$F$5:$F$157,MATCH(C20,'Analisa Harga Satuan'!$A$5:$A$157,0))</f>
        <v>173023.25</v>
      </c>
      <c r="G20" s="21" t="n">
        <f aca="false">E20*F20</f>
        <v>16437208.75</v>
      </c>
      <c r="H20" s="22" t="n">
        <f aca="false">IF($G$37=0,0,G20/$G$37)</f>
        <v>0.150334101315722</v>
      </c>
    </row>
    <row r="21" customFormat="false" ht="15" hidden="false" customHeight="false" outlineLevel="0" collapsed="false">
      <c r="A21" s="15" t="n">
        <v>2</v>
      </c>
      <c r="B21" s="16" t="str">
        <f aca="false">INDEX('Analisa Harga Satuan'!$B$5:$B$157,MATCH(C21,'Analisa Harga Satuan'!$A$5:$A$157,0))</f>
        <v>Plesteran 1 PC : 4 PS tebal 15 mm</v>
      </c>
      <c r="C21" s="17" t="s">
        <v>57</v>
      </c>
      <c r="D21" s="18" t="str">
        <f aca="false">INDEX('Analisa Harga Satuan'!$C$5:$C$157,MATCH(C21,'Analisa Harga Satuan'!$A$5:$A$157,0))</f>
        <v>m²</v>
      </c>
      <c r="E21" s="19" t="n">
        <v>190</v>
      </c>
      <c r="F21" s="20" t="n">
        <f aca="false">INDEX('Analisa Harga Satuan'!$F$5:$F$157,MATCH(C21,'Analisa Harga Satuan'!$A$5:$A$157,0))</f>
        <v>96327.45</v>
      </c>
      <c r="G21" s="21" t="n">
        <f aca="false">E21*F21</f>
        <v>18302215.5</v>
      </c>
      <c r="H21" s="22" t="n">
        <f aca="false">IF($G$37=0,0,G21/$G$37)</f>
        <v>0.167391383849109</v>
      </c>
    </row>
    <row r="22" customFormat="false" ht="15" hidden="false" customHeight="false" outlineLevel="0" collapsed="false">
      <c r="A22" s="23"/>
      <c r="B22" s="24" t="s">
        <v>58</v>
      </c>
      <c r="C22" s="23"/>
      <c r="D22" s="23"/>
      <c r="E22" s="23"/>
      <c r="F22" s="23"/>
      <c r="G22" s="25" t="n">
        <f aca="false">SUM(G20:G21)</f>
        <v>34739424.25</v>
      </c>
      <c r="H22" s="26" t="n">
        <f aca="false">IF($G$37=0,0,G22/$G$37)</f>
        <v>0.31772548516483</v>
      </c>
    </row>
    <row r="24" customFormat="false" ht="15" hidden="false" customHeight="false" outlineLevel="0" collapsed="false">
      <c r="A24" s="3" t="s">
        <v>59</v>
      </c>
      <c r="B24" s="3" t="s">
        <v>60</v>
      </c>
      <c r="C24" s="14"/>
      <c r="D24" s="14"/>
      <c r="E24" s="14"/>
      <c r="F24" s="14"/>
      <c r="G24" s="14"/>
      <c r="H24" s="14"/>
    </row>
    <row r="25" customFormat="false" ht="15" hidden="false" customHeight="false" outlineLevel="0" collapsed="false">
      <c r="A25" s="15" t="n">
        <v>1</v>
      </c>
      <c r="B25" s="16" t="str">
        <f aca="false">INDEX('Analisa Harga Satuan'!$B$5:$B$157,MATCH(C25,'Analisa Harga Satuan'!$A$5:$A$157,0))</f>
        <v>Rangka atap kayu &amp; penutup genteng beton</v>
      </c>
      <c r="C25" s="17" t="s">
        <v>61</v>
      </c>
      <c r="D25" s="18" t="str">
        <f aca="false">INDEX('Analisa Harga Satuan'!$C$5:$C$157,MATCH(C25,'Analisa Harga Satuan'!$A$5:$A$157,0))</f>
        <v>m²</v>
      </c>
      <c r="E25" s="19" t="n">
        <v>45</v>
      </c>
      <c r="F25" s="20" t="n">
        <f aca="false">INDEX('Analisa Harga Satuan'!$F$5:$F$157,MATCH(C25,'Analisa Harga Satuan'!$A$5:$A$157,0))</f>
        <v>260245</v>
      </c>
      <c r="G25" s="21" t="n">
        <f aca="false">E25*F25</f>
        <v>11711025</v>
      </c>
      <c r="H25" s="22" t="n">
        <f aca="false">IF($G$37=0,0,G25/$G$37)</f>
        <v>0.1071086001059</v>
      </c>
    </row>
    <row r="26" customFormat="false" ht="15" hidden="false" customHeight="false" outlineLevel="0" collapsed="false">
      <c r="A26" s="23"/>
      <c r="B26" s="24" t="s">
        <v>62</v>
      </c>
      <c r="C26" s="23"/>
      <c r="D26" s="23"/>
      <c r="E26" s="23"/>
      <c r="F26" s="23"/>
      <c r="G26" s="25" t="n">
        <f aca="false">SUM(G25:G25)</f>
        <v>11711025</v>
      </c>
      <c r="H26" s="26" t="n">
        <f aca="false">IF($G$37=0,0,G26/$G$37)</f>
        <v>0.1071086001059</v>
      </c>
    </row>
    <row r="28" customFormat="false" ht="15" hidden="false" customHeight="false" outlineLevel="0" collapsed="false">
      <c r="A28" s="3" t="s">
        <v>63</v>
      </c>
      <c r="B28" s="3" t="s">
        <v>64</v>
      </c>
      <c r="C28" s="14"/>
      <c r="D28" s="14"/>
      <c r="E28" s="14"/>
      <c r="F28" s="14"/>
      <c r="G28" s="14"/>
      <c r="H28" s="14"/>
    </row>
    <row r="29" customFormat="false" ht="15" hidden="false" customHeight="false" outlineLevel="0" collapsed="false">
      <c r="A29" s="15" t="n">
        <v>1</v>
      </c>
      <c r="B29" s="16" t="str">
        <f aca="false">INDEX('Analisa Harga Satuan'!$B$5:$B$157,MATCH(C29,'Analisa Harga Satuan'!$A$5:$A$157,0))</f>
        <v>Pasang lantai keramik 40x40</v>
      </c>
      <c r="C29" s="17" t="s">
        <v>65</v>
      </c>
      <c r="D29" s="18" t="str">
        <f aca="false">INDEX('Analisa Harga Satuan'!$C$5:$C$157,MATCH(C29,'Analisa Harga Satuan'!$A$5:$A$157,0))</f>
        <v>m²</v>
      </c>
      <c r="E29" s="19" t="n">
        <v>36</v>
      </c>
      <c r="F29" s="20" t="n">
        <f aca="false">INDEX('Analisa Harga Satuan'!$F$5:$F$157,MATCH(C29,'Analisa Harga Satuan'!$A$5:$A$157,0))</f>
        <v>316508.75</v>
      </c>
      <c r="G29" s="21" t="n">
        <f aca="false">E29*F29</f>
        <v>11394315</v>
      </c>
      <c r="H29" s="22" t="n">
        <f aca="false">IF($G$37=0,0,G29/$G$37)</f>
        <v>0.104211982197601</v>
      </c>
    </row>
    <row r="30" customFormat="false" ht="15" hidden="false" customHeight="false" outlineLevel="0" collapsed="false">
      <c r="A30" s="15" t="n">
        <v>2</v>
      </c>
      <c r="B30" s="16" t="str">
        <f aca="false">INDEX('Analisa Harga Satuan'!$B$5:$B$157,MATCH(C30,'Analisa Harga Satuan'!$A$5:$A$157,0))</f>
        <v>Plafon gypsum rangka kayu</v>
      </c>
      <c r="C30" s="17" t="s">
        <v>66</v>
      </c>
      <c r="D30" s="18" t="str">
        <f aca="false">INDEX('Analisa Harga Satuan'!$C$5:$C$157,MATCH(C30,'Analisa Harga Satuan'!$A$5:$A$157,0))</f>
        <v>m²</v>
      </c>
      <c r="E30" s="19" t="n">
        <v>36</v>
      </c>
      <c r="F30" s="20" t="n">
        <f aca="false">INDEX('Analisa Harga Satuan'!$F$5:$F$157,MATCH(C30,'Analisa Harga Satuan'!$A$5:$A$157,0))</f>
        <v>129944.25</v>
      </c>
      <c r="G30" s="21" t="n">
        <f aca="false">E30*F30</f>
        <v>4677993</v>
      </c>
      <c r="H30" s="22" t="n">
        <f aca="false">IF($G$37=0,0,G30/$G$37)</f>
        <v>0.0427847503984664</v>
      </c>
    </row>
    <row r="31" customFormat="false" ht="15" hidden="false" customHeight="false" outlineLevel="0" collapsed="false">
      <c r="A31" s="23"/>
      <c r="B31" s="24" t="s">
        <v>67</v>
      </c>
      <c r="C31" s="23"/>
      <c r="D31" s="23"/>
      <c r="E31" s="23"/>
      <c r="F31" s="23"/>
      <c r="G31" s="25" t="n">
        <f aca="false">SUM(G29:G30)</f>
        <v>16072308</v>
      </c>
      <c r="H31" s="26" t="n">
        <f aca="false">IF($G$37=0,0,G31/$G$37)</f>
        <v>0.146996732596067</v>
      </c>
    </row>
    <row r="33" customFormat="false" ht="15" hidden="false" customHeight="false" outlineLevel="0" collapsed="false">
      <c r="A33" s="3" t="s">
        <v>68</v>
      </c>
      <c r="B33" s="3" t="s">
        <v>69</v>
      </c>
      <c r="C33" s="14"/>
      <c r="D33" s="14"/>
      <c r="E33" s="14"/>
      <c r="F33" s="14"/>
      <c r="G33" s="14"/>
      <c r="H33" s="14"/>
    </row>
    <row r="34" customFormat="false" ht="15" hidden="false" customHeight="false" outlineLevel="0" collapsed="false">
      <c r="A34" s="15" t="n">
        <v>1</v>
      </c>
      <c r="B34" s="16" t="str">
        <f aca="false">INDEX('Analisa Harga Satuan'!$B$5:$B$157,MATCH(C34,'Analisa Harga Satuan'!$A$5:$A$157,0))</f>
        <v>Pengecatan dinding (plamir + cat 1 lapis)</v>
      </c>
      <c r="C34" s="17" t="s">
        <v>70</v>
      </c>
      <c r="D34" s="18" t="str">
        <f aca="false">INDEX('Analisa Harga Satuan'!$C$5:$C$157,MATCH(C34,'Analisa Harga Satuan'!$A$5:$A$157,0))</f>
        <v>m²</v>
      </c>
      <c r="E34" s="19" t="n">
        <v>190</v>
      </c>
      <c r="F34" s="20" t="n">
        <f aca="false">INDEX('Analisa Harga Satuan'!$F$5:$F$157,MATCH(C34,'Analisa Harga Satuan'!$A$5:$A$157,0))</f>
        <v>31073</v>
      </c>
      <c r="G34" s="21" t="n">
        <f aca="false">E34*F34</f>
        <v>5903870</v>
      </c>
      <c r="H34" s="22" t="n">
        <f aca="false">IF($G$37=0,0,G34/$G$37)</f>
        <v>0.0539965759536181</v>
      </c>
    </row>
    <row r="35" customFormat="false" ht="15" hidden="false" customHeight="false" outlineLevel="0" collapsed="false">
      <c r="A35" s="23"/>
      <c r="B35" s="24" t="s">
        <v>71</v>
      </c>
      <c r="C35" s="23"/>
      <c r="D35" s="23"/>
      <c r="E35" s="23"/>
      <c r="F35" s="23"/>
      <c r="G35" s="25" t="n">
        <f aca="false">SUM(G34:G34)</f>
        <v>5903870</v>
      </c>
      <c r="H35" s="26" t="n">
        <f aca="false">IF($G$37=0,0,G35/$G$37)</f>
        <v>0.0539965759536181</v>
      </c>
    </row>
    <row r="37" customFormat="false" ht="15" hidden="false" customHeight="false" outlineLevel="0" collapsed="false">
      <c r="A37" s="14"/>
      <c r="B37" s="3" t="s">
        <v>72</v>
      </c>
      <c r="C37" s="14"/>
      <c r="D37" s="14"/>
      <c r="E37" s="14"/>
      <c r="F37" s="14"/>
      <c r="G37" s="27" t="n">
        <f aca="false">G10+G17+G22+G26+G31+G35</f>
        <v>109337858.85</v>
      </c>
      <c r="H37" s="14"/>
    </row>
    <row r="38" customFormat="false" ht="15" hidden="false" customHeight="false" outlineLevel="0" collapsed="false">
      <c r="A38" s="14"/>
      <c r="B38" s="3" t="s">
        <v>73</v>
      </c>
      <c r="C38" s="14"/>
      <c r="D38" s="14"/>
      <c r="E38" s="14"/>
      <c r="F38" s="14"/>
      <c r="G38" s="27" t="n">
        <f aca="false">G37*'Informasi Project'!$B$17</f>
        <v>12027164.4735</v>
      </c>
      <c r="H38" s="14"/>
    </row>
    <row r="39" customFormat="false" ht="15" hidden="false" customHeight="false" outlineLevel="0" collapsed="false">
      <c r="A39" s="14"/>
      <c r="B39" s="3" t="s">
        <v>74</v>
      </c>
      <c r="C39" s="14"/>
      <c r="D39" s="14"/>
      <c r="E39" s="14"/>
      <c r="F39" s="14"/>
      <c r="G39" s="27" t="n">
        <f aca="false">G37+G38</f>
        <v>121365023.3235</v>
      </c>
      <c r="H39" s="14"/>
    </row>
    <row r="40" customFormat="false" ht="15" hidden="false" customHeight="false" outlineLevel="0" collapsed="false">
      <c r="A40" s="14"/>
      <c r="B40" s="3" t="s">
        <v>75</v>
      </c>
      <c r="C40" s="14"/>
      <c r="D40" s="14"/>
      <c r="E40" s="14"/>
      <c r="F40" s="14"/>
      <c r="G40" s="27" t="n">
        <f aca="false">IF('Informasi Project'!$B$18&gt;0,CEILING(G39,'Informasi Project'!$B$18),G39)</f>
        <v>121366000</v>
      </c>
      <c r="H40" s="14"/>
    </row>
    <row r="41" customFormat="false" ht="15" hidden="false" customHeight="false" outlineLevel="0" collapsed="false">
      <c r="A41" s="14"/>
      <c r="B41" s="3" t="s">
        <v>76</v>
      </c>
      <c r="C41" s="14"/>
      <c r="D41" s="14"/>
      <c r="E41" s="14"/>
      <c r="F41" s="14"/>
      <c r="G41" s="27" t="n">
        <f aca="false">IF('Informasi Project'!$B$13&gt;0,G40/'Informasi Project'!$B$13,0)</f>
        <v>3371277.77777778</v>
      </c>
      <c r="H41" s="14"/>
    </row>
    <row r="43" customFormat="false" ht="15" hidden="false" customHeight="false" outlineLevel="0" collapsed="false">
      <c r="A43" s="2" t="s">
        <v>77</v>
      </c>
    </row>
    <row r="45" customFormat="false" ht="15" hidden="false" customHeight="false" outlineLevel="0" collapsed="false">
      <c r="B45" s="12" t="s">
        <v>78</v>
      </c>
      <c r="G45" s="12" t="s">
        <v>79</v>
      </c>
    </row>
    <row r="49" customFormat="false" ht="15" hidden="false" customHeight="false" outlineLevel="0" collapsed="false">
      <c r="B49" s="12" t="s">
        <v>80</v>
      </c>
      <c r="G49" s="12" t="s">
        <v>80</v>
      </c>
    </row>
    <row r="50" customFormat="false" ht="15" hidden="false" customHeight="false" outlineLevel="0" collapsed="false">
      <c r="B50" s="12" t="s">
        <v>8</v>
      </c>
      <c r="G50" s="12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1"/>
  </cols>
  <sheetData>
    <row r="1" customFormat="false" ht="15" hidden="false" customHeight="false" outlineLevel="0" collapsed="false">
      <c r="A1" s="28" t="s">
        <v>82</v>
      </c>
    </row>
    <row r="2" customFormat="false" ht="15" hidden="false" customHeight="false" outlineLevel="0" collapsed="false">
      <c r="A2" s="2" t="s">
        <v>83</v>
      </c>
    </row>
    <row r="4" customFormat="false" ht="15" hidden="false" customHeight="false" outlineLevel="0" collapsed="false">
      <c r="A4" s="13" t="s">
        <v>84</v>
      </c>
      <c r="B4" s="13" t="s">
        <v>85</v>
      </c>
      <c r="C4" s="13" t="s">
        <v>36</v>
      </c>
      <c r="D4" s="13" t="s">
        <v>86</v>
      </c>
      <c r="E4" s="13" t="s">
        <v>38</v>
      </c>
      <c r="F4" s="13" t="s">
        <v>39</v>
      </c>
      <c r="G4" s="13" t="s">
        <v>87</v>
      </c>
    </row>
    <row r="5" customFormat="false" ht="15" hidden="false" customHeight="false" outlineLevel="0" collapsed="false">
      <c r="A5" s="3" t="s">
        <v>43</v>
      </c>
      <c r="B5" s="3" t="s">
        <v>88</v>
      </c>
      <c r="C5" s="3" t="s">
        <v>89</v>
      </c>
      <c r="D5" s="3"/>
      <c r="E5" s="29" t="s">
        <v>90</v>
      </c>
      <c r="F5" s="27" t="n">
        <f aca="false">F11</f>
        <v>8021.25</v>
      </c>
      <c r="G5" s="3"/>
    </row>
    <row r="6" customFormat="false" ht="15" hidden="false" customHeight="false" outlineLevel="0" collapsed="false">
      <c r="A6" s="30" t="s">
        <v>91</v>
      </c>
      <c r="B6" s="16" t="str">
        <f aca="false">IF(LEFT($A6,1)="B",INDEX('Harga Bahan'!$B$5:$B$200,MATCH($A6,'Harga Bahan'!$A$5:$A$200,0)),INDEX('Harga Upah'!$B$5:$B$200,MATCH($A6,'Harga Upah'!$A$5:$A$200,0)))</f>
        <v>Pekerja</v>
      </c>
      <c r="C6" s="18" t="str">
        <f aca="false">IF(LEFT($A6,1)="B",INDEX('Harga Bahan'!$C$5:$C$200,MATCH($A6,'Harga Bahan'!$A$5:$A$200,0)),INDEX('Harga Upah'!$C$5:$C$200,MATCH($A6,'Harga Upah'!$A$5:$A$200,0)))</f>
        <v>OH</v>
      </c>
      <c r="D6" s="31" t="n">
        <v>0.05</v>
      </c>
      <c r="E6" s="20" t="n">
        <f aca="false">IF(LEFT($A6,1)="B",INDEX('Harga Bahan'!$D$5:$D$200,MATCH($A6,'Harga Bahan'!$A$5:$A$200,0)),INDEX('Harga Upah'!$D$5:$D$200,MATCH($A6,'Harga Upah'!$A$5:$A$200,0)))</f>
        <v>130000</v>
      </c>
      <c r="F6" s="21" t="n">
        <f aca="false">D6*E6</f>
        <v>6500</v>
      </c>
      <c r="G6" s="15" t="s">
        <v>92</v>
      </c>
    </row>
    <row r="7" customFormat="false" ht="15" hidden="false" customHeight="false" outlineLevel="0" collapsed="false">
      <c r="A7" s="30" t="s">
        <v>93</v>
      </c>
      <c r="B7" s="16" t="str">
        <f aca="false">IF(LEFT($A7,1)="B",INDEX('Harga Bahan'!$B$5:$B$200,MATCH($A7,'Harga Bahan'!$A$5:$A$200,0)),INDEX('Harga Upah'!$B$5:$B$200,MATCH($A7,'Harga Upah'!$A$5:$A$200,0)))</f>
        <v>Mandor</v>
      </c>
      <c r="C7" s="18" t="str">
        <f aca="false">IF(LEFT($A7,1)="B",INDEX('Harga Bahan'!$C$5:$C$200,MATCH($A7,'Harga Bahan'!$A$5:$A$200,0)),INDEX('Harga Upah'!$C$5:$C$200,MATCH($A7,'Harga Upah'!$A$5:$A$200,0)))</f>
        <v>OH</v>
      </c>
      <c r="D7" s="31" t="n">
        <v>0.0025</v>
      </c>
      <c r="E7" s="20" t="n">
        <f aca="false">IF(LEFT($A7,1)="B",INDEX('Harga Bahan'!$D$5:$D$200,MATCH($A7,'Harga Bahan'!$A$5:$A$200,0)),INDEX('Harga Upah'!$D$5:$D$200,MATCH($A7,'Harga Upah'!$A$5:$A$200,0)))</f>
        <v>190000</v>
      </c>
      <c r="F7" s="21" t="n">
        <f aca="false">D7*E7</f>
        <v>475</v>
      </c>
      <c r="G7" s="15" t="s">
        <v>92</v>
      </c>
    </row>
    <row r="8" customFormat="false" ht="15" hidden="false" customHeight="false" outlineLevel="0" collapsed="false">
      <c r="A8" s="23"/>
      <c r="B8" s="23" t="s">
        <v>94</v>
      </c>
      <c r="C8" s="23"/>
      <c r="D8" s="23"/>
      <c r="E8" s="23"/>
      <c r="F8" s="32" t="n">
        <f aca="false">SUMIF(G6:G7,"Bahan",F6:F7)</f>
        <v>0</v>
      </c>
      <c r="G8" s="23"/>
    </row>
    <row r="9" customFormat="false" ht="15" hidden="false" customHeight="false" outlineLevel="0" collapsed="false">
      <c r="A9" s="23"/>
      <c r="B9" s="23" t="s">
        <v>95</v>
      </c>
      <c r="C9" s="23"/>
      <c r="D9" s="23"/>
      <c r="E9" s="23"/>
      <c r="F9" s="32" t="n">
        <f aca="false">SUMIF(G6:G7,"Upah",F6:F7)</f>
        <v>6975</v>
      </c>
      <c r="G9" s="23"/>
    </row>
    <row r="10" customFormat="false" ht="15" hidden="false" customHeight="false" outlineLevel="0" collapsed="false">
      <c r="A10" s="23"/>
      <c r="B10" s="23" t="str">
        <f aca="false">"Overhead &amp; profit ("&amp;TEXT('Informasi Project'!$B$16,"0.0%")&amp;")"</f>
        <v>Overhead &amp; profit (15.0%)</v>
      </c>
      <c r="C10" s="23"/>
      <c r="D10" s="23"/>
      <c r="E10" s="23"/>
      <c r="F10" s="32" t="n">
        <f aca="false">(F8+F9)*'Informasi Project'!$B$16</f>
        <v>1046.25</v>
      </c>
      <c r="G10" s="23"/>
    </row>
    <row r="11" customFormat="false" ht="15" hidden="false" customHeight="false" outlineLevel="0" collapsed="false">
      <c r="A11" s="14"/>
      <c r="B11" s="3" t="s">
        <v>96</v>
      </c>
      <c r="C11" s="14"/>
      <c r="D11" s="14"/>
      <c r="E11" s="14"/>
      <c r="F11" s="27" t="n">
        <f aca="false">F8+F9+F10</f>
        <v>8021.25</v>
      </c>
      <c r="G11" s="14"/>
    </row>
    <row r="13" customFormat="false" ht="15" hidden="false" customHeight="false" outlineLevel="0" collapsed="false">
      <c r="A13" s="3" t="s">
        <v>44</v>
      </c>
      <c r="B13" s="3" t="s">
        <v>97</v>
      </c>
      <c r="C13" s="3" t="s">
        <v>98</v>
      </c>
      <c r="D13" s="3"/>
      <c r="E13" s="29" t="s">
        <v>90</v>
      </c>
      <c r="F13" s="27" t="n">
        <f aca="false">F19</f>
        <v>117587.5</v>
      </c>
      <c r="G13" s="3"/>
    </row>
    <row r="14" customFormat="false" ht="15" hidden="false" customHeight="false" outlineLevel="0" collapsed="false">
      <c r="A14" s="30" t="s">
        <v>91</v>
      </c>
      <c r="B14" s="16" t="str">
        <f aca="false">IF(LEFT($A14,1)="B",INDEX('Harga Bahan'!$B$5:$B$200,MATCH($A14,'Harga Bahan'!$A$5:$A$200,0)),INDEX('Harga Upah'!$B$5:$B$200,MATCH($A14,'Harga Upah'!$A$5:$A$200,0)))</f>
        <v>Pekerja</v>
      </c>
      <c r="C14" s="18" t="str">
        <f aca="false">IF(LEFT($A14,1)="B",INDEX('Harga Bahan'!$C$5:$C$200,MATCH($A14,'Harga Bahan'!$A$5:$A$200,0)),INDEX('Harga Upah'!$C$5:$C$200,MATCH($A14,'Harga Upah'!$A$5:$A$200,0)))</f>
        <v>OH</v>
      </c>
      <c r="D14" s="31" t="n">
        <v>0.75</v>
      </c>
      <c r="E14" s="20" t="n">
        <f aca="false">IF(LEFT($A14,1)="B",INDEX('Harga Bahan'!$D$5:$D$200,MATCH($A14,'Harga Bahan'!$A$5:$A$200,0)),INDEX('Harga Upah'!$D$5:$D$200,MATCH($A14,'Harga Upah'!$A$5:$A$200,0)))</f>
        <v>130000</v>
      </c>
      <c r="F14" s="21" t="n">
        <f aca="false">D14*E14</f>
        <v>97500</v>
      </c>
      <c r="G14" s="15" t="s">
        <v>92</v>
      </c>
    </row>
    <row r="15" customFormat="false" ht="15" hidden="false" customHeight="false" outlineLevel="0" collapsed="false">
      <c r="A15" s="30" t="s">
        <v>93</v>
      </c>
      <c r="B15" s="16" t="str">
        <f aca="false">IF(LEFT($A15,1)="B",INDEX('Harga Bahan'!$B$5:$B$200,MATCH($A15,'Harga Bahan'!$A$5:$A$200,0)),INDEX('Harga Upah'!$B$5:$B$200,MATCH($A15,'Harga Upah'!$A$5:$A$200,0)))</f>
        <v>Mandor</v>
      </c>
      <c r="C15" s="18" t="str">
        <f aca="false">IF(LEFT($A15,1)="B",INDEX('Harga Bahan'!$C$5:$C$200,MATCH($A15,'Harga Bahan'!$A$5:$A$200,0)),INDEX('Harga Upah'!$C$5:$C$200,MATCH($A15,'Harga Upah'!$A$5:$A$200,0)))</f>
        <v>OH</v>
      </c>
      <c r="D15" s="31" t="n">
        <v>0.025</v>
      </c>
      <c r="E15" s="20" t="n">
        <f aca="false">IF(LEFT($A15,1)="B",INDEX('Harga Bahan'!$D$5:$D$200,MATCH($A15,'Harga Bahan'!$A$5:$A$200,0)),INDEX('Harga Upah'!$D$5:$D$200,MATCH($A15,'Harga Upah'!$A$5:$A$200,0)))</f>
        <v>190000</v>
      </c>
      <c r="F15" s="21" t="n">
        <f aca="false">D15*E15</f>
        <v>4750</v>
      </c>
      <c r="G15" s="15" t="s">
        <v>92</v>
      </c>
    </row>
    <row r="16" customFormat="false" ht="15" hidden="false" customHeight="false" outlineLevel="0" collapsed="false">
      <c r="A16" s="23"/>
      <c r="B16" s="23" t="s">
        <v>94</v>
      </c>
      <c r="C16" s="23"/>
      <c r="D16" s="23"/>
      <c r="E16" s="23"/>
      <c r="F16" s="32" t="n">
        <f aca="false">SUMIF(G14:G15,"Bahan",F14:F15)</f>
        <v>0</v>
      </c>
      <c r="G16" s="23"/>
    </row>
    <row r="17" customFormat="false" ht="15" hidden="false" customHeight="false" outlineLevel="0" collapsed="false">
      <c r="A17" s="23"/>
      <c r="B17" s="23" t="s">
        <v>95</v>
      </c>
      <c r="C17" s="23"/>
      <c r="D17" s="23"/>
      <c r="E17" s="23"/>
      <c r="F17" s="32" t="n">
        <f aca="false">SUMIF(G14:G15,"Upah",F14:F15)</f>
        <v>102250</v>
      </c>
      <c r="G17" s="23"/>
    </row>
    <row r="18" customFormat="false" ht="15" hidden="false" customHeight="false" outlineLevel="0" collapsed="false">
      <c r="A18" s="23"/>
      <c r="B18" s="23" t="str">
        <f aca="false">"Overhead &amp; profit ("&amp;TEXT('Informasi Project'!$B$16,"0.0%")&amp;")"</f>
        <v>Overhead &amp; profit (15.0%)</v>
      </c>
      <c r="C18" s="23"/>
      <c r="D18" s="23"/>
      <c r="E18" s="23"/>
      <c r="F18" s="32" t="n">
        <f aca="false">(F16+F17)*'Informasi Project'!$B$16</f>
        <v>15337.5</v>
      </c>
      <c r="G18" s="23"/>
    </row>
    <row r="19" customFormat="false" ht="15" hidden="false" customHeight="false" outlineLevel="0" collapsed="false">
      <c r="A19" s="14"/>
      <c r="B19" s="3" t="s">
        <v>96</v>
      </c>
      <c r="C19" s="14"/>
      <c r="D19" s="14"/>
      <c r="E19" s="14"/>
      <c r="F19" s="27" t="n">
        <f aca="false">F16+F17+F18</f>
        <v>117587.5</v>
      </c>
      <c r="G19" s="14"/>
    </row>
    <row r="21" customFormat="false" ht="15" hidden="false" customHeight="false" outlineLevel="0" collapsed="false">
      <c r="A21" s="3" t="s">
        <v>45</v>
      </c>
      <c r="B21" s="3" t="s">
        <v>99</v>
      </c>
      <c r="C21" s="3" t="s">
        <v>98</v>
      </c>
      <c r="D21" s="3"/>
      <c r="E21" s="29" t="s">
        <v>90</v>
      </c>
      <c r="F21" s="27" t="n">
        <f aca="false">F28</f>
        <v>405835</v>
      </c>
      <c r="G21" s="3"/>
    </row>
    <row r="22" customFormat="false" ht="15" hidden="false" customHeight="false" outlineLevel="0" collapsed="false">
      <c r="A22" s="30" t="s">
        <v>100</v>
      </c>
      <c r="B22" s="16" t="str">
        <f aca="false">IF(LEFT($A22,1)="B",INDEX('Harga Bahan'!$B$5:$B$200,MATCH($A22,'Harga Bahan'!$A$5:$A$200,0)),INDEX('Harga Upah'!$B$5:$B$200,MATCH($A22,'Harga Upah'!$A$5:$A$200,0)))</f>
        <v>Pasir pasang</v>
      </c>
      <c r="C22" s="18" t="str">
        <f aca="false">IF(LEFT($A22,1)="B",INDEX('Harga Bahan'!$C$5:$C$200,MATCH($A22,'Harga Bahan'!$A$5:$A$200,0)),INDEX('Harga Upah'!$C$5:$C$200,MATCH($A22,'Harga Upah'!$A$5:$A$200,0)))</f>
        <v>m³</v>
      </c>
      <c r="D22" s="31" t="n">
        <v>1.2</v>
      </c>
      <c r="E22" s="20" t="n">
        <f aca="false">IF(LEFT($A22,1)="B",INDEX('Harga Bahan'!$D$5:$D$200,MATCH($A22,'Harga Bahan'!$A$5:$A$200,0)),INDEX('Harga Upah'!$D$5:$D$200,MATCH($A22,'Harga Upah'!$A$5:$A$200,0)))</f>
        <v>260000</v>
      </c>
      <c r="F22" s="21" t="n">
        <f aca="false">D22*E22</f>
        <v>312000</v>
      </c>
      <c r="G22" s="15" t="s">
        <v>101</v>
      </c>
    </row>
    <row r="23" customFormat="false" ht="15" hidden="false" customHeight="false" outlineLevel="0" collapsed="false">
      <c r="A23" s="30" t="s">
        <v>91</v>
      </c>
      <c r="B23" s="16" t="str">
        <f aca="false">IF(LEFT($A23,1)="B",INDEX('Harga Bahan'!$B$5:$B$200,MATCH($A23,'Harga Bahan'!$A$5:$A$200,0)),INDEX('Harga Upah'!$B$5:$B$200,MATCH($A23,'Harga Upah'!$A$5:$A$200,0)))</f>
        <v>Pekerja</v>
      </c>
      <c r="C23" s="18" t="str">
        <f aca="false">IF(LEFT($A23,1)="B",INDEX('Harga Bahan'!$C$5:$C$200,MATCH($A23,'Harga Bahan'!$A$5:$A$200,0)),INDEX('Harga Upah'!$C$5:$C$200,MATCH($A23,'Harga Upah'!$A$5:$A$200,0)))</f>
        <v>OH</v>
      </c>
      <c r="D23" s="31" t="n">
        <v>0.3</v>
      </c>
      <c r="E23" s="20" t="n">
        <f aca="false">IF(LEFT($A23,1)="B",INDEX('Harga Bahan'!$D$5:$D$200,MATCH($A23,'Harga Bahan'!$A$5:$A$200,0)),INDEX('Harga Upah'!$D$5:$D$200,MATCH($A23,'Harga Upah'!$A$5:$A$200,0)))</f>
        <v>130000</v>
      </c>
      <c r="F23" s="21" t="n">
        <f aca="false">D23*E23</f>
        <v>39000</v>
      </c>
      <c r="G23" s="15" t="s">
        <v>92</v>
      </c>
    </row>
    <row r="24" customFormat="false" ht="15" hidden="false" customHeight="false" outlineLevel="0" collapsed="false">
      <c r="A24" s="30" t="s">
        <v>93</v>
      </c>
      <c r="B24" s="16" t="str">
        <f aca="false">IF(LEFT($A24,1)="B",INDEX('Harga Bahan'!$B$5:$B$200,MATCH($A24,'Harga Bahan'!$A$5:$A$200,0)),INDEX('Harga Upah'!$B$5:$B$200,MATCH($A24,'Harga Upah'!$A$5:$A$200,0)))</f>
        <v>Mandor</v>
      </c>
      <c r="C24" s="18" t="str">
        <f aca="false">IF(LEFT($A24,1)="B",INDEX('Harga Bahan'!$C$5:$C$200,MATCH($A24,'Harga Bahan'!$A$5:$A$200,0)),INDEX('Harga Upah'!$C$5:$C$200,MATCH($A24,'Harga Upah'!$A$5:$A$200,0)))</f>
        <v>OH</v>
      </c>
      <c r="D24" s="31" t="n">
        <v>0.01</v>
      </c>
      <c r="E24" s="20" t="n">
        <f aca="false">IF(LEFT($A24,1)="B",INDEX('Harga Bahan'!$D$5:$D$200,MATCH($A24,'Harga Bahan'!$A$5:$A$200,0)),INDEX('Harga Upah'!$D$5:$D$200,MATCH($A24,'Harga Upah'!$A$5:$A$200,0)))</f>
        <v>190000</v>
      </c>
      <c r="F24" s="21" t="n">
        <f aca="false">D24*E24</f>
        <v>1900</v>
      </c>
      <c r="G24" s="15" t="s">
        <v>92</v>
      </c>
    </row>
    <row r="25" customFormat="false" ht="15" hidden="false" customHeight="false" outlineLevel="0" collapsed="false">
      <c r="A25" s="23"/>
      <c r="B25" s="23" t="s">
        <v>94</v>
      </c>
      <c r="C25" s="23"/>
      <c r="D25" s="23"/>
      <c r="E25" s="23"/>
      <c r="F25" s="32" t="n">
        <f aca="false">SUMIF(G22:G24,"Bahan",F22:F24)</f>
        <v>312000</v>
      </c>
      <c r="G25" s="23"/>
    </row>
    <row r="26" customFormat="false" ht="15" hidden="false" customHeight="false" outlineLevel="0" collapsed="false">
      <c r="A26" s="23"/>
      <c r="B26" s="23" t="s">
        <v>95</v>
      </c>
      <c r="C26" s="23"/>
      <c r="D26" s="23"/>
      <c r="E26" s="23"/>
      <c r="F26" s="32" t="n">
        <f aca="false">SUMIF(G22:G24,"Upah",F22:F24)</f>
        <v>40900</v>
      </c>
      <c r="G26" s="23"/>
    </row>
    <row r="27" customFormat="false" ht="15" hidden="false" customHeight="false" outlineLevel="0" collapsed="false">
      <c r="A27" s="23"/>
      <c r="B27" s="23" t="str">
        <f aca="false">"Overhead &amp; profit ("&amp;TEXT('Informasi Project'!$B$16,"0.0%")&amp;")"</f>
        <v>Overhead &amp; profit (15.0%)</v>
      </c>
      <c r="C27" s="23"/>
      <c r="D27" s="23"/>
      <c r="E27" s="23"/>
      <c r="F27" s="32" t="n">
        <f aca="false">(F25+F26)*'Informasi Project'!$B$16</f>
        <v>52935</v>
      </c>
      <c r="G27" s="23"/>
    </row>
    <row r="28" customFormat="false" ht="15" hidden="false" customHeight="false" outlineLevel="0" collapsed="false">
      <c r="A28" s="14"/>
      <c r="B28" s="3" t="s">
        <v>96</v>
      </c>
      <c r="C28" s="14"/>
      <c r="D28" s="14"/>
      <c r="E28" s="14"/>
      <c r="F28" s="27" t="n">
        <f aca="false">F25+F26+F27</f>
        <v>405835</v>
      </c>
      <c r="G28" s="14"/>
    </row>
    <row r="30" customFormat="false" ht="15" hidden="false" customHeight="false" outlineLevel="0" collapsed="false">
      <c r="A30" s="3" t="s">
        <v>49</v>
      </c>
      <c r="B30" s="3" t="s">
        <v>102</v>
      </c>
      <c r="C30" s="3" t="s">
        <v>98</v>
      </c>
      <c r="D30" s="3"/>
      <c r="E30" s="29" t="s">
        <v>90</v>
      </c>
      <c r="F30" s="27" t="n">
        <f aca="false">F41</f>
        <v>1207413.75</v>
      </c>
      <c r="G30" s="3"/>
    </row>
    <row r="31" customFormat="false" ht="15" hidden="false" customHeight="false" outlineLevel="0" collapsed="false">
      <c r="A31" s="30" t="s">
        <v>103</v>
      </c>
      <c r="B31" s="16" t="str">
        <f aca="false">IF(LEFT($A31,1)="B",INDEX('Harga Bahan'!$B$5:$B$200,MATCH($A31,'Harga Bahan'!$A$5:$A$200,0)),INDEX('Harga Upah'!$B$5:$B$200,MATCH($A31,'Harga Upah'!$A$5:$A$200,0)))</f>
        <v>Batu kali belah</v>
      </c>
      <c r="C31" s="18" t="str">
        <f aca="false">IF(LEFT($A31,1)="B",INDEX('Harga Bahan'!$C$5:$C$200,MATCH($A31,'Harga Bahan'!$A$5:$A$200,0)),INDEX('Harga Upah'!$C$5:$C$200,MATCH($A31,'Harga Upah'!$A$5:$A$200,0)))</f>
        <v>m³</v>
      </c>
      <c r="D31" s="31" t="n">
        <v>1.2</v>
      </c>
      <c r="E31" s="20" t="n">
        <f aca="false">IF(LEFT($A31,1)="B",INDEX('Harga Bahan'!$D$5:$D$200,MATCH($A31,'Harga Bahan'!$A$5:$A$200,0)),INDEX('Harga Upah'!$D$5:$D$200,MATCH($A31,'Harga Upah'!$A$5:$A$200,0)))</f>
        <v>280000</v>
      </c>
      <c r="F31" s="21" t="n">
        <f aca="false">D31*E31</f>
        <v>336000</v>
      </c>
      <c r="G31" s="15" t="s">
        <v>101</v>
      </c>
    </row>
    <row r="32" customFormat="false" ht="15" hidden="false" customHeight="false" outlineLevel="0" collapsed="false">
      <c r="A32" s="30" t="s">
        <v>104</v>
      </c>
      <c r="B32" s="16" t="str">
        <f aca="false">IF(LEFT($A32,1)="B",INDEX('Harga Bahan'!$B$5:$B$200,MATCH($A32,'Harga Bahan'!$A$5:$A$200,0)),INDEX('Harga Upah'!$B$5:$B$200,MATCH($A32,'Harga Upah'!$A$5:$A$200,0)))</f>
        <v>Semen Portland (PC)</v>
      </c>
      <c r="C32" s="18" t="str">
        <f aca="false">IF(LEFT($A32,1)="B",INDEX('Harga Bahan'!$C$5:$C$200,MATCH($A32,'Harga Bahan'!$A$5:$A$200,0)),INDEX('Harga Upah'!$C$5:$C$200,MATCH($A32,'Harga Upah'!$A$5:$A$200,0)))</f>
        <v>kg</v>
      </c>
      <c r="D32" s="31" t="n">
        <v>163</v>
      </c>
      <c r="E32" s="20" t="n">
        <f aca="false">IF(LEFT($A32,1)="B",INDEX('Harga Bahan'!$D$5:$D$200,MATCH($A32,'Harga Bahan'!$A$5:$A$200,0)),INDEX('Harga Upah'!$D$5:$D$200,MATCH($A32,'Harga Upah'!$A$5:$A$200,0)))</f>
        <v>1450</v>
      </c>
      <c r="F32" s="21" t="n">
        <f aca="false">D32*E32</f>
        <v>236350</v>
      </c>
      <c r="G32" s="15" t="s">
        <v>101</v>
      </c>
    </row>
    <row r="33" customFormat="false" ht="15" hidden="false" customHeight="false" outlineLevel="0" collapsed="false">
      <c r="A33" s="30" t="s">
        <v>100</v>
      </c>
      <c r="B33" s="16" t="str">
        <f aca="false">IF(LEFT($A33,1)="B",INDEX('Harga Bahan'!$B$5:$B$200,MATCH($A33,'Harga Bahan'!$A$5:$A$200,0)),INDEX('Harga Upah'!$B$5:$B$200,MATCH($A33,'Harga Upah'!$A$5:$A$200,0)))</f>
        <v>Pasir pasang</v>
      </c>
      <c r="C33" s="18" t="str">
        <f aca="false">IF(LEFT($A33,1)="B",INDEX('Harga Bahan'!$C$5:$C$200,MATCH($A33,'Harga Bahan'!$A$5:$A$200,0)),INDEX('Harga Upah'!$C$5:$C$200,MATCH($A33,'Harga Upah'!$A$5:$A$200,0)))</f>
        <v>m³</v>
      </c>
      <c r="D33" s="31" t="n">
        <v>0.52</v>
      </c>
      <c r="E33" s="20" t="n">
        <f aca="false">IF(LEFT($A33,1)="B",INDEX('Harga Bahan'!$D$5:$D$200,MATCH($A33,'Harga Bahan'!$A$5:$A$200,0)),INDEX('Harga Upah'!$D$5:$D$200,MATCH($A33,'Harga Upah'!$A$5:$A$200,0)))</f>
        <v>260000</v>
      </c>
      <c r="F33" s="21" t="n">
        <f aca="false">D33*E33</f>
        <v>135200</v>
      </c>
      <c r="G33" s="15" t="s">
        <v>101</v>
      </c>
    </row>
    <row r="34" customFormat="false" ht="15" hidden="false" customHeight="false" outlineLevel="0" collapsed="false">
      <c r="A34" s="30" t="s">
        <v>91</v>
      </c>
      <c r="B34" s="16" t="str">
        <f aca="false">IF(LEFT($A34,1)="B",INDEX('Harga Bahan'!$B$5:$B$200,MATCH($A34,'Harga Bahan'!$A$5:$A$200,0)),INDEX('Harga Upah'!$B$5:$B$200,MATCH($A34,'Harga Upah'!$A$5:$A$200,0)))</f>
        <v>Pekerja</v>
      </c>
      <c r="C34" s="18" t="str">
        <f aca="false">IF(LEFT($A34,1)="B",INDEX('Harga Bahan'!$C$5:$C$200,MATCH($A34,'Harga Bahan'!$A$5:$A$200,0)),INDEX('Harga Upah'!$C$5:$C$200,MATCH($A34,'Harga Upah'!$A$5:$A$200,0)))</f>
        <v>OH</v>
      </c>
      <c r="D34" s="31" t="n">
        <v>1.5</v>
      </c>
      <c r="E34" s="20" t="n">
        <f aca="false">IF(LEFT($A34,1)="B",INDEX('Harga Bahan'!$D$5:$D$200,MATCH($A34,'Harga Bahan'!$A$5:$A$200,0)),INDEX('Harga Upah'!$D$5:$D$200,MATCH($A34,'Harga Upah'!$A$5:$A$200,0)))</f>
        <v>130000</v>
      </c>
      <c r="F34" s="21" t="n">
        <f aca="false">D34*E34</f>
        <v>195000</v>
      </c>
      <c r="G34" s="15" t="s">
        <v>92</v>
      </c>
    </row>
    <row r="35" customFormat="false" ht="15" hidden="false" customHeight="false" outlineLevel="0" collapsed="false">
      <c r="A35" s="30" t="s">
        <v>105</v>
      </c>
      <c r="B35" s="16" t="str">
        <f aca="false">IF(LEFT($A35,1)="B",INDEX('Harga Bahan'!$B$5:$B$200,MATCH($A35,'Harga Bahan'!$A$5:$A$200,0)),INDEX('Harga Upah'!$B$5:$B$200,MATCH($A35,'Harga Upah'!$A$5:$A$200,0)))</f>
        <v>Tukang batu</v>
      </c>
      <c r="C35" s="18" t="str">
        <f aca="false">IF(LEFT($A35,1)="B",INDEX('Harga Bahan'!$C$5:$C$200,MATCH($A35,'Harga Bahan'!$A$5:$A$200,0)),INDEX('Harga Upah'!$C$5:$C$200,MATCH($A35,'Harga Upah'!$A$5:$A$200,0)))</f>
        <v>OH</v>
      </c>
      <c r="D35" s="31" t="n">
        <v>0.75</v>
      </c>
      <c r="E35" s="20" t="n">
        <f aca="false">IF(LEFT($A35,1)="B",INDEX('Harga Bahan'!$D$5:$D$200,MATCH($A35,'Harga Bahan'!$A$5:$A$200,0)),INDEX('Harga Upah'!$D$5:$D$200,MATCH($A35,'Harga Upah'!$A$5:$A$200,0)))</f>
        <v>160000</v>
      </c>
      <c r="F35" s="21" t="n">
        <f aca="false">D35*E35</f>
        <v>120000</v>
      </c>
      <c r="G35" s="15" t="s">
        <v>92</v>
      </c>
    </row>
    <row r="36" customFormat="false" ht="15" hidden="false" customHeight="false" outlineLevel="0" collapsed="false">
      <c r="A36" s="30" t="s">
        <v>106</v>
      </c>
      <c r="B36" s="16" t="str">
        <f aca="false">IF(LEFT($A36,1)="B",INDEX('Harga Bahan'!$B$5:$B$200,MATCH($A36,'Harga Bahan'!$A$5:$A$200,0)),INDEX('Harga Upah'!$B$5:$B$200,MATCH($A36,'Harga Upah'!$A$5:$A$200,0)))</f>
        <v>Kepala tukang</v>
      </c>
      <c r="C36" s="18" t="str">
        <f aca="false">IF(LEFT($A36,1)="B",INDEX('Harga Bahan'!$C$5:$C$200,MATCH($A36,'Harga Bahan'!$A$5:$A$200,0)),INDEX('Harga Upah'!$C$5:$C$200,MATCH($A36,'Harga Upah'!$A$5:$A$200,0)))</f>
        <v>OH</v>
      </c>
      <c r="D36" s="31" t="n">
        <v>0.075</v>
      </c>
      <c r="E36" s="20" t="n">
        <f aca="false">IF(LEFT($A36,1)="B",INDEX('Harga Bahan'!$D$5:$D$200,MATCH($A36,'Harga Bahan'!$A$5:$A$200,0)),INDEX('Harga Upah'!$D$5:$D$200,MATCH($A36,'Harga Upah'!$A$5:$A$200,0)))</f>
        <v>175000</v>
      </c>
      <c r="F36" s="21" t="n">
        <f aca="false">D36*E36</f>
        <v>13125</v>
      </c>
      <c r="G36" s="15" t="s">
        <v>92</v>
      </c>
    </row>
    <row r="37" customFormat="false" ht="15" hidden="false" customHeight="false" outlineLevel="0" collapsed="false">
      <c r="A37" s="30" t="s">
        <v>93</v>
      </c>
      <c r="B37" s="16" t="str">
        <f aca="false">IF(LEFT($A37,1)="B",INDEX('Harga Bahan'!$B$5:$B$200,MATCH($A37,'Harga Bahan'!$A$5:$A$200,0)),INDEX('Harga Upah'!$B$5:$B$200,MATCH($A37,'Harga Upah'!$A$5:$A$200,0)))</f>
        <v>Mandor</v>
      </c>
      <c r="C37" s="18" t="str">
        <f aca="false">IF(LEFT($A37,1)="B",INDEX('Harga Bahan'!$C$5:$C$200,MATCH($A37,'Harga Bahan'!$A$5:$A$200,0)),INDEX('Harga Upah'!$C$5:$C$200,MATCH($A37,'Harga Upah'!$A$5:$A$200,0)))</f>
        <v>OH</v>
      </c>
      <c r="D37" s="31" t="n">
        <v>0.075</v>
      </c>
      <c r="E37" s="20" t="n">
        <f aca="false">IF(LEFT($A37,1)="B",INDEX('Harga Bahan'!$D$5:$D$200,MATCH($A37,'Harga Bahan'!$A$5:$A$200,0)),INDEX('Harga Upah'!$D$5:$D$200,MATCH($A37,'Harga Upah'!$A$5:$A$200,0)))</f>
        <v>190000</v>
      </c>
      <c r="F37" s="21" t="n">
        <f aca="false">D37*E37</f>
        <v>14250</v>
      </c>
      <c r="G37" s="15" t="s">
        <v>92</v>
      </c>
    </row>
    <row r="38" customFormat="false" ht="15" hidden="false" customHeight="false" outlineLevel="0" collapsed="false">
      <c r="A38" s="23"/>
      <c r="B38" s="23" t="s">
        <v>94</v>
      </c>
      <c r="C38" s="23"/>
      <c r="D38" s="23"/>
      <c r="E38" s="23"/>
      <c r="F38" s="32" t="n">
        <f aca="false">SUMIF(G31:G37,"Bahan",F31:F37)</f>
        <v>707550</v>
      </c>
      <c r="G38" s="23"/>
    </row>
    <row r="39" customFormat="false" ht="15" hidden="false" customHeight="false" outlineLevel="0" collapsed="false">
      <c r="A39" s="23"/>
      <c r="B39" s="23" t="s">
        <v>95</v>
      </c>
      <c r="C39" s="23"/>
      <c r="D39" s="23"/>
      <c r="E39" s="23"/>
      <c r="F39" s="32" t="n">
        <f aca="false">SUMIF(G31:G37,"Upah",F31:F37)</f>
        <v>342375</v>
      </c>
      <c r="G39" s="23"/>
    </row>
    <row r="40" customFormat="false" ht="15" hidden="false" customHeight="false" outlineLevel="0" collapsed="false">
      <c r="A40" s="23"/>
      <c r="B40" s="23" t="str">
        <f aca="false">"Overhead &amp; profit ("&amp;TEXT('Informasi Project'!$B$16,"0.0%")&amp;")"</f>
        <v>Overhead &amp; profit (15.0%)</v>
      </c>
      <c r="C40" s="23"/>
      <c r="D40" s="23"/>
      <c r="E40" s="23"/>
      <c r="F40" s="32" t="n">
        <f aca="false">(F38+F39)*'Informasi Project'!$B$16</f>
        <v>157488.75</v>
      </c>
      <c r="G40" s="23"/>
    </row>
    <row r="41" customFormat="false" ht="15" hidden="false" customHeight="false" outlineLevel="0" collapsed="false">
      <c r="A41" s="14"/>
      <c r="B41" s="3" t="s">
        <v>96</v>
      </c>
      <c r="C41" s="14"/>
      <c r="D41" s="14"/>
      <c r="E41" s="14"/>
      <c r="F41" s="27" t="n">
        <f aca="false">F38+F39+F40</f>
        <v>1207413.75</v>
      </c>
      <c r="G41" s="14"/>
    </row>
    <row r="43" customFormat="false" ht="15" hidden="false" customHeight="false" outlineLevel="0" collapsed="false">
      <c r="A43" s="3" t="s">
        <v>50</v>
      </c>
      <c r="B43" s="3" t="s">
        <v>107</v>
      </c>
      <c r="C43" s="3" t="s">
        <v>98</v>
      </c>
      <c r="D43" s="3"/>
      <c r="E43" s="29" t="s">
        <v>90</v>
      </c>
      <c r="F43" s="27" t="n">
        <f aca="false">F55</f>
        <v>1364383</v>
      </c>
      <c r="G43" s="3"/>
    </row>
    <row r="44" customFormat="false" ht="15" hidden="false" customHeight="false" outlineLevel="0" collapsed="false">
      <c r="A44" s="30" t="s">
        <v>104</v>
      </c>
      <c r="B44" s="16" t="str">
        <f aca="false">IF(LEFT($A44,1)="B",INDEX('Harga Bahan'!$B$5:$B$200,MATCH($A44,'Harga Bahan'!$A$5:$A$200,0)),INDEX('Harga Upah'!$B$5:$B$200,MATCH($A44,'Harga Upah'!$A$5:$A$200,0)))</f>
        <v>Semen Portland (PC)</v>
      </c>
      <c r="C44" s="18" t="str">
        <f aca="false">IF(LEFT($A44,1)="B",INDEX('Harga Bahan'!$C$5:$C$200,MATCH($A44,'Harga Bahan'!$A$5:$A$200,0)),INDEX('Harga Upah'!$C$5:$C$200,MATCH($A44,'Harga Upah'!$A$5:$A$200,0)))</f>
        <v>kg</v>
      </c>
      <c r="D44" s="31" t="n">
        <v>326</v>
      </c>
      <c r="E44" s="20" t="n">
        <f aca="false">IF(LEFT($A44,1)="B",INDEX('Harga Bahan'!$D$5:$D$200,MATCH($A44,'Harga Bahan'!$A$5:$A$200,0)),INDEX('Harga Upah'!$D$5:$D$200,MATCH($A44,'Harga Upah'!$A$5:$A$200,0)))</f>
        <v>1450</v>
      </c>
      <c r="F44" s="21" t="n">
        <f aca="false">D44*E44</f>
        <v>472700</v>
      </c>
      <c r="G44" s="15" t="s">
        <v>101</v>
      </c>
    </row>
    <row r="45" customFormat="false" ht="15" hidden="false" customHeight="false" outlineLevel="0" collapsed="false">
      <c r="A45" s="30" t="s">
        <v>108</v>
      </c>
      <c r="B45" s="16" t="str">
        <f aca="false">IF(LEFT($A45,1)="B",INDEX('Harga Bahan'!$B$5:$B$200,MATCH($A45,'Harga Bahan'!$A$5:$A$200,0)),INDEX('Harga Upah'!$B$5:$B$200,MATCH($A45,'Harga Upah'!$A$5:$A$200,0)))</f>
        <v>Pasir beton</v>
      </c>
      <c r="C45" s="18" t="str">
        <f aca="false">IF(LEFT($A45,1)="B",INDEX('Harga Bahan'!$C$5:$C$200,MATCH($A45,'Harga Bahan'!$A$5:$A$200,0)),INDEX('Harga Upah'!$C$5:$C$200,MATCH($A45,'Harga Upah'!$A$5:$A$200,0)))</f>
        <v>m³</v>
      </c>
      <c r="D45" s="31" t="n">
        <v>0.52</v>
      </c>
      <c r="E45" s="20" t="n">
        <f aca="false">IF(LEFT($A45,1)="B",INDEX('Harga Bahan'!$D$5:$D$200,MATCH($A45,'Harga Bahan'!$A$5:$A$200,0)),INDEX('Harga Upah'!$D$5:$D$200,MATCH($A45,'Harga Upah'!$A$5:$A$200,0)))</f>
        <v>290000</v>
      </c>
      <c r="F45" s="21" t="n">
        <f aca="false">D45*E45</f>
        <v>150800</v>
      </c>
      <c r="G45" s="15" t="s">
        <v>101</v>
      </c>
    </row>
    <row r="46" customFormat="false" ht="15" hidden="false" customHeight="false" outlineLevel="0" collapsed="false">
      <c r="A46" s="30" t="s">
        <v>109</v>
      </c>
      <c r="B46" s="16" t="str">
        <f aca="false">IF(LEFT($A46,1)="B",INDEX('Harga Bahan'!$B$5:$B$200,MATCH($A46,'Harga Bahan'!$A$5:$A$200,0)),INDEX('Harga Upah'!$B$5:$B$200,MATCH($A46,'Harga Upah'!$A$5:$A$200,0)))</f>
        <v>Batu split / kerikil 2/3</v>
      </c>
      <c r="C46" s="18" t="str">
        <f aca="false">IF(LEFT($A46,1)="B",INDEX('Harga Bahan'!$C$5:$C$200,MATCH($A46,'Harga Bahan'!$A$5:$A$200,0)),INDEX('Harga Upah'!$C$5:$C$200,MATCH($A46,'Harga Upah'!$A$5:$A$200,0)))</f>
        <v>m³</v>
      </c>
      <c r="D46" s="31" t="n">
        <v>0.78</v>
      </c>
      <c r="E46" s="20" t="n">
        <f aca="false">IF(LEFT($A46,1)="B",INDEX('Harga Bahan'!$D$5:$D$200,MATCH($A46,'Harga Bahan'!$A$5:$A$200,0)),INDEX('Harga Upah'!$D$5:$D$200,MATCH($A46,'Harga Upah'!$A$5:$A$200,0)))</f>
        <v>350000</v>
      </c>
      <c r="F46" s="21" t="n">
        <f aca="false">D46*E46</f>
        <v>273000</v>
      </c>
      <c r="G46" s="15" t="s">
        <v>101</v>
      </c>
    </row>
    <row r="47" customFormat="false" ht="15" hidden="false" customHeight="false" outlineLevel="0" collapsed="false">
      <c r="A47" s="30" t="s">
        <v>110</v>
      </c>
      <c r="B47" s="16" t="str">
        <f aca="false">IF(LEFT($A47,1)="B",INDEX('Harga Bahan'!$B$5:$B$200,MATCH($A47,'Harga Bahan'!$A$5:$A$200,0)),INDEX('Harga Upah'!$B$5:$B$200,MATCH($A47,'Harga Upah'!$A$5:$A$200,0)))</f>
        <v>Air kerja</v>
      </c>
      <c r="C47" s="18" t="str">
        <f aca="false">IF(LEFT($A47,1)="B",INDEX('Harga Bahan'!$C$5:$C$200,MATCH($A47,'Harga Bahan'!$A$5:$A$200,0)),INDEX('Harga Upah'!$C$5:$C$200,MATCH($A47,'Harga Upah'!$A$5:$A$200,0)))</f>
        <v>liter</v>
      </c>
      <c r="D47" s="31" t="n">
        <v>215</v>
      </c>
      <c r="E47" s="20" t="n">
        <f aca="false">IF(LEFT($A47,1)="B",INDEX('Harga Bahan'!$D$5:$D$200,MATCH($A47,'Harga Bahan'!$A$5:$A$200,0)),INDEX('Harga Upah'!$D$5:$D$200,MATCH($A47,'Harga Upah'!$A$5:$A$200,0)))</f>
        <v>50</v>
      </c>
      <c r="F47" s="21" t="n">
        <f aca="false">D47*E47</f>
        <v>10750</v>
      </c>
      <c r="G47" s="15" t="s">
        <v>101</v>
      </c>
    </row>
    <row r="48" customFormat="false" ht="15" hidden="false" customHeight="false" outlineLevel="0" collapsed="false">
      <c r="A48" s="30" t="s">
        <v>91</v>
      </c>
      <c r="B48" s="16" t="str">
        <f aca="false">IF(LEFT($A48,1)="B",INDEX('Harga Bahan'!$B$5:$B$200,MATCH($A48,'Harga Bahan'!$A$5:$A$200,0)),INDEX('Harga Upah'!$B$5:$B$200,MATCH($A48,'Harga Upah'!$A$5:$A$200,0)))</f>
        <v>Pekerja</v>
      </c>
      <c r="C48" s="18" t="str">
        <f aca="false">IF(LEFT($A48,1)="B",INDEX('Harga Bahan'!$C$5:$C$200,MATCH($A48,'Harga Bahan'!$A$5:$A$200,0)),INDEX('Harga Upah'!$C$5:$C$200,MATCH($A48,'Harga Upah'!$A$5:$A$200,0)))</f>
        <v>OH</v>
      </c>
      <c r="D48" s="31" t="n">
        <v>1.65</v>
      </c>
      <c r="E48" s="20" t="n">
        <f aca="false">IF(LEFT($A48,1)="B",INDEX('Harga Bahan'!$D$5:$D$200,MATCH($A48,'Harga Bahan'!$A$5:$A$200,0)),INDEX('Harga Upah'!$D$5:$D$200,MATCH($A48,'Harga Upah'!$A$5:$A$200,0)))</f>
        <v>130000</v>
      </c>
      <c r="F48" s="21" t="n">
        <f aca="false">D48*E48</f>
        <v>214500</v>
      </c>
      <c r="G48" s="15" t="s">
        <v>92</v>
      </c>
    </row>
    <row r="49" customFormat="false" ht="15" hidden="false" customHeight="false" outlineLevel="0" collapsed="false">
      <c r="A49" s="30" t="s">
        <v>105</v>
      </c>
      <c r="B49" s="16" t="str">
        <f aca="false">IF(LEFT($A49,1)="B",INDEX('Harga Bahan'!$B$5:$B$200,MATCH($A49,'Harga Bahan'!$A$5:$A$200,0)),INDEX('Harga Upah'!$B$5:$B$200,MATCH($A49,'Harga Upah'!$A$5:$A$200,0)))</f>
        <v>Tukang batu</v>
      </c>
      <c r="C49" s="18" t="str">
        <f aca="false">IF(LEFT($A49,1)="B",INDEX('Harga Bahan'!$C$5:$C$200,MATCH($A49,'Harga Bahan'!$A$5:$A$200,0)),INDEX('Harga Upah'!$C$5:$C$200,MATCH($A49,'Harga Upah'!$A$5:$A$200,0)))</f>
        <v>OH</v>
      </c>
      <c r="D49" s="31" t="n">
        <v>0.275</v>
      </c>
      <c r="E49" s="20" t="n">
        <f aca="false">IF(LEFT($A49,1)="B",INDEX('Harga Bahan'!$D$5:$D$200,MATCH($A49,'Harga Bahan'!$A$5:$A$200,0)),INDEX('Harga Upah'!$D$5:$D$200,MATCH($A49,'Harga Upah'!$A$5:$A$200,0)))</f>
        <v>160000</v>
      </c>
      <c r="F49" s="21" t="n">
        <f aca="false">D49*E49</f>
        <v>44000</v>
      </c>
      <c r="G49" s="15" t="s">
        <v>92</v>
      </c>
    </row>
    <row r="50" customFormat="false" ht="15" hidden="false" customHeight="false" outlineLevel="0" collapsed="false">
      <c r="A50" s="30" t="s">
        <v>106</v>
      </c>
      <c r="B50" s="16" t="str">
        <f aca="false">IF(LEFT($A50,1)="B",INDEX('Harga Bahan'!$B$5:$B$200,MATCH($A50,'Harga Bahan'!$A$5:$A$200,0)),INDEX('Harga Upah'!$B$5:$B$200,MATCH($A50,'Harga Upah'!$A$5:$A$200,0)))</f>
        <v>Kepala tukang</v>
      </c>
      <c r="C50" s="18" t="str">
        <f aca="false">IF(LEFT($A50,1)="B",INDEX('Harga Bahan'!$C$5:$C$200,MATCH($A50,'Harga Bahan'!$A$5:$A$200,0)),INDEX('Harga Upah'!$C$5:$C$200,MATCH($A50,'Harga Upah'!$A$5:$A$200,0)))</f>
        <v>OH</v>
      </c>
      <c r="D50" s="31" t="n">
        <v>0.028</v>
      </c>
      <c r="E50" s="20" t="n">
        <f aca="false">IF(LEFT($A50,1)="B",INDEX('Harga Bahan'!$D$5:$D$200,MATCH($A50,'Harga Bahan'!$A$5:$A$200,0)),INDEX('Harga Upah'!$D$5:$D$200,MATCH($A50,'Harga Upah'!$A$5:$A$200,0)))</f>
        <v>175000</v>
      </c>
      <c r="F50" s="21" t="n">
        <f aca="false">D50*E50</f>
        <v>4900</v>
      </c>
      <c r="G50" s="15" t="s">
        <v>92</v>
      </c>
    </row>
    <row r="51" customFormat="false" ht="15" hidden="false" customHeight="false" outlineLevel="0" collapsed="false">
      <c r="A51" s="30" t="s">
        <v>93</v>
      </c>
      <c r="B51" s="16" t="str">
        <f aca="false">IF(LEFT($A51,1)="B",INDEX('Harga Bahan'!$B$5:$B$200,MATCH($A51,'Harga Bahan'!$A$5:$A$200,0)),INDEX('Harga Upah'!$B$5:$B$200,MATCH($A51,'Harga Upah'!$A$5:$A$200,0)))</f>
        <v>Mandor</v>
      </c>
      <c r="C51" s="18" t="str">
        <f aca="false">IF(LEFT($A51,1)="B",INDEX('Harga Bahan'!$C$5:$C$200,MATCH($A51,'Harga Bahan'!$A$5:$A$200,0)),INDEX('Harga Upah'!$C$5:$C$200,MATCH($A51,'Harga Upah'!$A$5:$A$200,0)))</f>
        <v>OH</v>
      </c>
      <c r="D51" s="31" t="n">
        <v>0.083</v>
      </c>
      <c r="E51" s="20" t="n">
        <f aca="false">IF(LEFT($A51,1)="B",INDEX('Harga Bahan'!$D$5:$D$200,MATCH($A51,'Harga Bahan'!$A$5:$A$200,0)),INDEX('Harga Upah'!$D$5:$D$200,MATCH($A51,'Harga Upah'!$A$5:$A$200,0)))</f>
        <v>190000</v>
      </c>
      <c r="F51" s="21" t="n">
        <f aca="false">D51*E51</f>
        <v>15770</v>
      </c>
      <c r="G51" s="15" t="s">
        <v>92</v>
      </c>
    </row>
    <row r="52" customFormat="false" ht="15" hidden="false" customHeight="false" outlineLevel="0" collapsed="false">
      <c r="A52" s="23"/>
      <c r="B52" s="23" t="s">
        <v>94</v>
      </c>
      <c r="C52" s="23"/>
      <c r="D52" s="23"/>
      <c r="E52" s="23"/>
      <c r="F52" s="32" t="n">
        <f aca="false">SUMIF(G44:G51,"Bahan",F44:F51)</f>
        <v>907250</v>
      </c>
      <c r="G52" s="23"/>
    </row>
    <row r="53" customFormat="false" ht="15" hidden="false" customHeight="false" outlineLevel="0" collapsed="false">
      <c r="A53" s="23"/>
      <c r="B53" s="23" t="s">
        <v>95</v>
      </c>
      <c r="C53" s="23"/>
      <c r="D53" s="23"/>
      <c r="E53" s="23"/>
      <c r="F53" s="32" t="n">
        <f aca="false">SUMIF(G44:G51,"Upah",F44:F51)</f>
        <v>279170</v>
      </c>
      <c r="G53" s="23"/>
    </row>
    <row r="54" customFormat="false" ht="15" hidden="false" customHeight="false" outlineLevel="0" collapsed="false">
      <c r="A54" s="23"/>
      <c r="B54" s="23" t="str">
        <f aca="false">"Overhead &amp; profit ("&amp;TEXT('Informasi Project'!$B$16,"0.0%")&amp;")"</f>
        <v>Overhead &amp; profit (15.0%)</v>
      </c>
      <c r="C54" s="23"/>
      <c r="D54" s="23"/>
      <c r="E54" s="23"/>
      <c r="F54" s="32" t="n">
        <f aca="false">(F52+F53)*'Informasi Project'!$B$16</f>
        <v>177963</v>
      </c>
      <c r="G54" s="23"/>
    </row>
    <row r="55" customFormat="false" ht="15" hidden="false" customHeight="false" outlineLevel="0" collapsed="false">
      <c r="A55" s="14"/>
      <c r="B55" s="3" t="s">
        <v>96</v>
      </c>
      <c r="C55" s="14"/>
      <c r="D55" s="14"/>
      <c r="E55" s="14"/>
      <c r="F55" s="27" t="n">
        <f aca="false">F52+F53+F54</f>
        <v>1364383</v>
      </c>
      <c r="G55" s="14"/>
    </row>
    <row r="57" customFormat="false" ht="15" hidden="false" customHeight="false" outlineLevel="0" collapsed="false">
      <c r="A57" s="3" t="s">
        <v>51</v>
      </c>
      <c r="B57" s="3" t="s">
        <v>111</v>
      </c>
      <c r="C57" s="3" t="s">
        <v>112</v>
      </c>
      <c r="D57" s="3"/>
      <c r="E57" s="29" t="s">
        <v>90</v>
      </c>
      <c r="F57" s="27" t="n">
        <f aca="false">F67</f>
        <v>20416.525</v>
      </c>
      <c r="G57" s="3"/>
    </row>
    <row r="58" customFormat="false" ht="15" hidden="false" customHeight="false" outlineLevel="0" collapsed="false">
      <c r="A58" s="30" t="s">
        <v>113</v>
      </c>
      <c r="B58" s="16" t="str">
        <f aca="false">IF(LEFT($A58,1)="B",INDEX('Harga Bahan'!$B$5:$B$200,MATCH($A58,'Harga Bahan'!$A$5:$A$200,0)),INDEX('Harga Upah'!$B$5:$B$200,MATCH($A58,'Harga Upah'!$A$5:$A$200,0)))</f>
        <v>Besi beton polos/ulir</v>
      </c>
      <c r="C58" s="18" t="str">
        <f aca="false">IF(LEFT($A58,1)="B",INDEX('Harga Bahan'!$C$5:$C$200,MATCH($A58,'Harga Bahan'!$A$5:$A$200,0)),INDEX('Harga Upah'!$C$5:$C$200,MATCH($A58,'Harga Upah'!$A$5:$A$200,0)))</f>
        <v>kg</v>
      </c>
      <c r="D58" s="31" t="n">
        <v>1.05</v>
      </c>
      <c r="E58" s="20" t="n">
        <f aca="false">IF(LEFT($A58,1)="B",INDEX('Harga Bahan'!$D$5:$D$200,MATCH($A58,'Harga Bahan'!$A$5:$A$200,0)),INDEX('Harga Upah'!$D$5:$D$200,MATCH($A58,'Harga Upah'!$A$5:$A$200,0)))</f>
        <v>14500</v>
      </c>
      <c r="F58" s="21" t="n">
        <f aca="false">D58*E58</f>
        <v>15225</v>
      </c>
      <c r="G58" s="15" t="s">
        <v>101</v>
      </c>
    </row>
    <row r="59" customFormat="false" ht="15" hidden="false" customHeight="false" outlineLevel="0" collapsed="false">
      <c r="A59" s="30" t="s">
        <v>114</v>
      </c>
      <c r="B59" s="16" t="str">
        <f aca="false">IF(LEFT($A59,1)="B",INDEX('Harga Bahan'!$B$5:$B$200,MATCH($A59,'Harga Bahan'!$A$5:$A$200,0)),INDEX('Harga Upah'!$B$5:$B$200,MATCH($A59,'Harga Upah'!$A$5:$A$200,0)))</f>
        <v>Kawat beton (bendrat)</v>
      </c>
      <c r="C59" s="18" t="str">
        <f aca="false">IF(LEFT($A59,1)="B",INDEX('Harga Bahan'!$C$5:$C$200,MATCH($A59,'Harga Bahan'!$A$5:$A$200,0)),INDEX('Harga Upah'!$C$5:$C$200,MATCH($A59,'Harga Upah'!$A$5:$A$200,0)))</f>
        <v>kg</v>
      </c>
      <c r="D59" s="31" t="n">
        <v>0.015</v>
      </c>
      <c r="E59" s="20" t="n">
        <f aca="false">IF(LEFT($A59,1)="B",INDEX('Harga Bahan'!$D$5:$D$200,MATCH($A59,'Harga Bahan'!$A$5:$A$200,0)),INDEX('Harga Upah'!$D$5:$D$200,MATCH($A59,'Harga Upah'!$A$5:$A$200,0)))</f>
        <v>20000</v>
      </c>
      <c r="F59" s="21" t="n">
        <f aca="false">D59*E59</f>
        <v>300</v>
      </c>
      <c r="G59" s="15" t="s">
        <v>101</v>
      </c>
    </row>
    <row r="60" customFormat="false" ht="15" hidden="false" customHeight="false" outlineLevel="0" collapsed="false">
      <c r="A60" s="30" t="s">
        <v>91</v>
      </c>
      <c r="B60" s="16" t="str">
        <f aca="false">IF(LEFT($A60,1)="B",INDEX('Harga Bahan'!$B$5:$B$200,MATCH($A60,'Harga Bahan'!$A$5:$A$200,0)),INDEX('Harga Upah'!$B$5:$B$200,MATCH($A60,'Harga Upah'!$A$5:$A$200,0)))</f>
        <v>Pekerja</v>
      </c>
      <c r="C60" s="18" t="str">
        <f aca="false">IF(LEFT($A60,1)="B",INDEX('Harga Bahan'!$C$5:$C$200,MATCH($A60,'Harga Bahan'!$A$5:$A$200,0)),INDEX('Harga Upah'!$C$5:$C$200,MATCH($A60,'Harga Upah'!$A$5:$A$200,0)))</f>
        <v>OH</v>
      </c>
      <c r="D60" s="31" t="n">
        <v>0.007</v>
      </c>
      <c r="E60" s="20" t="n">
        <f aca="false">IF(LEFT($A60,1)="B",INDEX('Harga Bahan'!$D$5:$D$200,MATCH($A60,'Harga Bahan'!$A$5:$A$200,0)),INDEX('Harga Upah'!$D$5:$D$200,MATCH($A60,'Harga Upah'!$A$5:$A$200,0)))</f>
        <v>130000</v>
      </c>
      <c r="F60" s="21" t="n">
        <f aca="false">D60*E60</f>
        <v>910</v>
      </c>
      <c r="G60" s="15" t="s">
        <v>92</v>
      </c>
    </row>
    <row r="61" customFormat="false" ht="15" hidden="false" customHeight="false" outlineLevel="0" collapsed="false">
      <c r="A61" s="30" t="s">
        <v>115</v>
      </c>
      <c r="B61" s="16" t="str">
        <f aca="false">IF(LEFT($A61,1)="B",INDEX('Harga Bahan'!$B$5:$B$200,MATCH($A61,'Harga Bahan'!$A$5:$A$200,0)),INDEX('Harga Upah'!$B$5:$B$200,MATCH($A61,'Harga Upah'!$A$5:$A$200,0)))</f>
        <v>Tukang besi</v>
      </c>
      <c r="C61" s="18" t="str">
        <f aca="false">IF(LEFT($A61,1)="B",INDEX('Harga Bahan'!$C$5:$C$200,MATCH($A61,'Harga Bahan'!$A$5:$A$200,0)),INDEX('Harga Upah'!$C$5:$C$200,MATCH($A61,'Harga Upah'!$A$5:$A$200,0)))</f>
        <v>OH</v>
      </c>
      <c r="D61" s="31" t="n">
        <v>0.007</v>
      </c>
      <c r="E61" s="20" t="n">
        <f aca="false">IF(LEFT($A61,1)="B",INDEX('Harga Bahan'!$D$5:$D$200,MATCH($A61,'Harga Bahan'!$A$5:$A$200,0)),INDEX('Harga Upah'!$D$5:$D$200,MATCH($A61,'Harga Upah'!$A$5:$A$200,0)))</f>
        <v>160000</v>
      </c>
      <c r="F61" s="21" t="n">
        <f aca="false">D61*E61</f>
        <v>1120</v>
      </c>
      <c r="G61" s="15" t="s">
        <v>92</v>
      </c>
    </row>
    <row r="62" customFormat="false" ht="15" hidden="false" customHeight="false" outlineLevel="0" collapsed="false">
      <c r="A62" s="30" t="s">
        <v>106</v>
      </c>
      <c r="B62" s="16" t="str">
        <f aca="false">IF(LEFT($A62,1)="B",INDEX('Harga Bahan'!$B$5:$B$200,MATCH($A62,'Harga Bahan'!$A$5:$A$200,0)),INDEX('Harga Upah'!$B$5:$B$200,MATCH($A62,'Harga Upah'!$A$5:$A$200,0)))</f>
        <v>Kepala tukang</v>
      </c>
      <c r="C62" s="18" t="str">
        <f aca="false">IF(LEFT($A62,1)="B",INDEX('Harga Bahan'!$C$5:$C$200,MATCH($A62,'Harga Bahan'!$A$5:$A$200,0)),INDEX('Harga Upah'!$C$5:$C$200,MATCH($A62,'Harga Upah'!$A$5:$A$200,0)))</f>
        <v>OH</v>
      </c>
      <c r="D62" s="31" t="n">
        <v>0.0007</v>
      </c>
      <c r="E62" s="20" t="n">
        <f aca="false">IF(LEFT($A62,1)="B",INDEX('Harga Bahan'!$D$5:$D$200,MATCH($A62,'Harga Bahan'!$A$5:$A$200,0)),INDEX('Harga Upah'!$D$5:$D$200,MATCH($A62,'Harga Upah'!$A$5:$A$200,0)))</f>
        <v>175000</v>
      </c>
      <c r="F62" s="21" t="n">
        <f aca="false">D62*E62</f>
        <v>122.5</v>
      </c>
      <c r="G62" s="15" t="s">
        <v>92</v>
      </c>
    </row>
    <row r="63" customFormat="false" ht="15" hidden="false" customHeight="false" outlineLevel="0" collapsed="false">
      <c r="A63" s="30" t="s">
        <v>93</v>
      </c>
      <c r="B63" s="16" t="str">
        <f aca="false">IF(LEFT($A63,1)="B",INDEX('Harga Bahan'!$B$5:$B$200,MATCH($A63,'Harga Bahan'!$A$5:$A$200,0)),INDEX('Harga Upah'!$B$5:$B$200,MATCH($A63,'Harga Upah'!$A$5:$A$200,0)))</f>
        <v>Mandor</v>
      </c>
      <c r="C63" s="18" t="str">
        <f aca="false">IF(LEFT($A63,1)="B",INDEX('Harga Bahan'!$C$5:$C$200,MATCH($A63,'Harga Bahan'!$A$5:$A$200,0)),INDEX('Harga Upah'!$C$5:$C$200,MATCH($A63,'Harga Upah'!$A$5:$A$200,0)))</f>
        <v>OH</v>
      </c>
      <c r="D63" s="31" t="n">
        <v>0.0004</v>
      </c>
      <c r="E63" s="20" t="n">
        <f aca="false">IF(LEFT($A63,1)="B",INDEX('Harga Bahan'!$D$5:$D$200,MATCH($A63,'Harga Bahan'!$A$5:$A$200,0)),INDEX('Harga Upah'!$D$5:$D$200,MATCH($A63,'Harga Upah'!$A$5:$A$200,0)))</f>
        <v>190000</v>
      </c>
      <c r="F63" s="21" t="n">
        <f aca="false">D63*E63</f>
        <v>76</v>
      </c>
      <c r="G63" s="15" t="s">
        <v>92</v>
      </c>
    </row>
    <row r="64" customFormat="false" ht="15" hidden="false" customHeight="false" outlineLevel="0" collapsed="false">
      <c r="A64" s="23"/>
      <c r="B64" s="23" t="s">
        <v>94</v>
      </c>
      <c r="C64" s="23"/>
      <c r="D64" s="23"/>
      <c r="E64" s="23"/>
      <c r="F64" s="32" t="n">
        <f aca="false">SUMIF(G58:G63,"Bahan",F58:F63)</f>
        <v>15525</v>
      </c>
      <c r="G64" s="23"/>
    </row>
    <row r="65" customFormat="false" ht="15" hidden="false" customHeight="false" outlineLevel="0" collapsed="false">
      <c r="A65" s="23"/>
      <c r="B65" s="23" t="s">
        <v>95</v>
      </c>
      <c r="C65" s="23"/>
      <c r="D65" s="23"/>
      <c r="E65" s="23"/>
      <c r="F65" s="32" t="n">
        <f aca="false">SUMIF(G58:G63,"Upah",F58:F63)</f>
        <v>2228.5</v>
      </c>
      <c r="G65" s="23"/>
    </row>
    <row r="66" customFormat="false" ht="15" hidden="false" customHeight="false" outlineLevel="0" collapsed="false">
      <c r="A66" s="23"/>
      <c r="B66" s="23" t="str">
        <f aca="false">"Overhead &amp; profit ("&amp;TEXT('Informasi Project'!$B$16,"0.0%")&amp;")"</f>
        <v>Overhead &amp; profit (15.0%)</v>
      </c>
      <c r="C66" s="23"/>
      <c r="D66" s="23"/>
      <c r="E66" s="23"/>
      <c r="F66" s="32" t="n">
        <f aca="false">(F64+F65)*'Informasi Project'!$B$16</f>
        <v>2663.025</v>
      </c>
      <c r="G66" s="23"/>
    </row>
    <row r="67" customFormat="false" ht="15" hidden="false" customHeight="false" outlineLevel="0" collapsed="false">
      <c r="A67" s="14"/>
      <c r="B67" s="3" t="s">
        <v>96</v>
      </c>
      <c r="C67" s="14"/>
      <c r="D67" s="14"/>
      <c r="E67" s="14"/>
      <c r="F67" s="27" t="n">
        <f aca="false">F64+F65+F66</f>
        <v>20416.525</v>
      </c>
      <c r="G67" s="14"/>
    </row>
    <row r="69" customFormat="false" ht="15" hidden="false" customHeight="false" outlineLevel="0" collapsed="false">
      <c r="A69" s="3" t="s">
        <v>52</v>
      </c>
      <c r="B69" s="3" t="s">
        <v>116</v>
      </c>
      <c r="C69" s="3" t="s">
        <v>89</v>
      </c>
      <c r="D69" s="3"/>
      <c r="E69" s="29" t="s">
        <v>90</v>
      </c>
      <c r="F69" s="27" t="n">
        <f aca="false">F79</f>
        <v>321413.5</v>
      </c>
      <c r="G69" s="3"/>
    </row>
    <row r="70" customFormat="false" ht="15" hidden="false" customHeight="false" outlineLevel="0" collapsed="false">
      <c r="A70" s="30" t="s">
        <v>117</v>
      </c>
      <c r="B70" s="16" t="str">
        <f aca="false">IF(LEFT($A70,1)="B",INDEX('Harga Bahan'!$B$5:$B$200,MATCH($A70,'Harga Bahan'!$A$5:$A$200,0)),INDEX('Harga Upah'!$B$5:$B$200,MATCH($A70,'Harga Upah'!$A$5:$A$200,0)))</f>
        <v>Kayu kelas II/III (balok, usuk, reng)</v>
      </c>
      <c r="C70" s="18" t="str">
        <f aca="false">IF(LEFT($A70,1)="B",INDEX('Harga Bahan'!$C$5:$C$200,MATCH($A70,'Harga Bahan'!$A$5:$A$200,0)),INDEX('Harga Upah'!$C$5:$C$200,MATCH($A70,'Harga Upah'!$A$5:$A$200,0)))</f>
        <v>m³</v>
      </c>
      <c r="D70" s="31" t="n">
        <v>0.04</v>
      </c>
      <c r="E70" s="20" t="n">
        <f aca="false">IF(LEFT($A70,1)="B",INDEX('Harga Bahan'!$D$5:$D$200,MATCH($A70,'Harga Bahan'!$A$5:$A$200,0)),INDEX('Harga Upah'!$D$5:$D$200,MATCH($A70,'Harga Upah'!$A$5:$A$200,0)))</f>
        <v>3800000</v>
      </c>
      <c r="F70" s="21" t="n">
        <f aca="false">D70*E70</f>
        <v>152000</v>
      </c>
      <c r="G70" s="15" t="s">
        <v>101</v>
      </c>
    </row>
    <row r="71" customFormat="false" ht="15" hidden="false" customHeight="false" outlineLevel="0" collapsed="false">
      <c r="A71" s="30" t="s">
        <v>118</v>
      </c>
      <c r="B71" s="16" t="str">
        <f aca="false">IF(LEFT($A71,1)="B",INDEX('Harga Bahan'!$B$5:$B$200,MATCH($A71,'Harga Bahan'!$A$5:$A$200,0)),INDEX('Harga Upah'!$B$5:$B$200,MATCH($A71,'Harga Upah'!$A$5:$A$200,0)))</f>
        <v>Paku campuran</v>
      </c>
      <c r="C71" s="18" t="str">
        <f aca="false">IF(LEFT($A71,1)="B",INDEX('Harga Bahan'!$C$5:$C$200,MATCH($A71,'Harga Bahan'!$A$5:$A$200,0)),INDEX('Harga Upah'!$C$5:$C$200,MATCH($A71,'Harga Upah'!$A$5:$A$200,0)))</f>
        <v>kg</v>
      </c>
      <c r="D71" s="31" t="n">
        <v>0.4</v>
      </c>
      <c r="E71" s="20" t="n">
        <f aca="false">IF(LEFT($A71,1)="B",INDEX('Harga Bahan'!$D$5:$D$200,MATCH($A71,'Harga Bahan'!$A$5:$A$200,0)),INDEX('Harga Upah'!$D$5:$D$200,MATCH($A71,'Harga Upah'!$A$5:$A$200,0)))</f>
        <v>22000</v>
      </c>
      <c r="F71" s="21" t="n">
        <f aca="false">D71*E71</f>
        <v>8800</v>
      </c>
      <c r="G71" s="15" t="s">
        <v>101</v>
      </c>
    </row>
    <row r="72" customFormat="false" ht="15" hidden="false" customHeight="false" outlineLevel="0" collapsed="false">
      <c r="A72" s="30" t="s">
        <v>91</v>
      </c>
      <c r="B72" s="16" t="str">
        <f aca="false">IF(LEFT($A72,1)="B",INDEX('Harga Bahan'!$B$5:$B$200,MATCH($A72,'Harga Bahan'!$A$5:$A$200,0)),INDEX('Harga Upah'!$B$5:$B$200,MATCH($A72,'Harga Upah'!$A$5:$A$200,0)))</f>
        <v>Pekerja</v>
      </c>
      <c r="C72" s="18" t="str">
        <f aca="false">IF(LEFT($A72,1)="B",INDEX('Harga Bahan'!$C$5:$C$200,MATCH($A72,'Harga Bahan'!$A$5:$A$200,0)),INDEX('Harga Upah'!$C$5:$C$200,MATCH($A72,'Harga Upah'!$A$5:$A$200,0)))</f>
        <v>OH</v>
      </c>
      <c r="D72" s="31" t="n">
        <v>0.52</v>
      </c>
      <c r="E72" s="20" t="n">
        <f aca="false">IF(LEFT($A72,1)="B",INDEX('Harga Bahan'!$D$5:$D$200,MATCH($A72,'Harga Bahan'!$A$5:$A$200,0)),INDEX('Harga Upah'!$D$5:$D$200,MATCH($A72,'Harga Upah'!$A$5:$A$200,0)))</f>
        <v>130000</v>
      </c>
      <c r="F72" s="21" t="n">
        <f aca="false">D72*E72</f>
        <v>67600</v>
      </c>
      <c r="G72" s="15" t="s">
        <v>92</v>
      </c>
    </row>
    <row r="73" customFormat="false" ht="15" hidden="false" customHeight="false" outlineLevel="0" collapsed="false">
      <c r="A73" s="30" t="s">
        <v>119</v>
      </c>
      <c r="B73" s="16" t="str">
        <f aca="false">IF(LEFT($A73,1)="B",INDEX('Harga Bahan'!$B$5:$B$200,MATCH($A73,'Harga Bahan'!$A$5:$A$200,0)),INDEX('Harga Upah'!$B$5:$B$200,MATCH($A73,'Harga Upah'!$A$5:$A$200,0)))</f>
        <v>Tukang kayu</v>
      </c>
      <c r="C73" s="18" t="str">
        <f aca="false">IF(LEFT($A73,1)="B",INDEX('Harga Bahan'!$C$5:$C$200,MATCH($A73,'Harga Bahan'!$A$5:$A$200,0)),INDEX('Harga Upah'!$C$5:$C$200,MATCH($A73,'Harga Upah'!$A$5:$A$200,0)))</f>
        <v>OH</v>
      </c>
      <c r="D73" s="31" t="n">
        <v>0.26</v>
      </c>
      <c r="E73" s="20" t="n">
        <f aca="false">IF(LEFT($A73,1)="B",INDEX('Harga Bahan'!$D$5:$D$200,MATCH($A73,'Harga Bahan'!$A$5:$A$200,0)),INDEX('Harga Upah'!$D$5:$D$200,MATCH($A73,'Harga Upah'!$A$5:$A$200,0)))</f>
        <v>160000</v>
      </c>
      <c r="F73" s="21" t="n">
        <f aca="false">D73*E73</f>
        <v>41600</v>
      </c>
      <c r="G73" s="15" t="s">
        <v>92</v>
      </c>
    </row>
    <row r="74" customFormat="false" ht="15" hidden="false" customHeight="false" outlineLevel="0" collapsed="false">
      <c r="A74" s="30" t="s">
        <v>106</v>
      </c>
      <c r="B74" s="16" t="str">
        <f aca="false">IF(LEFT($A74,1)="B",INDEX('Harga Bahan'!$B$5:$B$200,MATCH($A74,'Harga Bahan'!$A$5:$A$200,0)),INDEX('Harga Upah'!$B$5:$B$200,MATCH($A74,'Harga Upah'!$A$5:$A$200,0)))</f>
        <v>Kepala tukang</v>
      </c>
      <c r="C74" s="18" t="str">
        <f aca="false">IF(LEFT($A74,1)="B",INDEX('Harga Bahan'!$C$5:$C$200,MATCH($A74,'Harga Bahan'!$A$5:$A$200,0)),INDEX('Harga Upah'!$C$5:$C$200,MATCH($A74,'Harga Upah'!$A$5:$A$200,0)))</f>
        <v>OH</v>
      </c>
      <c r="D74" s="31" t="n">
        <v>0.026</v>
      </c>
      <c r="E74" s="20" t="n">
        <f aca="false">IF(LEFT($A74,1)="B",INDEX('Harga Bahan'!$D$5:$D$200,MATCH($A74,'Harga Bahan'!$A$5:$A$200,0)),INDEX('Harga Upah'!$D$5:$D$200,MATCH($A74,'Harga Upah'!$A$5:$A$200,0)))</f>
        <v>175000</v>
      </c>
      <c r="F74" s="21" t="n">
        <f aca="false">D74*E74</f>
        <v>4550</v>
      </c>
      <c r="G74" s="15" t="s">
        <v>92</v>
      </c>
    </row>
    <row r="75" customFormat="false" ht="15" hidden="false" customHeight="false" outlineLevel="0" collapsed="false">
      <c r="A75" s="30" t="s">
        <v>93</v>
      </c>
      <c r="B75" s="16" t="str">
        <f aca="false">IF(LEFT($A75,1)="B",INDEX('Harga Bahan'!$B$5:$B$200,MATCH($A75,'Harga Bahan'!$A$5:$A$200,0)),INDEX('Harga Upah'!$B$5:$B$200,MATCH($A75,'Harga Upah'!$A$5:$A$200,0)))</f>
        <v>Mandor</v>
      </c>
      <c r="C75" s="18" t="str">
        <f aca="false">IF(LEFT($A75,1)="B",INDEX('Harga Bahan'!$C$5:$C$200,MATCH($A75,'Harga Bahan'!$A$5:$A$200,0)),INDEX('Harga Upah'!$C$5:$C$200,MATCH($A75,'Harga Upah'!$A$5:$A$200,0)))</f>
        <v>OH</v>
      </c>
      <c r="D75" s="31" t="n">
        <v>0.026</v>
      </c>
      <c r="E75" s="20" t="n">
        <f aca="false">IF(LEFT($A75,1)="B",INDEX('Harga Bahan'!$D$5:$D$200,MATCH($A75,'Harga Bahan'!$A$5:$A$200,0)),INDEX('Harga Upah'!$D$5:$D$200,MATCH($A75,'Harga Upah'!$A$5:$A$200,0)))</f>
        <v>190000</v>
      </c>
      <c r="F75" s="21" t="n">
        <f aca="false">D75*E75</f>
        <v>4940</v>
      </c>
      <c r="G75" s="15" t="s">
        <v>92</v>
      </c>
    </row>
    <row r="76" customFormat="false" ht="15" hidden="false" customHeight="false" outlineLevel="0" collapsed="false">
      <c r="A76" s="23"/>
      <c r="B76" s="23" t="s">
        <v>94</v>
      </c>
      <c r="C76" s="23"/>
      <c r="D76" s="23"/>
      <c r="E76" s="23"/>
      <c r="F76" s="32" t="n">
        <f aca="false">SUMIF(G70:G75,"Bahan",F70:F75)</f>
        <v>160800</v>
      </c>
      <c r="G76" s="23"/>
    </row>
    <row r="77" customFormat="false" ht="15" hidden="false" customHeight="false" outlineLevel="0" collapsed="false">
      <c r="A77" s="23"/>
      <c r="B77" s="23" t="s">
        <v>95</v>
      </c>
      <c r="C77" s="23"/>
      <c r="D77" s="23"/>
      <c r="E77" s="23"/>
      <c r="F77" s="32" t="n">
        <f aca="false">SUMIF(G70:G75,"Upah",F70:F75)</f>
        <v>118690</v>
      </c>
      <c r="G77" s="23"/>
    </row>
    <row r="78" customFormat="false" ht="15" hidden="false" customHeight="false" outlineLevel="0" collapsed="false">
      <c r="A78" s="23"/>
      <c r="B78" s="23" t="str">
        <f aca="false">"Overhead &amp; profit ("&amp;TEXT('Informasi Project'!$B$16,"0.0%")&amp;")"</f>
        <v>Overhead &amp; profit (15.0%)</v>
      </c>
      <c r="C78" s="23"/>
      <c r="D78" s="23"/>
      <c r="E78" s="23"/>
      <c r="F78" s="32" t="n">
        <f aca="false">(F76+F77)*'Informasi Project'!$B$16</f>
        <v>41923.5</v>
      </c>
      <c r="G78" s="23"/>
    </row>
    <row r="79" customFormat="false" ht="15" hidden="false" customHeight="false" outlineLevel="0" collapsed="false">
      <c r="A79" s="14"/>
      <c r="B79" s="3" t="s">
        <v>96</v>
      </c>
      <c r="C79" s="14"/>
      <c r="D79" s="14"/>
      <c r="E79" s="14"/>
      <c r="F79" s="27" t="n">
        <f aca="false">F76+F77+F78</f>
        <v>321413.5</v>
      </c>
      <c r="G79" s="14"/>
    </row>
    <row r="81" customFormat="false" ht="15" hidden="false" customHeight="false" outlineLevel="0" collapsed="false">
      <c r="A81" s="3" t="s">
        <v>56</v>
      </c>
      <c r="B81" s="3" t="s">
        <v>120</v>
      </c>
      <c r="C81" s="3" t="s">
        <v>89</v>
      </c>
      <c r="D81" s="3"/>
      <c r="E81" s="29" t="s">
        <v>90</v>
      </c>
      <c r="F81" s="27" t="n">
        <f aca="false">F92</f>
        <v>173023.25</v>
      </c>
      <c r="G81" s="3"/>
    </row>
    <row r="82" customFormat="false" ht="15" hidden="false" customHeight="false" outlineLevel="0" collapsed="false">
      <c r="A82" s="30" t="s">
        <v>121</v>
      </c>
      <c r="B82" s="16" t="str">
        <f aca="false">IF(LEFT($A82,1)="B",INDEX('Harga Bahan'!$B$5:$B$200,MATCH($A82,'Harga Bahan'!$A$5:$A$200,0)),INDEX('Harga Upah'!$B$5:$B$200,MATCH($A82,'Harga Upah'!$A$5:$A$200,0)))</f>
        <v>Batu bata merah</v>
      </c>
      <c r="C82" s="18" t="str">
        <f aca="false">IF(LEFT($A82,1)="B",INDEX('Harga Bahan'!$C$5:$C$200,MATCH($A82,'Harga Bahan'!$A$5:$A$200,0)),INDEX('Harga Upah'!$C$5:$C$200,MATCH($A82,'Harga Upah'!$A$5:$A$200,0)))</f>
        <v>bh</v>
      </c>
      <c r="D82" s="31" t="n">
        <v>70</v>
      </c>
      <c r="E82" s="20" t="n">
        <f aca="false">IF(LEFT($A82,1)="B",INDEX('Harga Bahan'!$D$5:$D$200,MATCH($A82,'Harga Bahan'!$A$5:$A$200,0)),INDEX('Harga Upah'!$D$5:$D$200,MATCH($A82,'Harga Upah'!$A$5:$A$200,0)))</f>
        <v>900</v>
      </c>
      <c r="F82" s="21" t="n">
        <f aca="false">D82*E82</f>
        <v>63000</v>
      </c>
      <c r="G82" s="15" t="s">
        <v>101</v>
      </c>
    </row>
    <row r="83" customFormat="false" ht="15" hidden="false" customHeight="false" outlineLevel="0" collapsed="false">
      <c r="A83" s="30" t="s">
        <v>104</v>
      </c>
      <c r="B83" s="16" t="str">
        <f aca="false">IF(LEFT($A83,1)="B",INDEX('Harga Bahan'!$B$5:$B$200,MATCH($A83,'Harga Bahan'!$A$5:$A$200,0)),INDEX('Harga Upah'!$B$5:$B$200,MATCH($A83,'Harga Upah'!$A$5:$A$200,0)))</f>
        <v>Semen Portland (PC)</v>
      </c>
      <c r="C83" s="18" t="str">
        <f aca="false">IF(LEFT($A83,1)="B",INDEX('Harga Bahan'!$C$5:$C$200,MATCH($A83,'Harga Bahan'!$A$5:$A$200,0)),INDEX('Harga Upah'!$C$5:$C$200,MATCH($A83,'Harga Upah'!$A$5:$A$200,0)))</f>
        <v>kg</v>
      </c>
      <c r="D83" s="31" t="n">
        <v>11.5</v>
      </c>
      <c r="E83" s="20" t="n">
        <f aca="false">IF(LEFT($A83,1)="B",INDEX('Harga Bahan'!$D$5:$D$200,MATCH($A83,'Harga Bahan'!$A$5:$A$200,0)),INDEX('Harga Upah'!$D$5:$D$200,MATCH($A83,'Harga Upah'!$A$5:$A$200,0)))</f>
        <v>1450</v>
      </c>
      <c r="F83" s="21" t="n">
        <f aca="false">D83*E83</f>
        <v>16675</v>
      </c>
      <c r="G83" s="15" t="s">
        <v>101</v>
      </c>
    </row>
    <row r="84" customFormat="false" ht="15" hidden="false" customHeight="false" outlineLevel="0" collapsed="false">
      <c r="A84" s="30" t="s">
        <v>100</v>
      </c>
      <c r="B84" s="16" t="str">
        <f aca="false">IF(LEFT($A84,1)="B",INDEX('Harga Bahan'!$B$5:$B$200,MATCH($A84,'Harga Bahan'!$A$5:$A$200,0)),INDEX('Harga Upah'!$B$5:$B$200,MATCH($A84,'Harga Upah'!$A$5:$A$200,0)))</f>
        <v>Pasir pasang</v>
      </c>
      <c r="C84" s="18" t="str">
        <f aca="false">IF(LEFT($A84,1)="B",INDEX('Harga Bahan'!$C$5:$C$200,MATCH($A84,'Harga Bahan'!$A$5:$A$200,0)),INDEX('Harga Upah'!$C$5:$C$200,MATCH($A84,'Harga Upah'!$A$5:$A$200,0)))</f>
        <v>m³</v>
      </c>
      <c r="D84" s="31" t="n">
        <v>0.043</v>
      </c>
      <c r="E84" s="20" t="n">
        <f aca="false">IF(LEFT($A84,1)="B",INDEX('Harga Bahan'!$D$5:$D$200,MATCH($A84,'Harga Bahan'!$A$5:$A$200,0)),INDEX('Harga Upah'!$D$5:$D$200,MATCH($A84,'Harga Upah'!$A$5:$A$200,0)))</f>
        <v>260000</v>
      </c>
      <c r="F84" s="21" t="n">
        <f aca="false">D84*E84</f>
        <v>11180</v>
      </c>
      <c r="G84" s="15" t="s">
        <v>101</v>
      </c>
    </row>
    <row r="85" customFormat="false" ht="15" hidden="false" customHeight="false" outlineLevel="0" collapsed="false">
      <c r="A85" s="30" t="s">
        <v>91</v>
      </c>
      <c r="B85" s="16" t="str">
        <f aca="false">IF(LEFT($A85,1)="B",INDEX('Harga Bahan'!$B$5:$B$200,MATCH($A85,'Harga Bahan'!$A$5:$A$200,0)),INDEX('Harga Upah'!$B$5:$B$200,MATCH($A85,'Harga Upah'!$A$5:$A$200,0)))</f>
        <v>Pekerja</v>
      </c>
      <c r="C85" s="18" t="str">
        <f aca="false">IF(LEFT($A85,1)="B",INDEX('Harga Bahan'!$C$5:$C$200,MATCH($A85,'Harga Bahan'!$A$5:$A$200,0)),INDEX('Harga Upah'!$C$5:$C$200,MATCH($A85,'Harga Upah'!$A$5:$A$200,0)))</f>
        <v>OH</v>
      </c>
      <c r="D85" s="31" t="n">
        <v>0.3</v>
      </c>
      <c r="E85" s="20" t="n">
        <f aca="false">IF(LEFT($A85,1)="B",INDEX('Harga Bahan'!$D$5:$D$200,MATCH($A85,'Harga Bahan'!$A$5:$A$200,0)),INDEX('Harga Upah'!$D$5:$D$200,MATCH($A85,'Harga Upah'!$A$5:$A$200,0)))</f>
        <v>130000</v>
      </c>
      <c r="F85" s="21" t="n">
        <f aca="false">D85*E85</f>
        <v>39000</v>
      </c>
      <c r="G85" s="15" t="s">
        <v>92</v>
      </c>
    </row>
    <row r="86" customFormat="false" ht="15" hidden="false" customHeight="false" outlineLevel="0" collapsed="false">
      <c r="A86" s="30" t="s">
        <v>105</v>
      </c>
      <c r="B86" s="16" t="str">
        <f aca="false">IF(LEFT($A86,1)="B",INDEX('Harga Bahan'!$B$5:$B$200,MATCH($A86,'Harga Bahan'!$A$5:$A$200,0)),INDEX('Harga Upah'!$B$5:$B$200,MATCH($A86,'Harga Upah'!$A$5:$A$200,0)))</f>
        <v>Tukang batu</v>
      </c>
      <c r="C86" s="18" t="str">
        <f aca="false">IF(LEFT($A86,1)="B",INDEX('Harga Bahan'!$C$5:$C$200,MATCH($A86,'Harga Bahan'!$A$5:$A$200,0)),INDEX('Harga Upah'!$C$5:$C$200,MATCH($A86,'Harga Upah'!$A$5:$A$200,0)))</f>
        <v>OH</v>
      </c>
      <c r="D86" s="31" t="n">
        <v>0.1</v>
      </c>
      <c r="E86" s="20" t="n">
        <f aca="false">IF(LEFT($A86,1)="B",INDEX('Harga Bahan'!$D$5:$D$200,MATCH($A86,'Harga Bahan'!$A$5:$A$200,0)),INDEX('Harga Upah'!$D$5:$D$200,MATCH($A86,'Harga Upah'!$A$5:$A$200,0)))</f>
        <v>160000</v>
      </c>
      <c r="F86" s="21" t="n">
        <f aca="false">D86*E86</f>
        <v>16000</v>
      </c>
      <c r="G86" s="15" t="s">
        <v>92</v>
      </c>
    </row>
    <row r="87" customFormat="false" ht="15" hidden="false" customHeight="false" outlineLevel="0" collapsed="false">
      <c r="A87" s="30" t="s">
        <v>106</v>
      </c>
      <c r="B87" s="16" t="str">
        <f aca="false">IF(LEFT($A87,1)="B",INDEX('Harga Bahan'!$B$5:$B$200,MATCH($A87,'Harga Bahan'!$A$5:$A$200,0)),INDEX('Harga Upah'!$B$5:$B$200,MATCH($A87,'Harga Upah'!$A$5:$A$200,0)))</f>
        <v>Kepala tukang</v>
      </c>
      <c r="C87" s="18" t="str">
        <f aca="false">IF(LEFT($A87,1)="B",INDEX('Harga Bahan'!$C$5:$C$200,MATCH($A87,'Harga Bahan'!$A$5:$A$200,0)),INDEX('Harga Upah'!$C$5:$C$200,MATCH($A87,'Harga Upah'!$A$5:$A$200,0)))</f>
        <v>OH</v>
      </c>
      <c r="D87" s="31" t="n">
        <v>0.01</v>
      </c>
      <c r="E87" s="20" t="n">
        <f aca="false">IF(LEFT($A87,1)="B",INDEX('Harga Bahan'!$D$5:$D$200,MATCH($A87,'Harga Bahan'!$A$5:$A$200,0)),INDEX('Harga Upah'!$D$5:$D$200,MATCH($A87,'Harga Upah'!$A$5:$A$200,0)))</f>
        <v>175000</v>
      </c>
      <c r="F87" s="21" t="n">
        <f aca="false">D87*E87</f>
        <v>1750</v>
      </c>
      <c r="G87" s="15" t="s">
        <v>92</v>
      </c>
    </row>
    <row r="88" customFormat="false" ht="15" hidden="false" customHeight="false" outlineLevel="0" collapsed="false">
      <c r="A88" s="30" t="s">
        <v>93</v>
      </c>
      <c r="B88" s="16" t="str">
        <f aca="false">IF(LEFT($A88,1)="B",INDEX('Harga Bahan'!$B$5:$B$200,MATCH($A88,'Harga Bahan'!$A$5:$A$200,0)),INDEX('Harga Upah'!$B$5:$B$200,MATCH($A88,'Harga Upah'!$A$5:$A$200,0)))</f>
        <v>Mandor</v>
      </c>
      <c r="C88" s="18" t="str">
        <f aca="false">IF(LEFT($A88,1)="B",INDEX('Harga Bahan'!$C$5:$C$200,MATCH($A88,'Harga Bahan'!$A$5:$A$200,0)),INDEX('Harga Upah'!$C$5:$C$200,MATCH($A88,'Harga Upah'!$A$5:$A$200,0)))</f>
        <v>OH</v>
      </c>
      <c r="D88" s="31" t="n">
        <v>0.015</v>
      </c>
      <c r="E88" s="20" t="n">
        <f aca="false">IF(LEFT($A88,1)="B",INDEX('Harga Bahan'!$D$5:$D$200,MATCH($A88,'Harga Bahan'!$A$5:$A$200,0)),INDEX('Harga Upah'!$D$5:$D$200,MATCH($A88,'Harga Upah'!$A$5:$A$200,0)))</f>
        <v>190000</v>
      </c>
      <c r="F88" s="21" t="n">
        <f aca="false">D88*E88</f>
        <v>2850</v>
      </c>
      <c r="G88" s="15" t="s">
        <v>92</v>
      </c>
    </row>
    <row r="89" customFormat="false" ht="15" hidden="false" customHeight="false" outlineLevel="0" collapsed="false">
      <c r="A89" s="23"/>
      <c r="B89" s="23" t="s">
        <v>94</v>
      </c>
      <c r="C89" s="23"/>
      <c r="D89" s="23"/>
      <c r="E89" s="23"/>
      <c r="F89" s="32" t="n">
        <f aca="false">SUMIF(G82:G88,"Bahan",F82:F88)</f>
        <v>90855</v>
      </c>
      <c r="G89" s="23"/>
    </row>
    <row r="90" customFormat="false" ht="15" hidden="false" customHeight="false" outlineLevel="0" collapsed="false">
      <c r="A90" s="23"/>
      <c r="B90" s="23" t="s">
        <v>95</v>
      </c>
      <c r="C90" s="23"/>
      <c r="D90" s="23"/>
      <c r="E90" s="23"/>
      <c r="F90" s="32" t="n">
        <f aca="false">SUMIF(G82:G88,"Upah",F82:F88)</f>
        <v>59600</v>
      </c>
      <c r="G90" s="23"/>
    </row>
    <row r="91" customFormat="false" ht="15" hidden="false" customHeight="false" outlineLevel="0" collapsed="false">
      <c r="A91" s="23"/>
      <c r="B91" s="23" t="str">
        <f aca="false">"Overhead &amp; profit ("&amp;TEXT('Informasi Project'!$B$16,"0.0%")&amp;")"</f>
        <v>Overhead &amp; profit (15.0%)</v>
      </c>
      <c r="C91" s="23"/>
      <c r="D91" s="23"/>
      <c r="E91" s="23"/>
      <c r="F91" s="32" t="n">
        <f aca="false">(F89+F90)*'Informasi Project'!$B$16</f>
        <v>22568.25</v>
      </c>
      <c r="G91" s="23"/>
    </row>
    <row r="92" customFormat="false" ht="15" hidden="false" customHeight="false" outlineLevel="0" collapsed="false">
      <c r="A92" s="14"/>
      <c r="B92" s="3" t="s">
        <v>96</v>
      </c>
      <c r="C92" s="14"/>
      <c r="D92" s="14"/>
      <c r="E92" s="14"/>
      <c r="F92" s="27" t="n">
        <f aca="false">F89+F90+F91</f>
        <v>173023.25</v>
      </c>
      <c r="G92" s="14"/>
    </row>
    <row r="94" customFormat="false" ht="15" hidden="false" customHeight="false" outlineLevel="0" collapsed="false">
      <c r="A94" s="3" t="s">
        <v>57</v>
      </c>
      <c r="B94" s="3" t="s">
        <v>122</v>
      </c>
      <c r="C94" s="3" t="s">
        <v>89</v>
      </c>
      <c r="D94" s="3"/>
      <c r="E94" s="29" t="s">
        <v>90</v>
      </c>
      <c r="F94" s="27" t="n">
        <f aca="false">F104</f>
        <v>96327.45</v>
      </c>
      <c r="G94" s="3"/>
    </row>
    <row r="95" customFormat="false" ht="15" hidden="false" customHeight="false" outlineLevel="0" collapsed="false">
      <c r="A95" s="30" t="s">
        <v>104</v>
      </c>
      <c r="B95" s="16" t="str">
        <f aca="false">IF(LEFT($A95,1)="B",INDEX('Harga Bahan'!$B$5:$B$200,MATCH($A95,'Harga Bahan'!$A$5:$A$200,0)),INDEX('Harga Upah'!$B$5:$B$200,MATCH($A95,'Harga Upah'!$A$5:$A$200,0)))</f>
        <v>Semen Portland (PC)</v>
      </c>
      <c r="C95" s="18" t="str">
        <f aca="false">IF(LEFT($A95,1)="B",INDEX('Harga Bahan'!$C$5:$C$200,MATCH($A95,'Harga Bahan'!$A$5:$A$200,0)),INDEX('Harga Upah'!$C$5:$C$200,MATCH($A95,'Harga Upah'!$A$5:$A$200,0)))</f>
        <v>kg</v>
      </c>
      <c r="D95" s="31" t="n">
        <v>6.24</v>
      </c>
      <c r="E95" s="20" t="n">
        <f aca="false">IF(LEFT($A95,1)="B",INDEX('Harga Bahan'!$D$5:$D$200,MATCH($A95,'Harga Bahan'!$A$5:$A$200,0)),INDEX('Harga Upah'!$D$5:$D$200,MATCH($A95,'Harga Upah'!$A$5:$A$200,0)))</f>
        <v>1450</v>
      </c>
      <c r="F95" s="21" t="n">
        <f aca="false">D95*E95</f>
        <v>9048</v>
      </c>
      <c r="G95" s="15" t="s">
        <v>101</v>
      </c>
    </row>
    <row r="96" customFormat="false" ht="15" hidden="false" customHeight="false" outlineLevel="0" collapsed="false">
      <c r="A96" s="30" t="s">
        <v>100</v>
      </c>
      <c r="B96" s="16" t="str">
        <f aca="false">IF(LEFT($A96,1)="B",INDEX('Harga Bahan'!$B$5:$B$200,MATCH($A96,'Harga Bahan'!$A$5:$A$200,0)),INDEX('Harga Upah'!$B$5:$B$200,MATCH($A96,'Harga Upah'!$A$5:$A$200,0)))</f>
        <v>Pasir pasang</v>
      </c>
      <c r="C96" s="18" t="str">
        <f aca="false">IF(LEFT($A96,1)="B",INDEX('Harga Bahan'!$C$5:$C$200,MATCH($A96,'Harga Bahan'!$A$5:$A$200,0)),INDEX('Harga Upah'!$C$5:$C$200,MATCH($A96,'Harga Upah'!$A$5:$A$200,0)))</f>
        <v>m³</v>
      </c>
      <c r="D96" s="31" t="n">
        <v>0.024</v>
      </c>
      <c r="E96" s="20" t="n">
        <f aca="false">IF(LEFT($A96,1)="B",INDEX('Harga Bahan'!$D$5:$D$200,MATCH($A96,'Harga Bahan'!$A$5:$A$200,0)),INDEX('Harga Upah'!$D$5:$D$200,MATCH($A96,'Harga Upah'!$A$5:$A$200,0)))</f>
        <v>260000</v>
      </c>
      <c r="F96" s="21" t="n">
        <f aca="false">D96*E96</f>
        <v>6240</v>
      </c>
      <c r="G96" s="15" t="s">
        <v>101</v>
      </c>
    </row>
    <row r="97" customFormat="false" ht="15" hidden="false" customHeight="false" outlineLevel="0" collapsed="false">
      <c r="A97" s="30" t="s">
        <v>91</v>
      </c>
      <c r="B97" s="16" t="str">
        <f aca="false">IF(LEFT($A97,1)="B",INDEX('Harga Bahan'!$B$5:$B$200,MATCH($A97,'Harga Bahan'!$A$5:$A$200,0)),INDEX('Harga Upah'!$B$5:$B$200,MATCH($A97,'Harga Upah'!$A$5:$A$200,0)))</f>
        <v>Pekerja</v>
      </c>
      <c r="C97" s="18" t="str">
        <f aca="false">IF(LEFT($A97,1)="B",INDEX('Harga Bahan'!$C$5:$C$200,MATCH($A97,'Harga Bahan'!$A$5:$A$200,0)),INDEX('Harga Upah'!$C$5:$C$200,MATCH($A97,'Harga Upah'!$A$5:$A$200,0)))</f>
        <v>OH</v>
      </c>
      <c r="D97" s="31" t="n">
        <v>0.3</v>
      </c>
      <c r="E97" s="20" t="n">
        <f aca="false">IF(LEFT($A97,1)="B",INDEX('Harga Bahan'!$D$5:$D$200,MATCH($A97,'Harga Bahan'!$A$5:$A$200,0)),INDEX('Harga Upah'!$D$5:$D$200,MATCH($A97,'Harga Upah'!$A$5:$A$200,0)))</f>
        <v>130000</v>
      </c>
      <c r="F97" s="21" t="n">
        <f aca="false">D97*E97</f>
        <v>39000</v>
      </c>
      <c r="G97" s="15" t="s">
        <v>92</v>
      </c>
    </row>
    <row r="98" customFormat="false" ht="15" hidden="false" customHeight="false" outlineLevel="0" collapsed="false">
      <c r="A98" s="30" t="s">
        <v>105</v>
      </c>
      <c r="B98" s="16" t="str">
        <f aca="false">IF(LEFT($A98,1)="B",INDEX('Harga Bahan'!$B$5:$B$200,MATCH($A98,'Harga Bahan'!$A$5:$A$200,0)),INDEX('Harga Upah'!$B$5:$B$200,MATCH($A98,'Harga Upah'!$A$5:$A$200,0)))</f>
        <v>Tukang batu</v>
      </c>
      <c r="C98" s="18" t="str">
        <f aca="false">IF(LEFT($A98,1)="B",INDEX('Harga Bahan'!$C$5:$C$200,MATCH($A98,'Harga Bahan'!$A$5:$A$200,0)),INDEX('Harga Upah'!$C$5:$C$200,MATCH($A98,'Harga Upah'!$A$5:$A$200,0)))</f>
        <v>OH</v>
      </c>
      <c r="D98" s="31" t="n">
        <v>0.15</v>
      </c>
      <c r="E98" s="20" t="n">
        <f aca="false">IF(LEFT($A98,1)="B",INDEX('Harga Bahan'!$D$5:$D$200,MATCH($A98,'Harga Bahan'!$A$5:$A$200,0)),INDEX('Harga Upah'!$D$5:$D$200,MATCH($A98,'Harga Upah'!$A$5:$A$200,0)))</f>
        <v>160000</v>
      </c>
      <c r="F98" s="21" t="n">
        <f aca="false">D98*E98</f>
        <v>24000</v>
      </c>
      <c r="G98" s="15" t="s">
        <v>92</v>
      </c>
    </row>
    <row r="99" customFormat="false" ht="15" hidden="false" customHeight="false" outlineLevel="0" collapsed="false">
      <c r="A99" s="30" t="s">
        <v>106</v>
      </c>
      <c r="B99" s="16" t="str">
        <f aca="false">IF(LEFT($A99,1)="B",INDEX('Harga Bahan'!$B$5:$B$200,MATCH($A99,'Harga Bahan'!$A$5:$A$200,0)),INDEX('Harga Upah'!$B$5:$B$200,MATCH($A99,'Harga Upah'!$A$5:$A$200,0)))</f>
        <v>Kepala tukang</v>
      </c>
      <c r="C99" s="18" t="str">
        <f aca="false">IF(LEFT($A99,1)="B",INDEX('Harga Bahan'!$C$5:$C$200,MATCH($A99,'Harga Bahan'!$A$5:$A$200,0)),INDEX('Harga Upah'!$C$5:$C$200,MATCH($A99,'Harga Upah'!$A$5:$A$200,0)))</f>
        <v>OH</v>
      </c>
      <c r="D99" s="31" t="n">
        <v>0.015</v>
      </c>
      <c r="E99" s="20" t="n">
        <f aca="false">IF(LEFT($A99,1)="B",INDEX('Harga Bahan'!$D$5:$D$200,MATCH($A99,'Harga Bahan'!$A$5:$A$200,0)),INDEX('Harga Upah'!$D$5:$D$200,MATCH($A99,'Harga Upah'!$A$5:$A$200,0)))</f>
        <v>175000</v>
      </c>
      <c r="F99" s="21" t="n">
        <f aca="false">D99*E99</f>
        <v>2625</v>
      </c>
      <c r="G99" s="15" t="s">
        <v>92</v>
      </c>
    </row>
    <row r="100" customFormat="false" ht="15" hidden="false" customHeight="false" outlineLevel="0" collapsed="false">
      <c r="A100" s="30" t="s">
        <v>93</v>
      </c>
      <c r="B100" s="16" t="str">
        <f aca="false">IF(LEFT($A100,1)="B",INDEX('Harga Bahan'!$B$5:$B$200,MATCH($A100,'Harga Bahan'!$A$5:$A$200,0)),INDEX('Harga Upah'!$B$5:$B$200,MATCH($A100,'Harga Upah'!$A$5:$A$200,0)))</f>
        <v>Mandor</v>
      </c>
      <c r="C100" s="18" t="str">
        <f aca="false">IF(LEFT($A100,1)="B",INDEX('Harga Bahan'!$C$5:$C$200,MATCH($A100,'Harga Bahan'!$A$5:$A$200,0)),INDEX('Harga Upah'!$C$5:$C$200,MATCH($A100,'Harga Upah'!$A$5:$A$200,0)))</f>
        <v>OH</v>
      </c>
      <c r="D100" s="31" t="n">
        <v>0.015</v>
      </c>
      <c r="E100" s="20" t="n">
        <f aca="false">IF(LEFT($A100,1)="B",INDEX('Harga Bahan'!$D$5:$D$200,MATCH($A100,'Harga Bahan'!$A$5:$A$200,0)),INDEX('Harga Upah'!$D$5:$D$200,MATCH($A100,'Harga Upah'!$A$5:$A$200,0)))</f>
        <v>190000</v>
      </c>
      <c r="F100" s="21" t="n">
        <f aca="false">D100*E100</f>
        <v>2850</v>
      </c>
      <c r="G100" s="15" t="s">
        <v>92</v>
      </c>
    </row>
    <row r="101" customFormat="false" ht="15" hidden="false" customHeight="false" outlineLevel="0" collapsed="false">
      <c r="A101" s="23"/>
      <c r="B101" s="23" t="s">
        <v>94</v>
      </c>
      <c r="C101" s="23"/>
      <c r="D101" s="23"/>
      <c r="E101" s="23"/>
      <c r="F101" s="32" t="n">
        <f aca="false">SUMIF(G95:G100,"Bahan",F95:F100)</f>
        <v>15288</v>
      </c>
      <c r="G101" s="23"/>
    </row>
    <row r="102" customFormat="false" ht="15" hidden="false" customHeight="false" outlineLevel="0" collapsed="false">
      <c r="A102" s="23"/>
      <c r="B102" s="23" t="s">
        <v>95</v>
      </c>
      <c r="C102" s="23"/>
      <c r="D102" s="23"/>
      <c r="E102" s="23"/>
      <c r="F102" s="32" t="n">
        <f aca="false">SUMIF(G95:G100,"Upah",F95:F100)</f>
        <v>68475</v>
      </c>
      <c r="G102" s="23"/>
    </row>
    <row r="103" customFormat="false" ht="15" hidden="false" customHeight="false" outlineLevel="0" collapsed="false">
      <c r="A103" s="23"/>
      <c r="B103" s="23" t="str">
        <f aca="false">"Overhead &amp; profit ("&amp;TEXT('Informasi Project'!$B$16,"0.0%")&amp;")"</f>
        <v>Overhead &amp; profit (15.0%)</v>
      </c>
      <c r="C103" s="23"/>
      <c r="D103" s="23"/>
      <c r="E103" s="23"/>
      <c r="F103" s="32" t="n">
        <f aca="false">(F101+F102)*'Informasi Project'!$B$16</f>
        <v>12564.45</v>
      </c>
      <c r="G103" s="23"/>
    </row>
    <row r="104" customFormat="false" ht="15" hidden="false" customHeight="false" outlineLevel="0" collapsed="false">
      <c r="A104" s="14"/>
      <c r="B104" s="3" t="s">
        <v>96</v>
      </c>
      <c r="C104" s="14"/>
      <c r="D104" s="14"/>
      <c r="E104" s="14"/>
      <c r="F104" s="27" t="n">
        <f aca="false">F101+F102+F103</f>
        <v>96327.45</v>
      </c>
      <c r="G104" s="14"/>
    </row>
    <row r="106" customFormat="false" ht="15" hidden="false" customHeight="false" outlineLevel="0" collapsed="false">
      <c r="A106" s="3" t="s">
        <v>61</v>
      </c>
      <c r="B106" s="3" t="s">
        <v>123</v>
      </c>
      <c r="C106" s="3" t="s">
        <v>89</v>
      </c>
      <c r="D106" s="3"/>
      <c r="E106" s="29" t="s">
        <v>90</v>
      </c>
      <c r="F106" s="27" t="n">
        <f aca="false">F117</f>
        <v>260245</v>
      </c>
      <c r="G106" s="3"/>
    </row>
    <row r="107" customFormat="false" ht="15" hidden="false" customHeight="false" outlineLevel="0" collapsed="false">
      <c r="A107" s="30" t="s">
        <v>124</v>
      </c>
      <c r="B107" s="16" t="str">
        <f aca="false">IF(LEFT($A107,1)="B",INDEX('Harga Bahan'!$B$5:$B$200,MATCH($A107,'Harga Bahan'!$A$5:$A$200,0)),INDEX('Harga Upah'!$B$5:$B$200,MATCH($A107,'Harga Upah'!$A$5:$A$200,0)))</f>
        <v>Genteng beton</v>
      </c>
      <c r="C107" s="18" t="str">
        <f aca="false">IF(LEFT($A107,1)="B",INDEX('Harga Bahan'!$C$5:$C$200,MATCH($A107,'Harga Bahan'!$A$5:$A$200,0)),INDEX('Harga Upah'!$C$5:$C$200,MATCH($A107,'Harga Upah'!$A$5:$A$200,0)))</f>
        <v>bh</v>
      </c>
      <c r="D107" s="31" t="n">
        <v>11</v>
      </c>
      <c r="E107" s="20" t="n">
        <f aca="false">IF(LEFT($A107,1)="B",INDEX('Harga Bahan'!$D$5:$D$200,MATCH($A107,'Harga Bahan'!$A$5:$A$200,0)),INDEX('Harga Upah'!$D$5:$D$200,MATCH($A107,'Harga Upah'!$A$5:$A$200,0)))</f>
        <v>7500</v>
      </c>
      <c r="F107" s="21" t="n">
        <f aca="false">D107*E107</f>
        <v>82500</v>
      </c>
      <c r="G107" s="15" t="s">
        <v>101</v>
      </c>
    </row>
    <row r="108" customFormat="false" ht="15" hidden="false" customHeight="false" outlineLevel="0" collapsed="false">
      <c r="A108" s="30" t="s">
        <v>117</v>
      </c>
      <c r="B108" s="16" t="str">
        <f aca="false">IF(LEFT($A108,1)="B",INDEX('Harga Bahan'!$B$5:$B$200,MATCH($A108,'Harga Bahan'!$A$5:$A$200,0)),INDEX('Harga Upah'!$B$5:$B$200,MATCH($A108,'Harga Upah'!$A$5:$A$200,0)))</f>
        <v>Kayu kelas II/III (balok, usuk, reng)</v>
      </c>
      <c r="C108" s="18" t="str">
        <f aca="false">IF(LEFT($A108,1)="B",INDEX('Harga Bahan'!$C$5:$C$200,MATCH($A108,'Harga Bahan'!$A$5:$A$200,0)),INDEX('Harga Upah'!$C$5:$C$200,MATCH($A108,'Harga Upah'!$A$5:$A$200,0)))</f>
        <v>m³</v>
      </c>
      <c r="D108" s="31" t="n">
        <v>0.02</v>
      </c>
      <c r="E108" s="20" t="n">
        <f aca="false">IF(LEFT($A108,1)="B",INDEX('Harga Bahan'!$D$5:$D$200,MATCH($A108,'Harga Bahan'!$A$5:$A$200,0)),INDEX('Harga Upah'!$D$5:$D$200,MATCH($A108,'Harga Upah'!$A$5:$A$200,0)))</f>
        <v>3800000</v>
      </c>
      <c r="F108" s="21" t="n">
        <f aca="false">D108*E108</f>
        <v>76000</v>
      </c>
      <c r="G108" s="15" t="s">
        <v>101</v>
      </c>
    </row>
    <row r="109" customFormat="false" ht="15" hidden="false" customHeight="false" outlineLevel="0" collapsed="false">
      <c r="A109" s="30" t="s">
        <v>118</v>
      </c>
      <c r="B109" s="16" t="str">
        <f aca="false">IF(LEFT($A109,1)="B",INDEX('Harga Bahan'!$B$5:$B$200,MATCH($A109,'Harga Bahan'!$A$5:$A$200,0)),INDEX('Harga Upah'!$B$5:$B$200,MATCH($A109,'Harga Upah'!$A$5:$A$200,0)))</f>
        <v>Paku campuran</v>
      </c>
      <c r="C109" s="18" t="str">
        <f aca="false">IF(LEFT($A109,1)="B",INDEX('Harga Bahan'!$C$5:$C$200,MATCH($A109,'Harga Bahan'!$A$5:$A$200,0)),INDEX('Harga Upah'!$C$5:$C$200,MATCH($A109,'Harga Upah'!$A$5:$A$200,0)))</f>
        <v>kg</v>
      </c>
      <c r="D109" s="31" t="n">
        <v>0.2</v>
      </c>
      <c r="E109" s="20" t="n">
        <f aca="false">IF(LEFT($A109,1)="B",INDEX('Harga Bahan'!$D$5:$D$200,MATCH($A109,'Harga Bahan'!$A$5:$A$200,0)),INDEX('Harga Upah'!$D$5:$D$200,MATCH($A109,'Harga Upah'!$A$5:$A$200,0)))</f>
        <v>22000</v>
      </c>
      <c r="F109" s="21" t="n">
        <f aca="false">D109*E109</f>
        <v>4400</v>
      </c>
      <c r="G109" s="15" t="s">
        <v>101</v>
      </c>
    </row>
    <row r="110" customFormat="false" ht="15" hidden="false" customHeight="false" outlineLevel="0" collapsed="false">
      <c r="A110" s="30" t="s">
        <v>91</v>
      </c>
      <c r="B110" s="16" t="str">
        <f aca="false">IF(LEFT($A110,1)="B",INDEX('Harga Bahan'!$B$5:$B$200,MATCH($A110,'Harga Bahan'!$A$5:$A$200,0)),INDEX('Harga Upah'!$B$5:$B$200,MATCH($A110,'Harga Upah'!$A$5:$A$200,0)))</f>
        <v>Pekerja</v>
      </c>
      <c r="C110" s="18" t="str">
        <f aca="false">IF(LEFT($A110,1)="B",INDEX('Harga Bahan'!$C$5:$C$200,MATCH($A110,'Harga Bahan'!$A$5:$A$200,0)),INDEX('Harga Upah'!$C$5:$C$200,MATCH($A110,'Harga Upah'!$A$5:$A$200,0)))</f>
        <v>OH</v>
      </c>
      <c r="D110" s="31" t="n">
        <v>0.2</v>
      </c>
      <c r="E110" s="20" t="n">
        <f aca="false">IF(LEFT($A110,1)="B",INDEX('Harga Bahan'!$D$5:$D$200,MATCH($A110,'Harga Bahan'!$A$5:$A$200,0)),INDEX('Harga Upah'!$D$5:$D$200,MATCH($A110,'Harga Upah'!$A$5:$A$200,0)))</f>
        <v>130000</v>
      </c>
      <c r="F110" s="21" t="n">
        <f aca="false">D110*E110</f>
        <v>26000</v>
      </c>
      <c r="G110" s="15" t="s">
        <v>92</v>
      </c>
    </row>
    <row r="111" customFormat="false" ht="15" hidden="false" customHeight="false" outlineLevel="0" collapsed="false">
      <c r="A111" s="30" t="s">
        <v>119</v>
      </c>
      <c r="B111" s="16" t="str">
        <f aca="false">IF(LEFT($A111,1)="B",INDEX('Harga Bahan'!$B$5:$B$200,MATCH($A111,'Harga Bahan'!$A$5:$A$200,0)),INDEX('Harga Upah'!$B$5:$B$200,MATCH($A111,'Harga Upah'!$A$5:$A$200,0)))</f>
        <v>Tukang kayu</v>
      </c>
      <c r="C111" s="18" t="str">
        <f aca="false">IF(LEFT($A111,1)="B",INDEX('Harga Bahan'!$C$5:$C$200,MATCH($A111,'Harga Bahan'!$A$5:$A$200,0)),INDEX('Harga Upah'!$C$5:$C$200,MATCH($A111,'Harga Upah'!$A$5:$A$200,0)))</f>
        <v>OH</v>
      </c>
      <c r="D111" s="31" t="n">
        <v>0.2</v>
      </c>
      <c r="E111" s="20" t="n">
        <f aca="false">IF(LEFT($A111,1)="B",INDEX('Harga Bahan'!$D$5:$D$200,MATCH($A111,'Harga Bahan'!$A$5:$A$200,0)),INDEX('Harga Upah'!$D$5:$D$200,MATCH($A111,'Harga Upah'!$A$5:$A$200,0)))</f>
        <v>160000</v>
      </c>
      <c r="F111" s="21" t="n">
        <f aca="false">D111*E111</f>
        <v>32000</v>
      </c>
      <c r="G111" s="15" t="s">
        <v>92</v>
      </c>
    </row>
    <row r="112" customFormat="false" ht="15" hidden="false" customHeight="false" outlineLevel="0" collapsed="false">
      <c r="A112" s="30" t="s">
        <v>106</v>
      </c>
      <c r="B112" s="16" t="str">
        <f aca="false">IF(LEFT($A112,1)="B",INDEX('Harga Bahan'!$B$5:$B$200,MATCH($A112,'Harga Bahan'!$A$5:$A$200,0)),INDEX('Harga Upah'!$B$5:$B$200,MATCH($A112,'Harga Upah'!$A$5:$A$200,0)))</f>
        <v>Kepala tukang</v>
      </c>
      <c r="C112" s="18" t="str">
        <f aca="false">IF(LEFT($A112,1)="B",INDEX('Harga Bahan'!$C$5:$C$200,MATCH($A112,'Harga Bahan'!$A$5:$A$200,0)),INDEX('Harga Upah'!$C$5:$C$200,MATCH($A112,'Harga Upah'!$A$5:$A$200,0)))</f>
        <v>OH</v>
      </c>
      <c r="D112" s="31" t="n">
        <v>0.02</v>
      </c>
      <c r="E112" s="20" t="n">
        <f aca="false">IF(LEFT($A112,1)="B",INDEX('Harga Bahan'!$D$5:$D$200,MATCH($A112,'Harga Bahan'!$A$5:$A$200,0)),INDEX('Harga Upah'!$D$5:$D$200,MATCH($A112,'Harga Upah'!$A$5:$A$200,0)))</f>
        <v>175000</v>
      </c>
      <c r="F112" s="21" t="n">
        <f aca="false">D112*E112</f>
        <v>3500</v>
      </c>
      <c r="G112" s="15" t="s">
        <v>92</v>
      </c>
    </row>
    <row r="113" customFormat="false" ht="15" hidden="false" customHeight="false" outlineLevel="0" collapsed="false">
      <c r="A113" s="30" t="s">
        <v>93</v>
      </c>
      <c r="B113" s="16" t="str">
        <f aca="false">IF(LEFT($A113,1)="B",INDEX('Harga Bahan'!$B$5:$B$200,MATCH($A113,'Harga Bahan'!$A$5:$A$200,0)),INDEX('Harga Upah'!$B$5:$B$200,MATCH($A113,'Harga Upah'!$A$5:$A$200,0)))</f>
        <v>Mandor</v>
      </c>
      <c r="C113" s="18" t="str">
        <f aca="false">IF(LEFT($A113,1)="B",INDEX('Harga Bahan'!$C$5:$C$200,MATCH($A113,'Harga Bahan'!$A$5:$A$200,0)),INDEX('Harga Upah'!$C$5:$C$200,MATCH($A113,'Harga Upah'!$A$5:$A$200,0)))</f>
        <v>OH</v>
      </c>
      <c r="D113" s="31" t="n">
        <v>0.01</v>
      </c>
      <c r="E113" s="20" t="n">
        <f aca="false">IF(LEFT($A113,1)="B",INDEX('Harga Bahan'!$D$5:$D$200,MATCH($A113,'Harga Bahan'!$A$5:$A$200,0)),INDEX('Harga Upah'!$D$5:$D$200,MATCH($A113,'Harga Upah'!$A$5:$A$200,0)))</f>
        <v>190000</v>
      </c>
      <c r="F113" s="21" t="n">
        <f aca="false">D113*E113</f>
        <v>1900</v>
      </c>
      <c r="G113" s="15" t="s">
        <v>92</v>
      </c>
    </row>
    <row r="114" customFormat="false" ht="15" hidden="false" customHeight="false" outlineLevel="0" collapsed="false">
      <c r="A114" s="23"/>
      <c r="B114" s="23" t="s">
        <v>94</v>
      </c>
      <c r="C114" s="23"/>
      <c r="D114" s="23"/>
      <c r="E114" s="23"/>
      <c r="F114" s="32" t="n">
        <f aca="false">SUMIF(G107:G113,"Bahan",F107:F113)</f>
        <v>162900</v>
      </c>
      <c r="G114" s="23"/>
    </row>
    <row r="115" customFormat="false" ht="15" hidden="false" customHeight="false" outlineLevel="0" collapsed="false">
      <c r="A115" s="23"/>
      <c r="B115" s="23" t="s">
        <v>95</v>
      </c>
      <c r="C115" s="23"/>
      <c r="D115" s="23"/>
      <c r="E115" s="23"/>
      <c r="F115" s="32" t="n">
        <f aca="false">SUMIF(G107:G113,"Upah",F107:F113)</f>
        <v>63400</v>
      </c>
      <c r="G115" s="23"/>
    </row>
    <row r="116" customFormat="false" ht="15" hidden="false" customHeight="false" outlineLevel="0" collapsed="false">
      <c r="A116" s="23"/>
      <c r="B116" s="23" t="str">
        <f aca="false">"Overhead &amp; profit ("&amp;TEXT('Informasi Project'!$B$16,"0.0%")&amp;")"</f>
        <v>Overhead &amp; profit (15.0%)</v>
      </c>
      <c r="C116" s="23"/>
      <c r="D116" s="23"/>
      <c r="E116" s="23"/>
      <c r="F116" s="32" t="n">
        <f aca="false">(F114+F115)*'Informasi Project'!$B$16</f>
        <v>33945</v>
      </c>
      <c r="G116" s="23"/>
    </row>
    <row r="117" customFormat="false" ht="15" hidden="false" customHeight="false" outlineLevel="0" collapsed="false">
      <c r="A117" s="14"/>
      <c r="B117" s="3" t="s">
        <v>96</v>
      </c>
      <c r="C117" s="14"/>
      <c r="D117" s="14"/>
      <c r="E117" s="14"/>
      <c r="F117" s="27" t="n">
        <f aca="false">F114+F115+F116</f>
        <v>260245</v>
      </c>
      <c r="G117" s="14"/>
    </row>
    <row r="119" customFormat="false" ht="15" hidden="false" customHeight="false" outlineLevel="0" collapsed="false">
      <c r="A119" s="3" t="s">
        <v>65</v>
      </c>
      <c r="B119" s="3" t="s">
        <v>125</v>
      </c>
      <c r="C119" s="3" t="s">
        <v>89</v>
      </c>
      <c r="D119" s="3"/>
      <c r="E119" s="29" t="s">
        <v>90</v>
      </c>
      <c r="F119" s="27" t="n">
        <f aca="false">F130</f>
        <v>316508.75</v>
      </c>
      <c r="G119" s="3"/>
    </row>
    <row r="120" customFormat="false" ht="15" hidden="false" customHeight="false" outlineLevel="0" collapsed="false">
      <c r="A120" s="30" t="s">
        <v>126</v>
      </c>
      <c r="B120" s="16" t="str">
        <f aca="false">IF(LEFT($A120,1)="B",INDEX('Harga Bahan'!$B$5:$B$200,MATCH($A120,'Harga Bahan'!$A$5:$A$200,0)),INDEX('Harga Upah'!$B$5:$B$200,MATCH($A120,'Harga Upah'!$A$5:$A$200,0)))</f>
        <v>Keramik lantai 40x40</v>
      </c>
      <c r="C120" s="18" t="str">
        <f aca="false">IF(LEFT($A120,1)="B",INDEX('Harga Bahan'!$C$5:$C$200,MATCH($A120,'Harga Bahan'!$A$5:$A$200,0)),INDEX('Harga Upah'!$C$5:$C$200,MATCH($A120,'Harga Upah'!$A$5:$A$200,0)))</f>
        <v>m²</v>
      </c>
      <c r="D120" s="31" t="n">
        <v>1.05</v>
      </c>
      <c r="E120" s="20" t="n">
        <f aca="false">IF(LEFT($A120,1)="B",INDEX('Harga Bahan'!$D$5:$D$200,MATCH($A120,'Harga Bahan'!$A$5:$A$200,0)),INDEX('Harga Upah'!$D$5:$D$200,MATCH($A120,'Harga Upah'!$A$5:$A$200,0)))</f>
        <v>85000</v>
      </c>
      <c r="F120" s="21" t="n">
        <f aca="false">D120*E120</f>
        <v>89250</v>
      </c>
      <c r="G120" s="15" t="s">
        <v>101</v>
      </c>
    </row>
    <row r="121" customFormat="false" ht="15" hidden="false" customHeight="false" outlineLevel="0" collapsed="false">
      <c r="A121" s="30" t="s">
        <v>104</v>
      </c>
      <c r="B121" s="16" t="str">
        <f aca="false">IF(LEFT($A121,1)="B",INDEX('Harga Bahan'!$B$5:$B$200,MATCH($A121,'Harga Bahan'!$A$5:$A$200,0)),INDEX('Harga Upah'!$B$5:$B$200,MATCH($A121,'Harga Upah'!$A$5:$A$200,0)))</f>
        <v>Semen Portland (PC)</v>
      </c>
      <c r="C121" s="18" t="str">
        <f aca="false">IF(LEFT($A121,1)="B",INDEX('Harga Bahan'!$C$5:$C$200,MATCH($A121,'Harga Bahan'!$A$5:$A$200,0)),INDEX('Harga Upah'!$C$5:$C$200,MATCH($A121,'Harga Upah'!$A$5:$A$200,0)))</f>
        <v>kg</v>
      </c>
      <c r="D121" s="31" t="n">
        <v>10</v>
      </c>
      <c r="E121" s="20" t="n">
        <f aca="false">IF(LEFT($A121,1)="B",INDEX('Harga Bahan'!$D$5:$D$200,MATCH($A121,'Harga Bahan'!$A$5:$A$200,0)),INDEX('Harga Upah'!$D$5:$D$200,MATCH($A121,'Harga Upah'!$A$5:$A$200,0)))</f>
        <v>1450</v>
      </c>
      <c r="F121" s="21" t="n">
        <f aca="false">D121*E121</f>
        <v>14500</v>
      </c>
      <c r="G121" s="15" t="s">
        <v>101</v>
      </c>
    </row>
    <row r="122" customFormat="false" ht="15" hidden="false" customHeight="false" outlineLevel="0" collapsed="false">
      <c r="A122" s="30" t="s">
        <v>100</v>
      </c>
      <c r="B122" s="16" t="str">
        <f aca="false">IF(LEFT($A122,1)="B",INDEX('Harga Bahan'!$B$5:$B$200,MATCH($A122,'Harga Bahan'!$A$5:$A$200,0)),INDEX('Harga Upah'!$B$5:$B$200,MATCH($A122,'Harga Upah'!$A$5:$A$200,0)))</f>
        <v>Pasir pasang</v>
      </c>
      <c r="C122" s="18" t="str">
        <f aca="false">IF(LEFT($A122,1)="B",INDEX('Harga Bahan'!$C$5:$C$200,MATCH($A122,'Harga Bahan'!$A$5:$A$200,0)),INDEX('Harga Upah'!$C$5:$C$200,MATCH($A122,'Harga Upah'!$A$5:$A$200,0)))</f>
        <v>m³</v>
      </c>
      <c r="D122" s="31" t="n">
        <v>0.045</v>
      </c>
      <c r="E122" s="20" t="n">
        <f aca="false">IF(LEFT($A122,1)="B",INDEX('Harga Bahan'!$D$5:$D$200,MATCH($A122,'Harga Bahan'!$A$5:$A$200,0)),INDEX('Harga Upah'!$D$5:$D$200,MATCH($A122,'Harga Upah'!$A$5:$A$200,0)))</f>
        <v>260000</v>
      </c>
      <c r="F122" s="21" t="n">
        <f aca="false">D122*E122</f>
        <v>11700</v>
      </c>
      <c r="G122" s="15" t="s">
        <v>101</v>
      </c>
    </row>
    <row r="123" customFormat="false" ht="15" hidden="false" customHeight="false" outlineLevel="0" collapsed="false">
      <c r="A123" s="30" t="s">
        <v>91</v>
      </c>
      <c r="B123" s="16" t="str">
        <f aca="false">IF(LEFT($A123,1)="B",INDEX('Harga Bahan'!$B$5:$B$200,MATCH($A123,'Harga Bahan'!$A$5:$A$200,0)),INDEX('Harga Upah'!$B$5:$B$200,MATCH($A123,'Harga Upah'!$A$5:$A$200,0)))</f>
        <v>Pekerja</v>
      </c>
      <c r="C123" s="18" t="str">
        <f aca="false">IF(LEFT($A123,1)="B",INDEX('Harga Bahan'!$C$5:$C$200,MATCH($A123,'Harga Bahan'!$A$5:$A$200,0)),INDEX('Harga Upah'!$C$5:$C$200,MATCH($A123,'Harga Upah'!$A$5:$A$200,0)))</f>
        <v>OH</v>
      </c>
      <c r="D123" s="31" t="n">
        <v>0.7</v>
      </c>
      <c r="E123" s="20" t="n">
        <f aca="false">IF(LEFT($A123,1)="B",INDEX('Harga Bahan'!$D$5:$D$200,MATCH($A123,'Harga Bahan'!$A$5:$A$200,0)),INDEX('Harga Upah'!$D$5:$D$200,MATCH($A123,'Harga Upah'!$A$5:$A$200,0)))</f>
        <v>130000</v>
      </c>
      <c r="F123" s="21" t="n">
        <f aca="false">D123*E123</f>
        <v>91000</v>
      </c>
      <c r="G123" s="15" t="s">
        <v>92</v>
      </c>
    </row>
    <row r="124" customFormat="false" ht="15" hidden="false" customHeight="false" outlineLevel="0" collapsed="false">
      <c r="A124" s="30" t="s">
        <v>105</v>
      </c>
      <c r="B124" s="16" t="str">
        <f aca="false">IF(LEFT($A124,1)="B",INDEX('Harga Bahan'!$B$5:$B$200,MATCH($A124,'Harga Bahan'!$A$5:$A$200,0)),INDEX('Harga Upah'!$B$5:$B$200,MATCH($A124,'Harga Upah'!$A$5:$A$200,0)))</f>
        <v>Tukang batu</v>
      </c>
      <c r="C124" s="18" t="str">
        <f aca="false">IF(LEFT($A124,1)="B",INDEX('Harga Bahan'!$C$5:$C$200,MATCH($A124,'Harga Bahan'!$A$5:$A$200,0)),INDEX('Harga Upah'!$C$5:$C$200,MATCH($A124,'Harga Upah'!$A$5:$A$200,0)))</f>
        <v>OH</v>
      </c>
      <c r="D124" s="31" t="n">
        <v>0.35</v>
      </c>
      <c r="E124" s="20" t="n">
        <f aca="false">IF(LEFT($A124,1)="B",INDEX('Harga Bahan'!$D$5:$D$200,MATCH($A124,'Harga Bahan'!$A$5:$A$200,0)),INDEX('Harga Upah'!$D$5:$D$200,MATCH($A124,'Harga Upah'!$A$5:$A$200,0)))</f>
        <v>160000</v>
      </c>
      <c r="F124" s="21" t="n">
        <f aca="false">D124*E124</f>
        <v>56000</v>
      </c>
      <c r="G124" s="15" t="s">
        <v>92</v>
      </c>
    </row>
    <row r="125" customFormat="false" ht="15" hidden="false" customHeight="false" outlineLevel="0" collapsed="false">
      <c r="A125" s="30" t="s">
        <v>106</v>
      </c>
      <c r="B125" s="16" t="str">
        <f aca="false">IF(LEFT($A125,1)="B",INDEX('Harga Bahan'!$B$5:$B$200,MATCH($A125,'Harga Bahan'!$A$5:$A$200,0)),INDEX('Harga Upah'!$B$5:$B$200,MATCH($A125,'Harga Upah'!$A$5:$A$200,0)))</f>
        <v>Kepala tukang</v>
      </c>
      <c r="C125" s="18" t="str">
        <f aca="false">IF(LEFT($A125,1)="B",INDEX('Harga Bahan'!$C$5:$C$200,MATCH($A125,'Harga Bahan'!$A$5:$A$200,0)),INDEX('Harga Upah'!$C$5:$C$200,MATCH($A125,'Harga Upah'!$A$5:$A$200,0)))</f>
        <v>OH</v>
      </c>
      <c r="D125" s="31" t="n">
        <v>0.035</v>
      </c>
      <c r="E125" s="20" t="n">
        <f aca="false">IF(LEFT($A125,1)="B",INDEX('Harga Bahan'!$D$5:$D$200,MATCH($A125,'Harga Bahan'!$A$5:$A$200,0)),INDEX('Harga Upah'!$D$5:$D$200,MATCH($A125,'Harga Upah'!$A$5:$A$200,0)))</f>
        <v>175000</v>
      </c>
      <c r="F125" s="21" t="n">
        <f aca="false">D125*E125</f>
        <v>6125</v>
      </c>
      <c r="G125" s="15" t="s">
        <v>92</v>
      </c>
    </row>
    <row r="126" customFormat="false" ht="15" hidden="false" customHeight="false" outlineLevel="0" collapsed="false">
      <c r="A126" s="30" t="s">
        <v>93</v>
      </c>
      <c r="B126" s="16" t="str">
        <f aca="false">IF(LEFT($A126,1)="B",INDEX('Harga Bahan'!$B$5:$B$200,MATCH($A126,'Harga Bahan'!$A$5:$A$200,0)),INDEX('Harga Upah'!$B$5:$B$200,MATCH($A126,'Harga Upah'!$A$5:$A$200,0)))</f>
        <v>Mandor</v>
      </c>
      <c r="C126" s="18" t="str">
        <f aca="false">IF(LEFT($A126,1)="B",INDEX('Harga Bahan'!$C$5:$C$200,MATCH($A126,'Harga Bahan'!$A$5:$A$200,0)),INDEX('Harga Upah'!$C$5:$C$200,MATCH($A126,'Harga Upah'!$A$5:$A$200,0)))</f>
        <v>OH</v>
      </c>
      <c r="D126" s="31" t="n">
        <v>0.035</v>
      </c>
      <c r="E126" s="20" t="n">
        <f aca="false">IF(LEFT($A126,1)="B",INDEX('Harga Bahan'!$D$5:$D$200,MATCH($A126,'Harga Bahan'!$A$5:$A$200,0)),INDEX('Harga Upah'!$D$5:$D$200,MATCH($A126,'Harga Upah'!$A$5:$A$200,0)))</f>
        <v>190000</v>
      </c>
      <c r="F126" s="21" t="n">
        <f aca="false">D126*E126</f>
        <v>6650</v>
      </c>
      <c r="G126" s="15" t="s">
        <v>92</v>
      </c>
    </row>
    <row r="127" customFormat="false" ht="15" hidden="false" customHeight="false" outlineLevel="0" collapsed="false">
      <c r="A127" s="23"/>
      <c r="B127" s="23" t="s">
        <v>94</v>
      </c>
      <c r="C127" s="23"/>
      <c r="D127" s="23"/>
      <c r="E127" s="23"/>
      <c r="F127" s="32" t="n">
        <f aca="false">SUMIF(G120:G126,"Bahan",F120:F126)</f>
        <v>115450</v>
      </c>
      <c r="G127" s="23"/>
    </row>
    <row r="128" customFormat="false" ht="15" hidden="false" customHeight="false" outlineLevel="0" collapsed="false">
      <c r="A128" s="23"/>
      <c r="B128" s="23" t="s">
        <v>95</v>
      </c>
      <c r="C128" s="23"/>
      <c r="D128" s="23"/>
      <c r="E128" s="23"/>
      <c r="F128" s="32" t="n">
        <f aca="false">SUMIF(G120:G126,"Upah",F120:F126)</f>
        <v>159775</v>
      </c>
      <c r="G128" s="23"/>
    </row>
    <row r="129" customFormat="false" ht="15" hidden="false" customHeight="false" outlineLevel="0" collapsed="false">
      <c r="A129" s="23"/>
      <c r="B129" s="23" t="str">
        <f aca="false">"Overhead &amp; profit ("&amp;TEXT('Informasi Project'!$B$16,"0.0%")&amp;")"</f>
        <v>Overhead &amp; profit (15.0%)</v>
      </c>
      <c r="C129" s="23"/>
      <c r="D129" s="23"/>
      <c r="E129" s="23"/>
      <c r="F129" s="32" t="n">
        <f aca="false">(F127+F128)*'Informasi Project'!$B$16</f>
        <v>41283.75</v>
      </c>
      <c r="G129" s="23"/>
    </row>
    <row r="130" customFormat="false" ht="15" hidden="false" customHeight="false" outlineLevel="0" collapsed="false">
      <c r="A130" s="14"/>
      <c r="B130" s="3" t="s">
        <v>96</v>
      </c>
      <c r="C130" s="14"/>
      <c r="D130" s="14"/>
      <c r="E130" s="14"/>
      <c r="F130" s="27" t="n">
        <f aca="false">F127+F128+F129</f>
        <v>316508.75</v>
      </c>
      <c r="G130" s="14"/>
    </row>
    <row r="132" customFormat="false" ht="15" hidden="false" customHeight="false" outlineLevel="0" collapsed="false">
      <c r="A132" s="3" t="s">
        <v>66</v>
      </c>
      <c r="B132" s="3" t="s">
        <v>127</v>
      </c>
      <c r="C132" s="3" t="s">
        <v>89</v>
      </c>
      <c r="D132" s="3"/>
      <c r="E132" s="29" t="s">
        <v>90</v>
      </c>
      <c r="F132" s="27" t="n">
        <f aca="false">F143</f>
        <v>129944.25</v>
      </c>
      <c r="G132" s="3"/>
    </row>
    <row r="133" customFormat="false" ht="15" hidden="false" customHeight="false" outlineLevel="0" collapsed="false">
      <c r="A133" s="30" t="s">
        <v>128</v>
      </c>
      <c r="B133" s="16" t="str">
        <f aca="false">IF(LEFT($A133,1)="B",INDEX('Harga Bahan'!$B$5:$B$200,MATCH($A133,'Harga Bahan'!$A$5:$A$200,0)),INDEX('Harga Upah'!$B$5:$B$200,MATCH($A133,'Harga Upah'!$A$5:$A$200,0)))</f>
        <v>Plafon gypsum 9mm (120x240)</v>
      </c>
      <c r="C133" s="18" t="str">
        <f aca="false">IF(LEFT($A133,1)="B",INDEX('Harga Bahan'!$C$5:$C$200,MATCH($A133,'Harga Bahan'!$A$5:$A$200,0)),INDEX('Harga Upah'!$C$5:$C$200,MATCH($A133,'Harga Upah'!$A$5:$A$200,0)))</f>
        <v>lembar</v>
      </c>
      <c r="D133" s="31" t="n">
        <v>0.35</v>
      </c>
      <c r="E133" s="20" t="n">
        <f aca="false">IF(LEFT($A133,1)="B",INDEX('Harga Bahan'!$D$5:$D$200,MATCH($A133,'Harga Bahan'!$A$5:$A$200,0)),INDEX('Harga Upah'!$D$5:$D$200,MATCH($A133,'Harga Upah'!$A$5:$A$200,0)))</f>
        <v>75000</v>
      </c>
      <c r="F133" s="21" t="n">
        <f aca="false">D133*E133</f>
        <v>26250</v>
      </c>
      <c r="G133" s="15" t="s">
        <v>101</v>
      </c>
    </row>
    <row r="134" customFormat="false" ht="15" hidden="false" customHeight="false" outlineLevel="0" collapsed="false">
      <c r="A134" s="30" t="s">
        <v>117</v>
      </c>
      <c r="B134" s="16" t="str">
        <f aca="false">IF(LEFT($A134,1)="B",INDEX('Harga Bahan'!$B$5:$B$200,MATCH($A134,'Harga Bahan'!$A$5:$A$200,0)),INDEX('Harga Upah'!$B$5:$B$200,MATCH($A134,'Harga Upah'!$A$5:$A$200,0)))</f>
        <v>Kayu kelas II/III (balok, usuk, reng)</v>
      </c>
      <c r="C134" s="18" t="str">
        <f aca="false">IF(LEFT($A134,1)="B",INDEX('Harga Bahan'!$C$5:$C$200,MATCH($A134,'Harga Bahan'!$A$5:$A$200,0)),INDEX('Harga Upah'!$C$5:$C$200,MATCH($A134,'Harga Upah'!$A$5:$A$200,0)))</f>
        <v>m³</v>
      </c>
      <c r="D134" s="31" t="n">
        <v>0.01</v>
      </c>
      <c r="E134" s="20" t="n">
        <f aca="false">IF(LEFT($A134,1)="B",INDEX('Harga Bahan'!$D$5:$D$200,MATCH($A134,'Harga Bahan'!$A$5:$A$200,0)),INDEX('Harga Upah'!$D$5:$D$200,MATCH($A134,'Harga Upah'!$A$5:$A$200,0)))</f>
        <v>3800000</v>
      </c>
      <c r="F134" s="21" t="n">
        <f aca="false">D134*E134</f>
        <v>38000</v>
      </c>
      <c r="G134" s="15" t="s">
        <v>101</v>
      </c>
    </row>
    <row r="135" customFormat="false" ht="15" hidden="false" customHeight="false" outlineLevel="0" collapsed="false">
      <c r="A135" s="30" t="s">
        <v>118</v>
      </c>
      <c r="B135" s="16" t="str">
        <f aca="false">IF(LEFT($A135,1)="B",INDEX('Harga Bahan'!$B$5:$B$200,MATCH($A135,'Harga Bahan'!$A$5:$A$200,0)),INDEX('Harga Upah'!$B$5:$B$200,MATCH($A135,'Harga Upah'!$A$5:$A$200,0)))</f>
        <v>Paku campuran</v>
      </c>
      <c r="C135" s="18" t="str">
        <f aca="false">IF(LEFT($A135,1)="B",INDEX('Harga Bahan'!$C$5:$C$200,MATCH($A135,'Harga Bahan'!$A$5:$A$200,0)),INDEX('Harga Upah'!$C$5:$C$200,MATCH($A135,'Harga Upah'!$A$5:$A$200,0)))</f>
        <v>kg</v>
      </c>
      <c r="D135" s="31" t="n">
        <v>0.05</v>
      </c>
      <c r="E135" s="20" t="n">
        <f aca="false">IF(LEFT($A135,1)="B",INDEX('Harga Bahan'!$D$5:$D$200,MATCH($A135,'Harga Bahan'!$A$5:$A$200,0)),INDEX('Harga Upah'!$D$5:$D$200,MATCH($A135,'Harga Upah'!$A$5:$A$200,0)))</f>
        <v>22000</v>
      </c>
      <c r="F135" s="21" t="n">
        <f aca="false">D135*E135</f>
        <v>1100</v>
      </c>
      <c r="G135" s="15" t="s">
        <v>101</v>
      </c>
    </row>
    <row r="136" customFormat="false" ht="15" hidden="false" customHeight="false" outlineLevel="0" collapsed="false">
      <c r="A136" s="30" t="s">
        <v>91</v>
      </c>
      <c r="B136" s="16" t="str">
        <f aca="false">IF(LEFT($A136,1)="B",INDEX('Harga Bahan'!$B$5:$B$200,MATCH($A136,'Harga Bahan'!$A$5:$A$200,0)),INDEX('Harga Upah'!$B$5:$B$200,MATCH($A136,'Harga Upah'!$A$5:$A$200,0)))</f>
        <v>Pekerja</v>
      </c>
      <c r="C136" s="18" t="str">
        <f aca="false">IF(LEFT($A136,1)="B",INDEX('Harga Bahan'!$C$5:$C$200,MATCH($A136,'Harga Bahan'!$A$5:$A$200,0)),INDEX('Harga Upah'!$C$5:$C$200,MATCH($A136,'Harga Upah'!$A$5:$A$200,0)))</f>
        <v>OH</v>
      </c>
      <c r="D136" s="31" t="n">
        <v>0.15</v>
      </c>
      <c r="E136" s="20" t="n">
        <f aca="false">IF(LEFT($A136,1)="B",INDEX('Harga Bahan'!$D$5:$D$200,MATCH($A136,'Harga Bahan'!$A$5:$A$200,0)),INDEX('Harga Upah'!$D$5:$D$200,MATCH($A136,'Harga Upah'!$A$5:$A$200,0)))</f>
        <v>130000</v>
      </c>
      <c r="F136" s="21" t="n">
        <f aca="false">D136*E136</f>
        <v>19500</v>
      </c>
      <c r="G136" s="15" t="s">
        <v>92</v>
      </c>
    </row>
    <row r="137" customFormat="false" ht="15" hidden="false" customHeight="false" outlineLevel="0" collapsed="false">
      <c r="A137" s="30" t="s">
        <v>119</v>
      </c>
      <c r="B137" s="16" t="str">
        <f aca="false">IF(LEFT($A137,1)="B",INDEX('Harga Bahan'!$B$5:$B$200,MATCH($A137,'Harga Bahan'!$A$5:$A$200,0)),INDEX('Harga Upah'!$B$5:$B$200,MATCH($A137,'Harga Upah'!$A$5:$A$200,0)))</f>
        <v>Tukang kayu</v>
      </c>
      <c r="C137" s="18" t="str">
        <f aca="false">IF(LEFT($A137,1)="B",INDEX('Harga Bahan'!$C$5:$C$200,MATCH($A137,'Harga Bahan'!$A$5:$A$200,0)),INDEX('Harga Upah'!$C$5:$C$200,MATCH($A137,'Harga Upah'!$A$5:$A$200,0)))</f>
        <v>OH</v>
      </c>
      <c r="D137" s="31" t="n">
        <v>0.15</v>
      </c>
      <c r="E137" s="20" t="n">
        <f aca="false">IF(LEFT($A137,1)="B",INDEX('Harga Bahan'!$D$5:$D$200,MATCH($A137,'Harga Bahan'!$A$5:$A$200,0)),INDEX('Harga Upah'!$D$5:$D$200,MATCH($A137,'Harga Upah'!$A$5:$A$200,0)))</f>
        <v>160000</v>
      </c>
      <c r="F137" s="21" t="n">
        <f aca="false">D137*E137</f>
        <v>24000</v>
      </c>
      <c r="G137" s="15" t="s">
        <v>92</v>
      </c>
    </row>
    <row r="138" customFormat="false" ht="15" hidden="false" customHeight="false" outlineLevel="0" collapsed="false">
      <c r="A138" s="30" t="s">
        <v>106</v>
      </c>
      <c r="B138" s="16" t="str">
        <f aca="false">IF(LEFT($A138,1)="B",INDEX('Harga Bahan'!$B$5:$B$200,MATCH($A138,'Harga Bahan'!$A$5:$A$200,0)),INDEX('Harga Upah'!$B$5:$B$200,MATCH($A138,'Harga Upah'!$A$5:$A$200,0)))</f>
        <v>Kepala tukang</v>
      </c>
      <c r="C138" s="18" t="str">
        <f aca="false">IF(LEFT($A138,1)="B",INDEX('Harga Bahan'!$C$5:$C$200,MATCH($A138,'Harga Bahan'!$A$5:$A$200,0)),INDEX('Harga Upah'!$C$5:$C$200,MATCH($A138,'Harga Upah'!$A$5:$A$200,0)))</f>
        <v>OH</v>
      </c>
      <c r="D138" s="31" t="n">
        <v>0.015</v>
      </c>
      <c r="E138" s="20" t="n">
        <f aca="false">IF(LEFT($A138,1)="B",INDEX('Harga Bahan'!$D$5:$D$200,MATCH($A138,'Harga Bahan'!$A$5:$A$200,0)),INDEX('Harga Upah'!$D$5:$D$200,MATCH($A138,'Harga Upah'!$A$5:$A$200,0)))</f>
        <v>175000</v>
      </c>
      <c r="F138" s="21" t="n">
        <f aca="false">D138*E138</f>
        <v>2625</v>
      </c>
      <c r="G138" s="15" t="s">
        <v>92</v>
      </c>
    </row>
    <row r="139" customFormat="false" ht="15" hidden="false" customHeight="false" outlineLevel="0" collapsed="false">
      <c r="A139" s="30" t="s">
        <v>93</v>
      </c>
      <c r="B139" s="16" t="str">
        <f aca="false">IF(LEFT($A139,1)="B",INDEX('Harga Bahan'!$B$5:$B$200,MATCH($A139,'Harga Bahan'!$A$5:$A$200,0)),INDEX('Harga Upah'!$B$5:$B$200,MATCH($A139,'Harga Upah'!$A$5:$A$200,0)))</f>
        <v>Mandor</v>
      </c>
      <c r="C139" s="18" t="str">
        <f aca="false">IF(LEFT($A139,1)="B",INDEX('Harga Bahan'!$C$5:$C$200,MATCH($A139,'Harga Bahan'!$A$5:$A$200,0)),INDEX('Harga Upah'!$C$5:$C$200,MATCH($A139,'Harga Upah'!$A$5:$A$200,0)))</f>
        <v>OH</v>
      </c>
      <c r="D139" s="31" t="n">
        <v>0.008</v>
      </c>
      <c r="E139" s="20" t="n">
        <f aca="false">IF(LEFT($A139,1)="B",INDEX('Harga Bahan'!$D$5:$D$200,MATCH($A139,'Harga Bahan'!$A$5:$A$200,0)),INDEX('Harga Upah'!$D$5:$D$200,MATCH($A139,'Harga Upah'!$A$5:$A$200,0)))</f>
        <v>190000</v>
      </c>
      <c r="F139" s="21" t="n">
        <f aca="false">D139*E139</f>
        <v>1520</v>
      </c>
      <c r="G139" s="15" t="s">
        <v>92</v>
      </c>
    </row>
    <row r="140" customFormat="false" ht="15" hidden="false" customHeight="false" outlineLevel="0" collapsed="false">
      <c r="A140" s="23"/>
      <c r="B140" s="23" t="s">
        <v>94</v>
      </c>
      <c r="C140" s="23"/>
      <c r="D140" s="23"/>
      <c r="E140" s="23"/>
      <c r="F140" s="32" t="n">
        <f aca="false">SUMIF(G133:G139,"Bahan",F133:F139)</f>
        <v>65350</v>
      </c>
      <c r="G140" s="23"/>
    </row>
    <row r="141" customFormat="false" ht="15" hidden="false" customHeight="false" outlineLevel="0" collapsed="false">
      <c r="A141" s="23"/>
      <c r="B141" s="23" t="s">
        <v>95</v>
      </c>
      <c r="C141" s="23"/>
      <c r="D141" s="23"/>
      <c r="E141" s="23"/>
      <c r="F141" s="32" t="n">
        <f aca="false">SUMIF(G133:G139,"Upah",F133:F139)</f>
        <v>47645</v>
      </c>
      <c r="G141" s="23"/>
    </row>
    <row r="142" customFormat="false" ht="15" hidden="false" customHeight="false" outlineLevel="0" collapsed="false">
      <c r="A142" s="23"/>
      <c r="B142" s="23" t="str">
        <f aca="false">"Overhead &amp; profit ("&amp;TEXT('Informasi Project'!$B$16,"0.0%")&amp;")"</f>
        <v>Overhead &amp; profit (15.0%)</v>
      </c>
      <c r="C142" s="23"/>
      <c r="D142" s="23"/>
      <c r="E142" s="23"/>
      <c r="F142" s="32" t="n">
        <f aca="false">(F140+F141)*'Informasi Project'!$B$16</f>
        <v>16949.25</v>
      </c>
      <c r="G142" s="23"/>
    </row>
    <row r="143" customFormat="false" ht="15" hidden="false" customHeight="false" outlineLevel="0" collapsed="false">
      <c r="A143" s="14"/>
      <c r="B143" s="3" t="s">
        <v>96</v>
      </c>
      <c r="C143" s="14"/>
      <c r="D143" s="14"/>
      <c r="E143" s="14"/>
      <c r="F143" s="27" t="n">
        <f aca="false">F140+F141+F142</f>
        <v>129944.25</v>
      </c>
      <c r="G143" s="14"/>
    </row>
    <row r="145" customFormat="false" ht="15" hidden="false" customHeight="false" outlineLevel="0" collapsed="false">
      <c r="A145" s="3" t="s">
        <v>70</v>
      </c>
      <c r="B145" s="3" t="s">
        <v>129</v>
      </c>
      <c r="C145" s="3" t="s">
        <v>89</v>
      </c>
      <c r="D145" s="3"/>
      <c r="E145" s="29" t="s">
        <v>90</v>
      </c>
      <c r="F145" s="27" t="n">
        <f aca="false">F155</f>
        <v>31073</v>
      </c>
      <c r="G145" s="3"/>
    </row>
    <row r="146" customFormat="false" ht="15" hidden="false" customHeight="false" outlineLevel="0" collapsed="false">
      <c r="A146" s="30" t="s">
        <v>130</v>
      </c>
      <c r="B146" s="16" t="str">
        <f aca="false">IF(LEFT($A146,1)="B",INDEX('Harga Bahan'!$B$5:$B$200,MATCH($A146,'Harga Bahan'!$A$5:$A$200,0)),INDEX('Harga Upah'!$B$5:$B$200,MATCH($A146,'Harga Upah'!$A$5:$A$200,0)))</f>
        <v>Cat tembok interior/eksterior</v>
      </c>
      <c r="C146" s="18" t="str">
        <f aca="false">IF(LEFT($A146,1)="B",INDEX('Harga Bahan'!$C$5:$C$200,MATCH($A146,'Harga Bahan'!$A$5:$A$200,0)),INDEX('Harga Upah'!$C$5:$C$200,MATCH($A146,'Harga Upah'!$A$5:$A$200,0)))</f>
        <v>kg</v>
      </c>
      <c r="D146" s="31" t="n">
        <v>0.26</v>
      </c>
      <c r="E146" s="20" t="n">
        <f aca="false">IF(LEFT($A146,1)="B",INDEX('Harga Bahan'!$D$5:$D$200,MATCH($A146,'Harga Bahan'!$A$5:$A$200,0)),INDEX('Harga Upah'!$D$5:$D$200,MATCH($A146,'Harga Upah'!$A$5:$A$200,0)))</f>
        <v>42000</v>
      </c>
      <c r="F146" s="21" t="n">
        <f aca="false">D146*E146</f>
        <v>10920</v>
      </c>
      <c r="G146" s="15" t="s">
        <v>101</v>
      </c>
    </row>
    <row r="147" customFormat="false" ht="15" hidden="false" customHeight="false" outlineLevel="0" collapsed="false">
      <c r="A147" s="30" t="s">
        <v>131</v>
      </c>
      <c r="B147" s="16" t="str">
        <f aca="false">IF(LEFT($A147,1)="B",INDEX('Harga Bahan'!$B$5:$B$200,MATCH($A147,'Harga Bahan'!$A$5:$A$200,0)),INDEX('Harga Upah'!$B$5:$B$200,MATCH($A147,'Harga Upah'!$A$5:$A$200,0)))</f>
        <v>Plamir tembok</v>
      </c>
      <c r="C147" s="18" t="str">
        <f aca="false">IF(LEFT($A147,1)="B",INDEX('Harga Bahan'!$C$5:$C$200,MATCH($A147,'Harga Bahan'!$A$5:$A$200,0)),INDEX('Harga Upah'!$C$5:$C$200,MATCH($A147,'Harga Upah'!$A$5:$A$200,0)))</f>
        <v>kg</v>
      </c>
      <c r="D147" s="31" t="n">
        <v>0.1</v>
      </c>
      <c r="E147" s="20" t="n">
        <f aca="false">IF(LEFT($A147,1)="B",INDEX('Harga Bahan'!$D$5:$D$200,MATCH($A147,'Harga Bahan'!$A$5:$A$200,0)),INDEX('Harga Upah'!$D$5:$D$200,MATCH($A147,'Harga Upah'!$A$5:$A$200,0)))</f>
        <v>18000</v>
      </c>
      <c r="F147" s="21" t="n">
        <f aca="false">D147*E147</f>
        <v>1800</v>
      </c>
      <c r="G147" s="15" t="s">
        <v>101</v>
      </c>
    </row>
    <row r="148" customFormat="false" ht="15" hidden="false" customHeight="false" outlineLevel="0" collapsed="false">
      <c r="A148" s="30" t="s">
        <v>91</v>
      </c>
      <c r="B148" s="16" t="str">
        <f aca="false">IF(LEFT($A148,1)="B",INDEX('Harga Bahan'!$B$5:$B$200,MATCH($A148,'Harga Bahan'!$A$5:$A$200,0)),INDEX('Harga Upah'!$B$5:$B$200,MATCH($A148,'Harga Upah'!$A$5:$A$200,0)))</f>
        <v>Pekerja</v>
      </c>
      <c r="C148" s="18" t="str">
        <f aca="false">IF(LEFT($A148,1)="B",INDEX('Harga Bahan'!$C$5:$C$200,MATCH($A148,'Harga Bahan'!$A$5:$A$200,0)),INDEX('Harga Upah'!$C$5:$C$200,MATCH($A148,'Harga Upah'!$A$5:$A$200,0)))</f>
        <v>OH</v>
      </c>
      <c r="D148" s="31" t="n">
        <v>0.02</v>
      </c>
      <c r="E148" s="20" t="n">
        <f aca="false">IF(LEFT($A148,1)="B",INDEX('Harga Bahan'!$D$5:$D$200,MATCH($A148,'Harga Bahan'!$A$5:$A$200,0)),INDEX('Harga Upah'!$D$5:$D$200,MATCH($A148,'Harga Upah'!$A$5:$A$200,0)))</f>
        <v>130000</v>
      </c>
      <c r="F148" s="21" t="n">
        <f aca="false">D148*E148</f>
        <v>2600</v>
      </c>
      <c r="G148" s="15" t="s">
        <v>92</v>
      </c>
    </row>
    <row r="149" customFormat="false" ht="15" hidden="false" customHeight="false" outlineLevel="0" collapsed="false">
      <c r="A149" s="30" t="s">
        <v>132</v>
      </c>
      <c r="B149" s="16" t="str">
        <f aca="false">IF(LEFT($A149,1)="B",INDEX('Harga Bahan'!$B$5:$B$200,MATCH($A149,'Harga Bahan'!$A$5:$A$200,0)),INDEX('Harga Upah'!$B$5:$B$200,MATCH($A149,'Harga Upah'!$A$5:$A$200,0)))</f>
        <v>Tukang cat</v>
      </c>
      <c r="C149" s="18" t="str">
        <f aca="false">IF(LEFT($A149,1)="B",INDEX('Harga Bahan'!$C$5:$C$200,MATCH($A149,'Harga Bahan'!$A$5:$A$200,0)),INDEX('Harga Upah'!$C$5:$C$200,MATCH($A149,'Harga Upah'!$A$5:$A$200,0)))</f>
        <v>OH</v>
      </c>
      <c r="D149" s="31" t="n">
        <v>0.063</v>
      </c>
      <c r="E149" s="20" t="n">
        <f aca="false">IF(LEFT($A149,1)="B",INDEX('Harga Bahan'!$D$5:$D$200,MATCH($A149,'Harga Bahan'!$A$5:$A$200,0)),INDEX('Harga Upah'!$D$5:$D$200,MATCH($A149,'Harga Upah'!$A$5:$A$200,0)))</f>
        <v>160000</v>
      </c>
      <c r="F149" s="21" t="n">
        <f aca="false">D149*E149</f>
        <v>10080</v>
      </c>
      <c r="G149" s="15" t="s">
        <v>92</v>
      </c>
    </row>
    <row r="150" customFormat="false" ht="15" hidden="false" customHeight="false" outlineLevel="0" collapsed="false">
      <c r="A150" s="30" t="s">
        <v>106</v>
      </c>
      <c r="B150" s="16" t="str">
        <f aca="false">IF(LEFT($A150,1)="B",INDEX('Harga Bahan'!$B$5:$B$200,MATCH($A150,'Harga Bahan'!$A$5:$A$200,0)),INDEX('Harga Upah'!$B$5:$B$200,MATCH($A150,'Harga Upah'!$A$5:$A$200,0)))</f>
        <v>Kepala tukang</v>
      </c>
      <c r="C150" s="18" t="str">
        <f aca="false">IF(LEFT($A150,1)="B",INDEX('Harga Bahan'!$C$5:$C$200,MATCH($A150,'Harga Bahan'!$A$5:$A$200,0)),INDEX('Harga Upah'!$C$5:$C$200,MATCH($A150,'Harga Upah'!$A$5:$A$200,0)))</f>
        <v>OH</v>
      </c>
      <c r="D150" s="31" t="n">
        <v>0.006</v>
      </c>
      <c r="E150" s="20" t="n">
        <f aca="false">IF(LEFT($A150,1)="B",INDEX('Harga Bahan'!$D$5:$D$200,MATCH($A150,'Harga Bahan'!$A$5:$A$200,0)),INDEX('Harga Upah'!$D$5:$D$200,MATCH($A150,'Harga Upah'!$A$5:$A$200,0)))</f>
        <v>175000</v>
      </c>
      <c r="F150" s="21" t="n">
        <f aca="false">D150*E150</f>
        <v>1050</v>
      </c>
      <c r="G150" s="15" t="s">
        <v>92</v>
      </c>
    </row>
    <row r="151" customFormat="false" ht="15" hidden="false" customHeight="false" outlineLevel="0" collapsed="false">
      <c r="A151" s="30" t="s">
        <v>93</v>
      </c>
      <c r="B151" s="16" t="str">
        <f aca="false">IF(LEFT($A151,1)="B",INDEX('Harga Bahan'!$B$5:$B$200,MATCH($A151,'Harga Bahan'!$A$5:$A$200,0)),INDEX('Harga Upah'!$B$5:$B$200,MATCH($A151,'Harga Upah'!$A$5:$A$200,0)))</f>
        <v>Mandor</v>
      </c>
      <c r="C151" s="18" t="str">
        <f aca="false">IF(LEFT($A151,1)="B",INDEX('Harga Bahan'!$C$5:$C$200,MATCH($A151,'Harga Bahan'!$A$5:$A$200,0)),INDEX('Harga Upah'!$C$5:$C$200,MATCH($A151,'Harga Upah'!$A$5:$A$200,0)))</f>
        <v>OH</v>
      </c>
      <c r="D151" s="31" t="n">
        <v>0.003</v>
      </c>
      <c r="E151" s="20" t="n">
        <f aca="false">IF(LEFT($A151,1)="B",INDEX('Harga Bahan'!$D$5:$D$200,MATCH($A151,'Harga Bahan'!$A$5:$A$200,0)),INDEX('Harga Upah'!$D$5:$D$200,MATCH($A151,'Harga Upah'!$A$5:$A$200,0)))</f>
        <v>190000</v>
      </c>
      <c r="F151" s="21" t="n">
        <f aca="false">D151*E151</f>
        <v>570</v>
      </c>
      <c r="G151" s="15" t="s">
        <v>92</v>
      </c>
    </row>
    <row r="152" customFormat="false" ht="15" hidden="false" customHeight="false" outlineLevel="0" collapsed="false">
      <c r="A152" s="23"/>
      <c r="B152" s="23" t="s">
        <v>94</v>
      </c>
      <c r="C152" s="23"/>
      <c r="D152" s="23"/>
      <c r="E152" s="23"/>
      <c r="F152" s="32" t="n">
        <f aca="false">SUMIF(G146:G151,"Bahan",F146:F151)</f>
        <v>12720</v>
      </c>
      <c r="G152" s="23"/>
    </row>
    <row r="153" customFormat="false" ht="15" hidden="false" customHeight="false" outlineLevel="0" collapsed="false">
      <c r="A153" s="23"/>
      <c r="B153" s="23" t="s">
        <v>95</v>
      </c>
      <c r="C153" s="23"/>
      <c r="D153" s="23"/>
      <c r="E153" s="23"/>
      <c r="F153" s="32" t="n">
        <f aca="false">SUMIF(G146:G151,"Upah",F146:F151)</f>
        <v>14300</v>
      </c>
      <c r="G153" s="23"/>
    </row>
    <row r="154" customFormat="false" ht="15" hidden="false" customHeight="false" outlineLevel="0" collapsed="false">
      <c r="A154" s="23"/>
      <c r="B154" s="23" t="str">
        <f aca="false">"Overhead &amp; profit ("&amp;TEXT('Informasi Project'!$B$16,"0.0%")&amp;")"</f>
        <v>Overhead &amp; profit (15.0%)</v>
      </c>
      <c r="C154" s="23"/>
      <c r="D154" s="23"/>
      <c r="E154" s="23"/>
      <c r="F154" s="32" t="n">
        <f aca="false">(F152+F153)*'Informasi Project'!$B$16</f>
        <v>4053</v>
      </c>
      <c r="G154" s="23"/>
    </row>
    <row r="155" customFormat="false" ht="15" hidden="false" customHeight="false" outlineLevel="0" collapsed="false">
      <c r="A155" s="14"/>
      <c r="B155" s="3" t="s">
        <v>96</v>
      </c>
      <c r="C155" s="14"/>
      <c r="D155" s="14"/>
      <c r="E155" s="14"/>
      <c r="F155" s="27" t="n">
        <f aca="false">F152+F153+F154</f>
        <v>31073</v>
      </c>
      <c r="G155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28" t="s">
        <v>133</v>
      </c>
    </row>
    <row r="2" customFormat="false" ht="15" hidden="false" customHeight="false" outlineLevel="0" collapsed="false">
      <c r="A2" s="2" t="s">
        <v>134</v>
      </c>
    </row>
    <row r="4" customFormat="false" ht="15" hidden="false" customHeight="false" outlineLevel="0" collapsed="false">
      <c r="A4" s="13" t="s">
        <v>84</v>
      </c>
      <c r="B4" s="13" t="s">
        <v>85</v>
      </c>
      <c r="C4" s="13" t="s">
        <v>36</v>
      </c>
      <c r="D4" s="13" t="s">
        <v>38</v>
      </c>
    </row>
    <row r="5" customFormat="false" ht="15" hidden="false" customHeight="false" outlineLevel="0" collapsed="false">
      <c r="A5" s="30" t="s">
        <v>104</v>
      </c>
      <c r="B5" s="30" t="s">
        <v>135</v>
      </c>
      <c r="C5" s="15" t="s">
        <v>112</v>
      </c>
      <c r="D5" s="33" t="n">
        <v>1450</v>
      </c>
    </row>
    <row r="6" customFormat="false" ht="15" hidden="false" customHeight="false" outlineLevel="0" collapsed="false">
      <c r="A6" s="30" t="s">
        <v>100</v>
      </c>
      <c r="B6" s="30" t="s">
        <v>136</v>
      </c>
      <c r="C6" s="15" t="s">
        <v>98</v>
      </c>
      <c r="D6" s="33" t="n">
        <v>260000</v>
      </c>
    </row>
    <row r="7" customFormat="false" ht="15" hidden="false" customHeight="false" outlineLevel="0" collapsed="false">
      <c r="A7" s="30" t="s">
        <v>108</v>
      </c>
      <c r="B7" s="30" t="s">
        <v>137</v>
      </c>
      <c r="C7" s="15" t="s">
        <v>98</v>
      </c>
      <c r="D7" s="33" t="n">
        <v>290000</v>
      </c>
    </row>
    <row r="8" customFormat="false" ht="15" hidden="false" customHeight="false" outlineLevel="0" collapsed="false">
      <c r="A8" s="30" t="s">
        <v>109</v>
      </c>
      <c r="B8" s="30" t="s">
        <v>138</v>
      </c>
      <c r="C8" s="15" t="s">
        <v>98</v>
      </c>
      <c r="D8" s="33" t="n">
        <v>350000</v>
      </c>
    </row>
    <row r="9" customFormat="false" ht="15" hidden="false" customHeight="false" outlineLevel="0" collapsed="false">
      <c r="A9" s="30" t="s">
        <v>103</v>
      </c>
      <c r="B9" s="30" t="s">
        <v>139</v>
      </c>
      <c r="C9" s="15" t="s">
        <v>98</v>
      </c>
      <c r="D9" s="33" t="n">
        <v>280000</v>
      </c>
    </row>
    <row r="10" customFormat="false" ht="15" hidden="false" customHeight="false" outlineLevel="0" collapsed="false">
      <c r="A10" s="30" t="s">
        <v>121</v>
      </c>
      <c r="B10" s="30" t="s">
        <v>140</v>
      </c>
      <c r="C10" s="15" t="s">
        <v>141</v>
      </c>
      <c r="D10" s="33" t="n">
        <v>900</v>
      </c>
    </row>
    <row r="11" customFormat="false" ht="15" hidden="false" customHeight="false" outlineLevel="0" collapsed="false">
      <c r="A11" s="30" t="s">
        <v>113</v>
      </c>
      <c r="B11" s="30" t="s">
        <v>142</v>
      </c>
      <c r="C11" s="15" t="s">
        <v>112</v>
      </c>
      <c r="D11" s="33" t="n">
        <v>14500</v>
      </c>
    </row>
    <row r="12" customFormat="false" ht="15" hidden="false" customHeight="false" outlineLevel="0" collapsed="false">
      <c r="A12" s="30" t="s">
        <v>114</v>
      </c>
      <c r="B12" s="30" t="s">
        <v>143</v>
      </c>
      <c r="C12" s="15" t="s">
        <v>112</v>
      </c>
      <c r="D12" s="33" t="n">
        <v>20000</v>
      </c>
    </row>
    <row r="13" customFormat="false" ht="15" hidden="false" customHeight="false" outlineLevel="0" collapsed="false">
      <c r="A13" s="30" t="s">
        <v>117</v>
      </c>
      <c r="B13" s="30" t="s">
        <v>144</v>
      </c>
      <c r="C13" s="15" t="s">
        <v>98</v>
      </c>
      <c r="D13" s="33" t="n">
        <v>3800000</v>
      </c>
    </row>
    <row r="14" customFormat="false" ht="15" hidden="false" customHeight="false" outlineLevel="0" collapsed="false">
      <c r="A14" s="30" t="s">
        <v>118</v>
      </c>
      <c r="B14" s="30" t="s">
        <v>145</v>
      </c>
      <c r="C14" s="15" t="s">
        <v>112</v>
      </c>
      <c r="D14" s="33" t="n">
        <v>22000</v>
      </c>
    </row>
    <row r="15" customFormat="false" ht="15" hidden="false" customHeight="false" outlineLevel="0" collapsed="false">
      <c r="A15" s="30" t="s">
        <v>110</v>
      </c>
      <c r="B15" s="30" t="s">
        <v>146</v>
      </c>
      <c r="C15" s="15" t="s">
        <v>147</v>
      </c>
      <c r="D15" s="33" t="n">
        <v>50</v>
      </c>
    </row>
    <row r="16" customFormat="false" ht="15" hidden="false" customHeight="false" outlineLevel="0" collapsed="false">
      <c r="A16" s="30" t="s">
        <v>124</v>
      </c>
      <c r="B16" s="30" t="s">
        <v>148</v>
      </c>
      <c r="C16" s="15" t="s">
        <v>141</v>
      </c>
      <c r="D16" s="33" t="n">
        <v>7500</v>
      </c>
    </row>
    <row r="17" customFormat="false" ht="15" hidden="false" customHeight="false" outlineLevel="0" collapsed="false">
      <c r="A17" s="30" t="s">
        <v>126</v>
      </c>
      <c r="B17" s="30" t="s">
        <v>149</v>
      </c>
      <c r="C17" s="15" t="s">
        <v>89</v>
      </c>
      <c r="D17" s="33" t="n">
        <v>85000</v>
      </c>
    </row>
    <row r="18" customFormat="false" ht="15" hidden="false" customHeight="false" outlineLevel="0" collapsed="false">
      <c r="A18" s="30" t="s">
        <v>128</v>
      </c>
      <c r="B18" s="30" t="s">
        <v>150</v>
      </c>
      <c r="C18" s="15" t="s">
        <v>151</v>
      </c>
      <c r="D18" s="33" t="n">
        <v>75000</v>
      </c>
    </row>
    <row r="19" customFormat="false" ht="15" hidden="false" customHeight="false" outlineLevel="0" collapsed="false">
      <c r="A19" s="30" t="s">
        <v>130</v>
      </c>
      <c r="B19" s="30" t="s">
        <v>152</v>
      </c>
      <c r="C19" s="15" t="s">
        <v>112</v>
      </c>
      <c r="D19" s="33" t="n">
        <v>42000</v>
      </c>
    </row>
    <row r="20" customFormat="false" ht="15" hidden="false" customHeight="false" outlineLevel="0" collapsed="false">
      <c r="A20" s="30" t="s">
        <v>131</v>
      </c>
      <c r="B20" s="30" t="s">
        <v>153</v>
      </c>
      <c r="C20" s="15" t="s">
        <v>112</v>
      </c>
      <c r="D20" s="33" t="n">
        <v>18000</v>
      </c>
    </row>
    <row r="21" customFormat="false" ht="15" hidden="false" customHeight="false" outlineLevel="0" collapsed="false">
      <c r="A21" s="30" t="s">
        <v>154</v>
      </c>
      <c r="B21" s="30" t="s">
        <v>155</v>
      </c>
      <c r="C21" s="15" t="s">
        <v>98</v>
      </c>
      <c r="D21" s="33" t="n">
        <v>120000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28" t="s">
        <v>156</v>
      </c>
    </row>
    <row r="2" customFormat="false" ht="15" hidden="false" customHeight="false" outlineLevel="0" collapsed="false">
      <c r="A2" s="2" t="s">
        <v>134</v>
      </c>
    </row>
    <row r="4" customFormat="false" ht="15" hidden="false" customHeight="false" outlineLevel="0" collapsed="false">
      <c r="A4" s="13" t="s">
        <v>84</v>
      </c>
      <c r="B4" s="13" t="s">
        <v>85</v>
      </c>
      <c r="C4" s="13" t="s">
        <v>36</v>
      </c>
      <c r="D4" s="13" t="s">
        <v>38</v>
      </c>
    </row>
    <row r="5" customFormat="false" ht="15" hidden="false" customHeight="false" outlineLevel="0" collapsed="false">
      <c r="A5" s="30" t="s">
        <v>91</v>
      </c>
      <c r="B5" s="30" t="s">
        <v>157</v>
      </c>
      <c r="C5" s="15" t="s">
        <v>158</v>
      </c>
      <c r="D5" s="33" t="n">
        <v>130000</v>
      </c>
    </row>
    <row r="6" customFormat="false" ht="15" hidden="false" customHeight="false" outlineLevel="0" collapsed="false">
      <c r="A6" s="30" t="s">
        <v>105</v>
      </c>
      <c r="B6" s="30" t="s">
        <v>159</v>
      </c>
      <c r="C6" s="15" t="s">
        <v>158</v>
      </c>
      <c r="D6" s="33" t="n">
        <v>160000</v>
      </c>
    </row>
    <row r="7" customFormat="false" ht="15" hidden="false" customHeight="false" outlineLevel="0" collapsed="false">
      <c r="A7" s="30" t="s">
        <v>119</v>
      </c>
      <c r="B7" s="30" t="s">
        <v>160</v>
      </c>
      <c r="C7" s="15" t="s">
        <v>158</v>
      </c>
      <c r="D7" s="33" t="n">
        <v>160000</v>
      </c>
    </row>
    <row r="8" customFormat="false" ht="15" hidden="false" customHeight="false" outlineLevel="0" collapsed="false">
      <c r="A8" s="30" t="s">
        <v>115</v>
      </c>
      <c r="B8" s="30" t="s">
        <v>161</v>
      </c>
      <c r="C8" s="15" t="s">
        <v>158</v>
      </c>
      <c r="D8" s="33" t="n">
        <v>160000</v>
      </c>
    </row>
    <row r="9" customFormat="false" ht="15" hidden="false" customHeight="false" outlineLevel="0" collapsed="false">
      <c r="A9" s="30" t="s">
        <v>132</v>
      </c>
      <c r="B9" s="30" t="s">
        <v>162</v>
      </c>
      <c r="C9" s="15" t="s">
        <v>158</v>
      </c>
      <c r="D9" s="33" t="n">
        <v>160000</v>
      </c>
    </row>
    <row r="10" customFormat="false" ht="15" hidden="false" customHeight="false" outlineLevel="0" collapsed="false">
      <c r="A10" s="30" t="s">
        <v>106</v>
      </c>
      <c r="B10" s="30" t="s">
        <v>163</v>
      </c>
      <c r="C10" s="15" t="s">
        <v>158</v>
      </c>
      <c r="D10" s="33" t="n">
        <v>175000</v>
      </c>
    </row>
    <row r="11" customFormat="false" ht="15" hidden="false" customHeight="false" outlineLevel="0" collapsed="false">
      <c r="A11" s="30" t="s">
        <v>93</v>
      </c>
      <c r="B11" s="30" t="s">
        <v>164</v>
      </c>
      <c r="C11" s="15" t="s">
        <v>158</v>
      </c>
      <c r="D11" s="33" t="n">
        <v>190000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2026-10-15T04:48:12Z</dcterms:created>
  <dc:creator>openpyxl</dc:creator>
  <dc:description/>
  <dc:language>en-US</dc:language>
  <cp:lastModifiedBy/>
  <dcterms:modified xsi:type="dcterms:W3CDTF">2026-10-15T04:48:12Z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